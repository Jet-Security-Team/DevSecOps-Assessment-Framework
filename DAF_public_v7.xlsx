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showInkAnnotation="0" codeName="ЭтаКнига"/>
  <xr:revisionPtr revIDLastSave="0" documentId="13_ncr:1_{4BEB2199-AB0F-4D0F-9B37-96CB346D1A8C}" xr6:coauthVersionLast="47" xr6:coauthVersionMax="47" xr10:uidLastSave="{00000000-0000-0000-0000-000000000000}"/>
  <bookViews>
    <workbookView xWindow="28680" yWindow="-2820" windowWidth="29040" windowHeight="15720" tabRatio="889" xr2:uid="{00000000-000D-0000-FFFF-FFFF00000000}"/>
  </bookViews>
  <sheets>
    <sheet name="Общее, домены, поддомены" sheetId="49" r:id="rId1"/>
    <sheet name="Результаты аудита" sheetId="4" r:id="rId2"/>
    <sheet name="Практики" sheetId="21" r:id="rId3"/>
    <sheet name="Кирилламида" sheetId="19" r:id="rId4"/>
    <sheet name="miniRoadmap" sheetId="29" r:id="rId5"/>
    <sheet name="Документы для процессов DSO" sheetId="26" r:id="rId6"/>
    <sheet name="FTE AppSec" sheetId="34" r:id="rId7"/>
    <sheet name="Расчет FTE DSO" sheetId="30" r:id="rId8"/>
    <sheet name="PT TableTop_mapping" sheetId="37" r:id="rId9"/>
    <sheet name="SAMM_mapping" sheetId="43" r:id="rId10"/>
    <sheet name="DSOMM_mapping" sheetId="47" r:id="rId11"/>
    <sheet name="ГОСТ56939_mapping" sheetId="50" r:id="rId12"/>
    <sheet name="BSIMM14_mapping" sheetId="52" r:id="rId13"/>
  </sheets>
  <definedNames>
    <definedName name="_xlnm._FilterDatabase" localSheetId="10" hidden="1">DSOMM_mapping!$A$1:$I$256</definedName>
    <definedName name="_xlnm._FilterDatabase" localSheetId="8" hidden="1">'PT TableTop_mapping'!$A$1:$I$238</definedName>
    <definedName name="_xlnm._FilterDatabase" localSheetId="9" hidden="1">SAMM_mapping!$B$1:$I$178</definedName>
    <definedName name="_xlnm._FilterDatabase" localSheetId="11" hidden="1">ГОСТ56939_mapping!$A$1:$H$427</definedName>
    <definedName name="_xlnm._FilterDatabase" localSheetId="2" hidden="1">Практики!$B$1:$Q$402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01" i="34" l="1"/>
  <c r="C300" i="34"/>
  <c r="C299" i="34"/>
  <c r="C298" i="34"/>
  <c r="C297" i="34"/>
  <c r="C296" i="34"/>
  <c r="C295" i="34"/>
  <c r="C294" i="34"/>
  <c r="C293" i="34"/>
  <c r="C292" i="34"/>
  <c r="C291" i="34"/>
  <c r="C290" i="34"/>
  <c r="C289" i="34"/>
  <c r="C288" i="34"/>
  <c r="C287" i="34"/>
  <c r="C286" i="34"/>
  <c r="C285" i="34"/>
  <c r="C284" i="34"/>
  <c r="C283" i="34"/>
  <c r="C282" i="34"/>
  <c r="C281" i="34"/>
  <c r="C280" i="34"/>
  <c r="C279" i="34"/>
  <c r="C278" i="34"/>
  <c r="C277" i="34"/>
  <c r="C276" i="34"/>
  <c r="C275" i="34"/>
  <c r="C274" i="34"/>
  <c r="C273" i="34"/>
  <c r="C272" i="34"/>
  <c r="C271" i="34"/>
  <c r="C270" i="34"/>
  <c r="C269" i="34"/>
  <c r="C268" i="34"/>
  <c r="C267" i="34"/>
  <c r="C266" i="34"/>
  <c r="C265" i="34"/>
  <c r="C264" i="34"/>
  <c r="C263" i="34"/>
  <c r="C262" i="34"/>
  <c r="C261" i="34"/>
  <c r="C260" i="34"/>
  <c r="C259" i="34"/>
  <c r="C258" i="34"/>
  <c r="C257" i="34"/>
  <c r="C256" i="34"/>
  <c r="C255" i="34"/>
  <c r="C254" i="34"/>
  <c r="C253" i="34"/>
  <c r="C252" i="34"/>
  <c r="C251" i="34"/>
  <c r="C250" i="34"/>
  <c r="C249" i="34"/>
  <c r="C248" i="34"/>
  <c r="C247" i="34"/>
  <c r="C246" i="34"/>
  <c r="C245" i="34"/>
  <c r="C244" i="34"/>
  <c r="C243" i="34"/>
  <c r="C242" i="34"/>
  <c r="C241" i="34"/>
  <c r="C240" i="34"/>
  <c r="C239" i="34"/>
  <c r="C238" i="34"/>
  <c r="C237" i="34"/>
  <c r="C236" i="34"/>
  <c r="C235" i="34"/>
  <c r="C234" i="34"/>
  <c r="C233" i="34"/>
  <c r="C232" i="34"/>
  <c r="C231" i="34"/>
  <c r="C230" i="34"/>
  <c r="C229" i="34"/>
  <c r="C228" i="34"/>
  <c r="C227" i="34"/>
  <c r="C226" i="34"/>
  <c r="C225" i="34"/>
  <c r="C224" i="34"/>
  <c r="C223" i="34"/>
  <c r="C222" i="34"/>
  <c r="C221" i="34"/>
  <c r="C220" i="34"/>
  <c r="C219" i="34"/>
  <c r="C218" i="34"/>
  <c r="C217" i="34"/>
  <c r="C216" i="34"/>
  <c r="C215" i="34"/>
  <c r="C214" i="34"/>
  <c r="C213" i="34"/>
  <c r="C212" i="34"/>
  <c r="C211" i="34"/>
  <c r="C210" i="34"/>
  <c r="C209" i="34"/>
  <c r="C208" i="34"/>
  <c r="C207" i="34"/>
  <c r="C206" i="34"/>
  <c r="C205" i="34"/>
  <c r="C204" i="34"/>
  <c r="C203" i="34"/>
  <c r="C202" i="34"/>
  <c r="C201" i="34"/>
  <c r="C200" i="34"/>
  <c r="C199" i="34"/>
  <c r="C198" i="34"/>
  <c r="C197" i="34"/>
  <c r="C196" i="34"/>
  <c r="C195" i="34"/>
  <c r="C194" i="34"/>
  <c r="C193" i="34"/>
  <c r="C192" i="34"/>
  <c r="C191" i="34"/>
  <c r="C190" i="34"/>
  <c r="C189" i="34"/>
  <c r="C188" i="34"/>
  <c r="C187" i="34"/>
  <c r="C186" i="34"/>
  <c r="C185" i="34"/>
  <c r="C184" i="34"/>
  <c r="C183" i="34"/>
  <c r="C182" i="34"/>
  <c r="C181" i="34"/>
  <c r="C180" i="34"/>
  <c r="C179" i="34"/>
  <c r="C178" i="34"/>
  <c r="C177" i="34"/>
  <c r="C176" i="34"/>
  <c r="C175" i="34"/>
  <c r="C174" i="34"/>
  <c r="C173" i="34"/>
  <c r="C172" i="34"/>
  <c r="C171" i="34"/>
  <c r="C170" i="34"/>
  <c r="C169" i="34"/>
  <c r="C168" i="34"/>
  <c r="C167" i="34"/>
  <c r="C166" i="34"/>
  <c r="C165" i="34"/>
  <c r="C164" i="34"/>
  <c r="C163" i="34"/>
  <c r="C162" i="34"/>
  <c r="C161" i="34"/>
  <c r="C160" i="34"/>
  <c r="C159" i="34"/>
  <c r="C158" i="34"/>
  <c r="C157" i="34"/>
  <c r="C156" i="34"/>
  <c r="C155" i="34"/>
  <c r="C154" i="34"/>
  <c r="C153" i="34"/>
  <c r="C152" i="34"/>
  <c r="C151" i="34"/>
  <c r="C150" i="34"/>
  <c r="C149" i="34"/>
  <c r="C148" i="34"/>
  <c r="C147" i="34"/>
  <c r="C146" i="34"/>
  <c r="C145" i="34"/>
  <c r="C144" i="34"/>
  <c r="C143" i="34"/>
  <c r="C142" i="34"/>
  <c r="C141" i="34"/>
  <c r="C140" i="34"/>
  <c r="C139" i="34"/>
  <c r="C138" i="34"/>
  <c r="C137" i="34"/>
  <c r="C136" i="34"/>
  <c r="C135" i="34"/>
  <c r="C134" i="34"/>
  <c r="C133" i="34"/>
  <c r="C132" i="34"/>
  <c r="C131" i="34"/>
  <c r="C130" i="34"/>
  <c r="C129" i="34"/>
  <c r="C128" i="34"/>
  <c r="C127" i="34"/>
  <c r="C126" i="34"/>
  <c r="C125" i="34"/>
  <c r="C124" i="34"/>
  <c r="C123" i="34"/>
  <c r="C122" i="34"/>
  <c r="C121" i="34"/>
  <c r="C120" i="34"/>
  <c r="C119" i="34"/>
  <c r="C118" i="34"/>
  <c r="C117" i="34"/>
  <c r="C116" i="34"/>
  <c r="C115" i="34"/>
  <c r="C114" i="34"/>
  <c r="C113" i="34"/>
  <c r="C112" i="34"/>
  <c r="C111" i="34"/>
  <c r="C110" i="34"/>
  <c r="C109" i="34"/>
  <c r="C108" i="34"/>
  <c r="C107" i="34"/>
  <c r="C106" i="34"/>
  <c r="C105" i="34"/>
  <c r="C104" i="34"/>
  <c r="C103" i="34"/>
  <c r="C102" i="34"/>
  <c r="C101" i="34"/>
  <c r="C100" i="34"/>
  <c r="C99" i="34"/>
  <c r="C98" i="34"/>
  <c r="C97" i="34"/>
  <c r="C96" i="34"/>
  <c r="C95" i="34"/>
  <c r="C94" i="34"/>
  <c r="C93" i="34"/>
  <c r="C92" i="34"/>
  <c r="C91" i="34"/>
  <c r="C90" i="34"/>
  <c r="C89" i="34"/>
  <c r="C88" i="34"/>
  <c r="C87" i="34"/>
  <c r="C86" i="34"/>
  <c r="C85" i="34"/>
  <c r="C84" i="34"/>
  <c r="C83" i="34"/>
  <c r="C82" i="34"/>
  <c r="C81" i="34"/>
  <c r="C80" i="34"/>
  <c r="C79" i="34"/>
  <c r="C78" i="34"/>
  <c r="C77" i="34"/>
  <c r="C76" i="34"/>
  <c r="C75" i="34"/>
  <c r="C74" i="34"/>
  <c r="C73" i="34"/>
  <c r="C72" i="34"/>
  <c r="C71" i="34"/>
  <c r="C70" i="34"/>
  <c r="C69" i="34"/>
  <c r="C68" i="34"/>
  <c r="C67" i="34"/>
  <c r="C66" i="34"/>
  <c r="C65" i="34"/>
  <c r="C64" i="34"/>
  <c r="C63" i="34"/>
  <c r="C62" i="34"/>
  <c r="C61" i="34"/>
  <c r="C60" i="34"/>
  <c r="C59" i="34"/>
  <c r="C58" i="34"/>
  <c r="C57" i="34"/>
  <c r="C56" i="34"/>
  <c r="C55" i="34"/>
  <c r="C54" i="34"/>
  <c r="C53" i="34"/>
  <c r="C52" i="34"/>
  <c r="C51" i="34"/>
  <c r="C50" i="34"/>
  <c r="C49" i="34"/>
  <c r="C48" i="34"/>
  <c r="C47" i="34"/>
  <c r="C46" i="34"/>
  <c r="C45" i="34"/>
  <c r="C44" i="34"/>
  <c r="C43" i="34"/>
  <c r="C42" i="34"/>
  <c r="C41" i="34"/>
  <c r="C40" i="34"/>
  <c r="C39" i="34"/>
  <c r="C38" i="34"/>
  <c r="C37" i="34"/>
  <c r="C36" i="34"/>
  <c r="C35" i="34"/>
  <c r="C34" i="34"/>
  <c r="C33" i="34"/>
  <c r="C32" i="34"/>
  <c r="C31" i="34"/>
  <c r="C30" i="34"/>
  <c r="C29" i="34"/>
  <c r="C28" i="34"/>
  <c r="C27" i="34"/>
  <c r="C26" i="34"/>
  <c r="C25" i="34"/>
  <c r="C24" i="34"/>
  <c r="C23" i="34"/>
  <c r="C22" i="34"/>
  <c r="C21" i="34"/>
  <c r="C20" i="34"/>
  <c r="C19" i="34"/>
  <c r="C18" i="34"/>
  <c r="C17" i="34"/>
  <c r="C16" i="34"/>
  <c r="C15" i="34"/>
  <c r="C14" i="34"/>
  <c r="C13" i="34"/>
  <c r="C12" i="34"/>
  <c r="C11" i="34"/>
  <c r="C10" i="34"/>
  <c r="C9" i="34"/>
  <c r="C8" i="34"/>
  <c r="C7" i="34"/>
  <c r="C6" i="34"/>
  <c r="C5" i="34"/>
  <c r="C4" i="34"/>
  <c r="C3" i="34"/>
  <c r="C2" i="34"/>
  <c r="G301" i="34"/>
  <c r="G300" i="34"/>
  <c r="G299" i="34"/>
  <c r="G298" i="34"/>
  <c r="G297" i="34"/>
  <c r="G296" i="34"/>
  <c r="G295" i="34"/>
  <c r="G294" i="34"/>
  <c r="G293" i="34"/>
  <c r="G292" i="34"/>
  <c r="G291" i="34"/>
  <c r="G290" i="34"/>
  <c r="G289" i="34"/>
  <c r="G288" i="34"/>
  <c r="G287" i="34"/>
  <c r="G286" i="34"/>
  <c r="G285" i="34"/>
  <c r="G284" i="34"/>
  <c r="G283" i="34"/>
  <c r="G282" i="34"/>
  <c r="G281" i="34"/>
  <c r="G280" i="34"/>
  <c r="G279" i="34"/>
  <c r="G278" i="34"/>
  <c r="G277" i="34"/>
  <c r="G276" i="34"/>
  <c r="G275" i="34"/>
  <c r="G274" i="34"/>
  <c r="G273" i="34"/>
  <c r="G272" i="34"/>
  <c r="G271" i="34"/>
  <c r="G270" i="34"/>
  <c r="G269" i="34"/>
  <c r="G268" i="34"/>
  <c r="G267" i="34"/>
  <c r="G266" i="34"/>
  <c r="G265" i="34"/>
  <c r="G264" i="34"/>
  <c r="G263" i="34"/>
  <c r="G262" i="34"/>
  <c r="G261" i="34"/>
  <c r="G260" i="34"/>
  <c r="G259" i="34"/>
  <c r="G258" i="34"/>
  <c r="G257" i="34"/>
  <c r="G256" i="34"/>
  <c r="G255" i="34"/>
  <c r="G254" i="34"/>
  <c r="G253" i="34"/>
  <c r="G252" i="34"/>
  <c r="G251" i="34"/>
  <c r="G250" i="34"/>
  <c r="G249" i="34"/>
  <c r="G248" i="34"/>
  <c r="G247" i="34"/>
  <c r="G246" i="34"/>
  <c r="G245" i="34"/>
  <c r="G244" i="34"/>
  <c r="G243" i="34"/>
  <c r="G242" i="34"/>
  <c r="G241" i="34"/>
  <c r="G240" i="34"/>
  <c r="G239" i="34"/>
  <c r="G238" i="34"/>
  <c r="G237" i="34"/>
  <c r="G236" i="34"/>
  <c r="G235" i="34"/>
  <c r="G234" i="34"/>
  <c r="G233" i="34"/>
  <c r="G232" i="34"/>
  <c r="G231" i="34"/>
  <c r="G230" i="34"/>
  <c r="G229" i="34"/>
  <c r="G228" i="34"/>
  <c r="G227" i="34"/>
  <c r="G226" i="34"/>
  <c r="G225" i="34"/>
  <c r="G224" i="34"/>
  <c r="G223" i="34"/>
  <c r="G222" i="34"/>
  <c r="G221" i="34"/>
  <c r="G220" i="34"/>
  <c r="G219" i="34"/>
  <c r="G218" i="34"/>
  <c r="G217" i="34"/>
  <c r="G216" i="34"/>
  <c r="G215" i="34"/>
  <c r="G214" i="34"/>
  <c r="G213" i="34"/>
  <c r="G212" i="34"/>
  <c r="G211" i="34"/>
  <c r="G210" i="34"/>
  <c r="G209" i="34"/>
  <c r="G208" i="34"/>
  <c r="G207" i="34"/>
  <c r="G206" i="34"/>
  <c r="G205" i="34"/>
  <c r="G204" i="34"/>
  <c r="G203" i="34"/>
  <c r="G202" i="34"/>
  <c r="G201" i="34"/>
  <c r="G200" i="34"/>
  <c r="G199" i="34"/>
  <c r="G198" i="34"/>
  <c r="G197" i="34"/>
  <c r="G196" i="34"/>
  <c r="G195" i="34"/>
  <c r="G194" i="34"/>
  <c r="G193" i="34"/>
  <c r="G192" i="34"/>
  <c r="G191" i="34"/>
  <c r="G190" i="34"/>
  <c r="G189" i="34"/>
  <c r="G188" i="34"/>
  <c r="G187" i="34"/>
  <c r="G186" i="34"/>
  <c r="G185" i="34"/>
  <c r="G184" i="34"/>
  <c r="G183" i="34"/>
  <c r="G182" i="34"/>
  <c r="G181" i="34"/>
  <c r="G180" i="34"/>
  <c r="G179" i="34"/>
  <c r="G178" i="34"/>
  <c r="G177" i="34"/>
  <c r="G176" i="34"/>
  <c r="G175" i="34"/>
  <c r="G174" i="34"/>
  <c r="G173" i="34"/>
  <c r="G172" i="34"/>
  <c r="G171" i="34"/>
  <c r="G170" i="34"/>
  <c r="G169" i="34"/>
  <c r="G168" i="34"/>
  <c r="G167" i="34"/>
  <c r="G166" i="34"/>
  <c r="G165" i="34"/>
  <c r="G164" i="34"/>
  <c r="G163" i="34"/>
  <c r="G162" i="34"/>
  <c r="G161" i="34"/>
  <c r="G160" i="34"/>
  <c r="G159" i="34"/>
  <c r="G158" i="34"/>
  <c r="G157" i="34"/>
  <c r="G156" i="34"/>
  <c r="G155" i="34"/>
  <c r="G154" i="34"/>
  <c r="G153" i="34"/>
  <c r="G152" i="34"/>
  <c r="G151" i="34"/>
  <c r="G150" i="34"/>
  <c r="G149" i="34"/>
  <c r="G148" i="34"/>
  <c r="G147" i="34"/>
  <c r="G146" i="34"/>
  <c r="G145" i="34"/>
  <c r="G144" i="34"/>
  <c r="G143" i="34"/>
  <c r="G142" i="34"/>
  <c r="G141" i="34"/>
  <c r="G140" i="34"/>
  <c r="G139" i="34"/>
  <c r="G138" i="34"/>
  <c r="G137" i="34"/>
  <c r="G136" i="34"/>
  <c r="G135" i="34"/>
  <c r="G134" i="34"/>
  <c r="G133" i="34"/>
  <c r="G132" i="34"/>
  <c r="G131" i="34"/>
  <c r="G130" i="34"/>
  <c r="G129" i="34"/>
  <c r="G128" i="34"/>
  <c r="G127" i="34"/>
  <c r="G126" i="34"/>
  <c r="G125" i="34"/>
  <c r="G124" i="34"/>
  <c r="G123" i="34"/>
  <c r="G122" i="34"/>
  <c r="G121" i="34"/>
  <c r="G120" i="34"/>
  <c r="G119" i="34"/>
  <c r="G118" i="34"/>
  <c r="G117" i="34"/>
  <c r="G116" i="34"/>
  <c r="G115" i="34"/>
  <c r="G114" i="34"/>
  <c r="G113" i="34"/>
  <c r="G112" i="34"/>
  <c r="G111" i="34"/>
  <c r="G110" i="34"/>
  <c r="G109" i="34"/>
  <c r="G108" i="34"/>
  <c r="G107" i="34"/>
  <c r="G106" i="34"/>
  <c r="G105" i="34"/>
  <c r="G104" i="34"/>
  <c r="G103" i="34"/>
  <c r="G102" i="34"/>
  <c r="G101" i="34"/>
  <c r="G100" i="34"/>
  <c r="G99" i="34"/>
  <c r="G98" i="34"/>
  <c r="G97" i="34"/>
  <c r="G96" i="34"/>
  <c r="G95" i="34"/>
  <c r="G94" i="34"/>
  <c r="G93" i="34"/>
  <c r="G92" i="34"/>
  <c r="G91" i="34"/>
  <c r="G90" i="34"/>
  <c r="G89" i="34"/>
  <c r="G88" i="34"/>
  <c r="G87" i="34"/>
  <c r="G86" i="34"/>
  <c r="G85" i="34"/>
  <c r="G84" i="34"/>
  <c r="G83" i="34"/>
  <c r="G82" i="34"/>
  <c r="G81" i="34"/>
  <c r="G80" i="34"/>
  <c r="G79" i="34"/>
  <c r="G78" i="34"/>
  <c r="G77" i="34"/>
  <c r="G76" i="34"/>
  <c r="G75" i="34"/>
  <c r="G74" i="34"/>
  <c r="G73" i="34"/>
  <c r="G72" i="34"/>
  <c r="G71" i="34"/>
  <c r="G70" i="34"/>
  <c r="G69" i="34"/>
  <c r="G68" i="34"/>
  <c r="G67" i="34"/>
  <c r="G66" i="34"/>
  <c r="G65" i="34"/>
  <c r="G64" i="34"/>
  <c r="G63" i="34"/>
  <c r="G62" i="34"/>
  <c r="G61" i="34"/>
  <c r="G60" i="34"/>
  <c r="G59" i="34"/>
  <c r="G58" i="34"/>
  <c r="G57" i="34"/>
  <c r="G56" i="34"/>
  <c r="G55" i="34"/>
  <c r="G54" i="34"/>
  <c r="G53" i="34"/>
  <c r="G52" i="34"/>
  <c r="G51" i="34"/>
  <c r="G50" i="34"/>
  <c r="G49" i="34"/>
  <c r="G48" i="34"/>
  <c r="G47" i="34"/>
  <c r="G46" i="34"/>
  <c r="G45" i="34"/>
  <c r="G44" i="34"/>
  <c r="G43" i="34"/>
  <c r="G42" i="34"/>
  <c r="G41" i="34"/>
  <c r="G40" i="34"/>
  <c r="G39" i="34"/>
  <c r="G38" i="34"/>
  <c r="G37" i="34"/>
  <c r="G36" i="34"/>
  <c r="G35" i="34"/>
  <c r="G34" i="34"/>
  <c r="G33" i="34"/>
  <c r="G32" i="34"/>
  <c r="G31" i="34"/>
  <c r="G30" i="34"/>
  <c r="G29" i="34"/>
  <c r="G28" i="34"/>
  <c r="G27" i="34"/>
  <c r="G26" i="34"/>
  <c r="G25" i="34"/>
  <c r="G24" i="34"/>
  <c r="G23" i="34"/>
  <c r="G22" i="34"/>
  <c r="G21" i="34"/>
  <c r="G20" i="34"/>
  <c r="G19" i="34"/>
  <c r="G18" i="34"/>
  <c r="G17" i="34"/>
  <c r="G16" i="34"/>
  <c r="G15" i="34"/>
  <c r="G13" i="34"/>
  <c r="G12" i="34"/>
  <c r="G11" i="34"/>
  <c r="G10" i="34"/>
  <c r="G9" i="34"/>
  <c r="G8" i="34"/>
  <c r="G7" i="34"/>
  <c r="G6" i="34"/>
  <c r="G5" i="34"/>
  <c r="G4" i="34"/>
  <c r="G14" i="34"/>
  <c r="H418" i="50"/>
  <c r="G418" i="50"/>
  <c r="F418" i="50"/>
  <c r="C418" i="50" s="1"/>
  <c r="H417" i="50"/>
  <c r="G417" i="50"/>
  <c r="F417" i="50"/>
  <c r="H416" i="50"/>
  <c r="G416" i="50"/>
  <c r="F416" i="50"/>
  <c r="H415" i="50"/>
  <c r="G415" i="50"/>
  <c r="F415" i="50"/>
  <c r="H414" i="50"/>
  <c r="G414" i="50"/>
  <c r="F414" i="50"/>
  <c r="H413" i="50"/>
  <c r="G413" i="50"/>
  <c r="F413" i="50"/>
  <c r="H412" i="50"/>
  <c r="G412" i="50"/>
  <c r="F412" i="50"/>
  <c r="H411" i="50"/>
  <c r="G411" i="50"/>
  <c r="F411" i="50"/>
  <c r="H410" i="50"/>
  <c r="G410" i="50"/>
  <c r="F410" i="50"/>
  <c r="H409" i="50"/>
  <c r="G409" i="50"/>
  <c r="F409" i="50"/>
  <c r="H408" i="50"/>
  <c r="G408" i="50"/>
  <c r="F408" i="50"/>
  <c r="H407" i="50"/>
  <c r="G407" i="50"/>
  <c r="F407" i="50"/>
  <c r="H406" i="50"/>
  <c r="G406" i="50"/>
  <c r="F406" i="50"/>
  <c r="H405" i="50"/>
  <c r="G405" i="50"/>
  <c r="F405" i="50"/>
  <c r="H404" i="50"/>
  <c r="G404" i="50"/>
  <c r="F404" i="50"/>
  <c r="H403" i="50"/>
  <c r="G403" i="50"/>
  <c r="F403" i="50"/>
  <c r="C403" i="50" s="1"/>
  <c r="H402" i="50"/>
  <c r="G402" i="50"/>
  <c r="F402" i="50"/>
  <c r="C402" i="50" s="1"/>
  <c r="H401" i="50"/>
  <c r="G401" i="50"/>
  <c r="F401" i="50"/>
  <c r="C401" i="50" s="1"/>
  <c r="H349" i="50"/>
  <c r="G349" i="50"/>
  <c r="F349" i="50"/>
  <c r="C349" i="50" s="1"/>
  <c r="H347" i="50"/>
  <c r="G347" i="50"/>
  <c r="F347" i="50"/>
  <c r="C347" i="50" s="1"/>
  <c r="H336" i="50"/>
  <c r="G336" i="50"/>
  <c r="F336" i="50"/>
  <c r="H335" i="50"/>
  <c r="G335" i="50"/>
  <c r="F335" i="50"/>
  <c r="H334" i="50"/>
  <c r="G334" i="50"/>
  <c r="F334" i="50"/>
  <c r="H333" i="50"/>
  <c r="G333" i="50"/>
  <c r="F333" i="50"/>
  <c r="H332" i="50"/>
  <c r="G332" i="50"/>
  <c r="F332" i="50"/>
  <c r="H331" i="50"/>
  <c r="G331" i="50"/>
  <c r="F331" i="50"/>
  <c r="H330" i="50"/>
  <c r="G330" i="50"/>
  <c r="F330" i="50"/>
  <c r="H329" i="50"/>
  <c r="G329" i="50"/>
  <c r="F329" i="50"/>
  <c r="C329" i="50" s="1"/>
  <c r="H328" i="50"/>
  <c r="G328" i="50"/>
  <c r="F328" i="50"/>
  <c r="H327" i="50"/>
  <c r="G327" i="50"/>
  <c r="F327" i="50"/>
  <c r="C327" i="50" s="1"/>
  <c r="H326" i="50"/>
  <c r="G326" i="50"/>
  <c r="F326" i="50"/>
  <c r="C326" i="50" s="1"/>
  <c r="H313" i="50"/>
  <c r="G313" i="50"/>
  <c r="F313" i="50"/>
  <c r="C313" i="50" s="1"/>
  <c r="H310" i="50"/>
  <c r="G310" i="50"/>
  <c r="F310" i="50"/>
  <c r="C310" i="50" s="1"/>
  <c r="H309" i="50"/>
  <c r="G309" i="50"/>
  <c r="F309" i="50"/>
  <c r="C309" i="50" s="1"/>
  <c r="H298" i="50"/>
  <c r="G298" i="50"/>
  <c r="F298" i="50"/>
  <c r="H297" i="50"/>
  <c r="G297" i="50"/>
  <c r="F297" i="50"/>
  <c r="H296" i="50"/>
  <c r="G296" i="50"/>
  <c r="F296" i="50"/>
  <c r="H295" i="50"/>
  <c r="G295" i="50"/>
  <c r="F295" i="50"/>
  <c r="C295" i="50" s="1"/>
  <c r="H294" i="50"/>
  <c r="G294" i="50"/>
  <c r="F294" i="50"/>
  <c r="H293" i="50"/>
  <c r="G293" i="50"/>
  <c r="F293" i="50"/>
  <c r="H292" i="50"/>
  <c r="G292" i="50"/>
  <c r="F292" i="50"/>
  <c r="C292" i="50" s="1"/>
  <c r="H290" i="50"/>
  <c r="G290" i="50"/>
  <c r="F290" i="50"/>
  <c r="C290" i="50" s="1"/>
  <c r="H278" i="50"/>
  <c r="G278" i="50"/>
  <c r="F278" i="50"/>
  <c r="H277" i="50"/>
  <c r="G277" i="50"/>
  <c r="F277" i="50"/>
  <c r="H276" i="50"/>
  <c r="G276" i="50"/>
  <c r="F276" i="50"/>
  <c r="H275" i="50"/>
  <c r="G275" i="50"/>
  <c r="F275" i="50"/>
  <c r="H274" i="50"/>
  <c r="G274" i="50"/>
  <c r="F274" i="50"/>
  <c r="H273" i="50"/>
  <c r="G273" i="50"/>
  <c r="F273" i="50"/>
  <c r="C273" i="50" s="1"/>
  <c r="H272" i="50"/>
  <c r="G272" i="50"/>
  <c r="F272" i="50"/>
  <c r="H271" i="50"/>
  <c r="G271" i="50"/>
  <c r="F271" i="50"/>
  <c r="H270" i="50"/>
  <c r="G270" i="50"/>
  <c r="F270" i="50"/>
  <c r="H269" i="50"/>
  <c r="G269" i="50"/>
  <c r="F269" i="50"/>
  <c r="C269" i="50" s="1"/>
  <c r="H268" i="50"/>
  <c r="G268" i="50"/>
  <c r="F268" i="50"/>
  <c r="C268" i="50" s="1"/>
  <c r="H267" i="50"/>
  <c r="G267" i="50"/>
  <c r="F267" i="50"/>
  <c r="H266" i="50"/>
  <c r="G266" i="50"/>
  <c r="F266" i="50"/>
  <c r="C266" i="50" s="1"/>
  <c r="H265" i="50"/>
  <c r="G265" i="50"/>
  <c r="F265" i="50"/>
  <c r="H264" i="50"/>
  <c r="G264" i="50"/>
  <c r="F264" i="50"/>
  <c r="C264" i="50" s="1"/>
  <c r="H256" i="50"/>
  <c r="G256" i="50"/>
  <c r="F256" i="50"/>
  <c r="H255" i="50"/>
  <c r="G255" i="50"/>
  <c r="F255" i="50"/>
  <c r="H254" i="50"/>
  <c r="G254" i="50"/>
  <c r="F254" i="50"/>
  <c r="H253" i="50"/>
  <c r="G253" i="50"/>
  <c r="F253" i="50"/>
  <c r="C253" i="50" s="1"/>
  <c r="H252" i="50"/>
  <c r="G252" i="50"/>
  <c r="F252" i="50"/>
  <c r="H251" i="50"/>
  <c r="G251" i="50"/>
  <c r="F251" i="50"/>
  <c r="C251" i="50" s="1"/>
  <c r="H250" i="50"/>
  <c r="G250" i="50"/>
  <c r="F250" i="50"/>
  <c r="H249" i="50"/>
  <c r="G249" i="50"/>
  <c r="F249" i="50"/>
  <c r="C249" i="50" s="1"/>
  <c r="H248" i="50"/>
  <c r="G248" i="50"/>
  <c r="F248" i="50"/>
  <c r="H247" i="50"/>
  <c r="G247" i="50"/>
  <c r="F247" i="50"/>
  <c r="H246" i="50"/>
  <c r="G246" i="50"/>
  <c r="F246" i="50"/>
  <c r="C246" i="50" s="1"/>
  <c r="H237" i="50"/>
  <c r="G237" i="50"/>
  <c r="F237" i="50"/>
  <c r="C237" i="50" s="1"/>
  <c r="H236" i="50"/>
  <c r="G236" i="50"/>
  <c r="F236" i="50"/>
  <c r="H235" i="50"/>
  <c r="G235" i="50"/>
  <c r="F235" i="50"/>
  <c r="H234" i="50"/>
  <c r="G234" i="50"/>
  <c r="F234" i="50"/>
  <c r="H233" i="50"/>
  <c r="G233" i="50"/>
  <c r="F233" i="50"/>
  <c r="C233" i="50" s="1"/>
  <c r="H220" i="50"/>
  <c r="G220" i="50"/>
  <c r="F220" i="50"/>
  <c r="C220" i="50" s="1"/>
  <c r="H219" i="50"/>
  <c r="G219" i="50"/>
  <c r="F219" i="50"/>
  <c r="H218" i="50"/>
  <c r="G218" i="50"/>
  <c r="F218" i="50"/>
  <c r="C218" i="50" s="1"/>
  <c r="H217" i="50"/>
  <c r="G217" i="50"/>
  <c r="F217" i="50"/>
  <c r="C217" i="50" s="1"/>
  <c r="H216" i="50"/>
  <c r="G216" i="50"/>
  <c r="F216" i="50"/>
  <c r="C216" i="50" s="1"/>
  <c r="H215" i="50"/>
  <c r="G215" i="50"/>
  <c r="F215" i="50"/>
  <c r="H214" i="50"/>
  <c r="G214" i="50"/>
  <c r="F214" i="50"/>
  <c r="H213" i="50"/>
  <c r="G213" i="50"/>
  <c r="F213" i="50"/>
  <c r="C213" i="50" s="1"/>
  <c r="H211" i="50"/>
  <c r="G211" i="50"/>
  <c r="F211" i="50"/>
  <c r="H210" i="50"/>
  <c r="G210" i="50"/>
  <c r="F210" i="50"/>
  <c r="C210" i="50" s="1"/>
  <c r="H208" i="50"/>
  <c r="G208" i="50"/>
  <c r="F208" i="50"/>
  <c r="C208" i="50" s="1"/>
  <c r="H200" i="50"/>
  <c r="G200" i="50"/>
  <c r="F200" i="50"/>
  <c r="C200" i="50" s="1"/>
  <c r="H186" i="50"/>
  <c r="G186" i="50"/>
  <c r="F186" i="50"/>
  <c r="C186" i="50" s="1"/>
  <c r="H184" i="50"/>
  <c r="G184" i="50"/>
  <c r="F184" i="50"/>
  <c r="H183" i="50"/>
  <c r="G183" i="50"/>
  <c r="F183" i="50"/>
  <c r="C183" i="50" s="1"/>
  <c r="H182" i="50"/>
  <c r="G182" i="50"/>
  <c r="F182" i="50"/>
  <c r="C182" i="50" s="1"/>
  <c r="H181" i="50"/>
  <c r="G181" i="50"/>
  <c r="F181" i="50"/>
  <c r="H180" i="50"/>
  <c r="G180" i="50"/>
  <c r="F180" i="50"/>
  <c r="H179" i="50"/>
  <c r="G179" i="50"/>
  <c r="F179" i="50"/>
  <c r="H178" i="50"/>
  <c r="G178" i="50"/>
  <c r="F178" i="50"/>
  <c r="H177" i="50"/>
  <c r="G177" i="50"/>
  <c r="F177" i="50"/>
  <c r="H176" i="50"/>
  <c r="G176" i="50"/>
  <c r="F176" i="50"/>
  <c r="H175" i="50"/>
  <c r="G175" i="50"/>
  <c r="F175" i="50"/>
  <c r="H174" i="50"/>
  <c r="G174" i="50"/>
  <c r="F174" i="50"/>
  <c r="H173" i="50"/>
  <c r="G173" i="50"/>
  <c r="F173" i="50"/>
  <c r="H172" i="50"/>
  <c r="G172" i="50"/>
  <c r="F172" i="50"/>
  <c r="H171" i="50"/>
  <c r="G171" i="50"/>
  <c r="F171" i="50"/>
  <c r="H170" i="50"/>
  <c r="G170" i="50"/>
  <c r="F170" i="50"/>
  <c r="C170" i="50" s="1"/>
  <c r="H155" i="50"/>
  <c r="G155" i="50"/>
  <c r="F155" i="50"/>
  <c r="C155" i="50" s="1"/>
  <c r="H153" i="50"/>
  <c r="G153" i="50"/>
  <c r="F153" i="50"/>
  <c r="H152" i="50"/>
  <c r="G152" i="50"/>
  <c r="F152" i="50"/>
  <c r="H151" i="50"/>
  <c r="G151" i="50"/>
  <c r="F151" i="50"/>
  <c r="C151" i="50" s="1"/>
  <c r="H150" i="50"/>
  <c r="G150" i="50"/>
  <c r="F150" i="50"/>
  <c r="H149" i="50"/>
  <c r="G149" i="50"/>
  <c r="F149" i="50"/>
  <c r="C149" i="50" s="1"/>
  <c r="H111" i="50"/>
  <c r="G111" i="50"/>
  <c r="F111" i="50"/>
  <c r="C111" i="50" s="1"/>
  <c r="H108" i="50"/>
  <c r="G108" i="50"/>
  <c r="F108" i="50"/>
  <c r="H107" i="50"/>
  <c r="G107" i="50"/>
  <c r="F107" i="50"/>
  <c r="H106" i="50"/>
  <c r="G106" i="50"/>
  <c r="F106" i="50"/>
  <c r="C106" i="50" s="1"/>
  <c r="H92" i="50"/>
  <c r="G92" i="50"/>
  <c r="F92" i="50"/>
  <c r="C92" i="50" s="1"/>
  <c r="H81" i="50"/>
  <c r="G81" i="50"/>
  <c r="F81" i="50"/>
  <c r="H80" i="50"/>
  <c r="G80" i="50"/>
  <c r="F80" i="50"/>
  <c r="H79" i="50"/>
  <c r="G79" i="50"/>
  <c r="F79" i="50"/>
  <c r="C79" i="50" s="1"/>
  <c r="H77" i="50"/>
  <c r="G77" i="50"/>
  <c r="F77" i="50"/>
  <c r="H76" i="50"/>
  <c r="G76" i="50"/>
  <c r="F76" i="50"/>
  <c r="H75" i="50"/>
  <c r="G75" i="50"/>
  <c r="F75" i="50"/>
  <c r="C75" i="50" s="1"/>
  <c r="H63" i="50"/>
  <c r="G63" i="50"/>
  <c r="F63" i="50"/>
  <c r="C63" i="50" s="1"/>
  <c r="H61" i="50"/>
  <c r="G61" i="50"/>
  <c r="F61" i="50"/>
  <c r="C60" i="50" s="1"/>
  <c r="H60" i="50"/>
  <c r="G60" i="50"/>
  <c r="F60" i="50"/>
  <c r="H47" i="50"/>
  <c r="G47" i="50"/>
  <c r="F47" i="50"/>
  <c r="H46" i="50"/>
  <c r="G46" i="50"/>
  <c r="F46" i="50"/>
  <c r="C46" i="50" s="1"/>
  <c r="H45" i="50"/>
  <c r="G45" i="50"/>
  <c r="F45" i="50"/>
  <c r="C45" i="50" s="1"/>
  <c r="H44" i="50"/>
  <c r="G44" i="50"/>
  <c r="F44" i="50"/>
  <c r="C44" i="50" s="1"/>
  <c r="H33" i="50"/>
  <c r="G33" i="50"/>
  <c r="F33" i="50"/>
  <c r="H32" i="50"/>
  <c r="G32" i="50"/>
  <c r="F32" i="50"/>
  <c r="C32" i="50" s="1"/>
  <c r="H29" i="50"/>
  <c r="G29" i="50"/>
  <c r="F29" i="50"/>
  <c r="H28" i="50"/>
  <c r="G28" i="50"/>
  <c r="F28" i="50"/>
  <c r="H27" i="50"/>
  <c r="G27" i="50"/>
  <c r="F27" i="50"/>
  <c r="C27" i="50" s="1"/>
  <c r="H25" i="50"/>
  <c r="G25" i="50"/>
  <c r="F25" i="50"/>
  <c r="C25" i="50" s="1"/>
  <c r="H11" i="50"/>
  <c r="G11" i="50"/>
  <c r="F11" i="50"/>
  <c r="C11" i="50" s="1"/>
  <c r="H10" i="50"/>
  <c r="G10" i="50"/>
  <c r="F10" i="50"/>
  <c r="C10" i="50" s="1"/>
  <c r="H8" i="50"/>
  <c r="G8" i="50"/>
  <c r="F8" i="50"/>
  <c r="C8" i="50" s="1"/>
  <c r="C429" i="50"/>
  <c r="C428" i="50"/>
  <c r="C427" i="50"/>
  <c r="C426" i="50"/>
  <c r="C425" i="50"/>
  <c r="C424" i="50"/>
  <c r="C423" i="50"/>
  <c r="C422" i="50"/>
  <c r="C421" i="50"/>
  <c r="C420" i="50"/>
  <c r="C419" i="50"/>
  <c r="C400" i="50"/>
  <c r="C399" i="50"/>
  <c r="C398" i="50"/>
  <c r="C397" i="50"/>
  <c r="C396" i="50"/>
  <c r="C395" i="50"/>
  <c r="C394" i="50"/>
  <c r="C393" i="50"/>
  <c r="C392" i="50"/>
  <c r="C391" i="50"/>
  <c r="C390" i="50"/>
  <c r="C389" i="50"/>
  <c r="C388" i="50"/>
  <c r="C387" i="50"/>
  <c r="C386" i="50"/>
  <c r="C385" i="50"/>
  <c r="C384" i="50"/>
  <c r="C383" i="50"/>
  <c r="C382" i="50"/>
  <c r="C381" i="50"/>
  <c r="C380" i="50"/>
  <c r="C379" i="50"/>
  <c r="C378" i="50"/>
  <c r="C377" i="50"/>
  <c r="C376" i="50"/>
  <c r="C375" i="50"/>
  <c r="C374" i="50"/>
  <c r="C373" i="50"/>
  <c r="C372" i="50"/>
  <c r="C371" i="50"/>
  <c r="C370" i="50"/>
  <c r="C369" i="50"/>
  <c r="C368" i="50"/>
  <c r="C367" i="50"/>
  <c r="C366" i="50"/>
  <c r="C365" i="50"/>
  <c r="C364" i="50"/>
  <c r="C363" i="50"/>
  <c r="C362" i="50"/>
  <c r="C361" i="50"/>
  <c r="C360" i="50"/>
  <c r="C359" i="50"/>
  <c r="C358" i="50"/>
  <c r="C357" i="50"/>
  <c r="C356" i="50"/>
  <c r="C355" i="50"/>
  <c r="C354" i="50"/>
  <c r="C353" i="50"/>
  <c r="C352" i="50"/>
  <c r="C351" i="50"/>
  <c r="C350" i="50"/>
  <c r="C348" i="50"/>
  <c r="C346" i="50"/>
  <c r="C345" i="50"/>
  <c r="C344" i="50"/>
  <c r="C343" i="50"/>
  <c r="C342" i="50"/>
  <c r="C341" i="50"/>
  <c r="C340" i="50"/>
  <c r="C339" i="50"/>
  <c r="C338" i="50"/>
  <c r="C337" i="50"/>
  <c r="C325" i="50"/>
  <c r="C324" i="50"/>
  <c r="C323" i="50"/>
  <c r="C322" i="50"/>
  <c r="C321" i="50"/>
  <c r="C320" i="50"/>
  <c r="C319" i="50"/>
  <c r="C318" i="50"/>
  <c r="C317" i="50"/>
  <c r="C316" i="50"/>
  <c r="C315" i="50"/>
  <c r="C314" i="50"/>
  <c r="C312" i="50"/>
  <c r="C311" i="50"/>
  <c r="C308" i="50"/>
  <c r="C307" i="50"/>
  <c r="C306" i="50"/>
  <c r="C305" i="50"/>
  <c r="C304" i="50"/>
  <c r="C303" i="50"/>
  <c r="C302" i="50"/>
  <c r="C301" i="50"/>
  <c r="C300" i="50"/>
  <c r="C299" i="50"/>
  <c r="C291" i="50"/>
  <c r="C289" i="50"/>
  <c r="C288" i="50"/>
  <c r="C287" i="50"/>
  <c r="C286" i="50"/>
  <c r="C285" i="50"/>
  <c r="C284" i="50"/>
  <c r="C283" i="50"/>
  <c r="C282" i="50"/>
  <c r="C281" i="50"/>
  <c r="C280" i="50"/>
  <c r="C279" i="50"/>
  <c r="C263" i="50"/>
  <c r="C262" i="50"/>
  <c r="C261" i="50"/>
  <c r="C260" i="50"/>
  <c r="C259" i="50"/>
  <c r="C258" i="50"/>
  <c r="C257" i="50"/>
  <c r="C245" i="50"/>
  <c r="C244" i="50"/>
  <c r="C243" i="50"/>
  <c r="C242" i="50"/>
  <c r="C241" i="50"/>
  <c r="C240" i="50"/>
  <c r="C239" i="50"/>
  <c r="C238" i="50"/>
  <c r="C232" i="50"/>
  <c r="C231" i="50"/>
  <c r="C230" i="50"/>
  <c r="C229" i="50"/>
  <c r="C228" i="50"/>
  <c r="C227" i="50"/>
  <c r="C226" i="50"/>
  <c r="C225" i="50"/>
  <c r="C224" i="50"/>
  <c r="C223" i="50"/>
  <c r="C222" i="50"/>
  <c r="C221" i="50"/>
  <c r="C212" i="50"/>
  <c r="C209" i="50"/>
  <c r="C207" i="50"/>
  <c r="C206" i="50"/>
  <c r="C205" i="50"/>
  <c r="C204" i="50"/>
  <c r="C203" i="50"/>
  <c r="C202" i="50"/>
  <c r="C201" i="50"/>
  <c r="C199" i="50"/>
  <c r="C198" i="50"/>
  <c r="C197" i="50"/>
  <c r="C196" i="50"/>
  <c r="C195" i="50"/>
  <c r="C194" i="50"/>
  <c r="C193" i="50"/>
  <c r="C192" i="50"/>
  <c r="C191" i="50"/>
  <c r="C190" i="50"/>
  <c r="C189" i="50"/>
  <c r="C188" i="50"/>
  <c r="C187" i="50"/>
  <c r="C185" i="50"/>
  <c r="C169" i="50"/>
  <c r="C168" i="50"/>
  <c r="C167" i="50"/>
  <c r="C166" i="50"/>
  <c r="C165" i="50"/>
  <c r="C164" i="50"/>
  <c r="C163" i="50"/>
  <c r="C162" i="50"/>
  <c r="C161" i="50"/>
  <c r="C160" i="50"/>
  <c r="C159" i="50"/>
  <c r="C158" i="50"/>
  <c r="C157" i="50"/>
  <c r="C156" i="50"/>
  <c r="C154" i="50"/>
  <c r="C148" i="50"/>
  <c r="C147" i="50"/>
  <c r="C146" i="50"/>
  <c r="C145" i="50"/>
  <c r="C144" i="50"/>
  <c r="C143" i="50"/>
  <c r="C142" i="50"/>
  <c r="C141" i="50"/>
  <c r="C140" i="50"/>
  <c r="C139" i="50"/>
  <c r="C138" i="50"/>
  <c r="C137" i="50"/>
  <c r="C136" i="50"/>
  <c r="C135" i="50"/>
  <c r="C134" i="50"/>
  <c r="C133" i="50"/>
  <c r="C132" i="50"/>
  <c r="C131" i="50"/>
  <c r="C130" i="50"/>
  <c r="C129" i="50"/>
  <c r="C128" i="50"/>
  <c r="C127" i="50"/>
  <c r="C126" i="50"/>
  <c r="C125" i="50"/>
  <c r="C124" i="50"/>
  <c r="C123" i="50"/>
  <c r="C122" i="50"/>
  <c r="C121" i="50"/>
  <c r="C120" i="50"/>
  <c r="C119" i="50"/>
  <c r="C118" i="50"/>
  <c r="C117" i="50"/>
  <c r="C116" i="50"/>
  <c r="C115" i="50"/>
  <c r="C114" i="50"/>
  <c r="C113" i="50"/>
  <c r="C112" i="50"/>
  <c r="C110" i="50"/>
  <c r="C109" i="50"/>
  <c r="C105" i="50"/>
  <c r="C104" i="50"/>
  <c r="C103" i="50"/>
  <c r="C102" i="50"/>
  <c r="C101" i="50"/>
  <c r="C100" i="50"/>
  <c r="C99" i="50"/>
  <c r="C98" i="50"/>
  <c r="C97" i="50"/>
  <c r="C96" i="50"/>
  <c r="C95" i="50"/>
  <c r="C94" i="50"/>
  <c r="C93" i="50"/>
  <c r="C91" i="50"/>
  <c r="C90" i="50"/>
  <c r="C89" i="50"/>
  <c r="C88" i="50"/>
  <c r="C87" i="50"/>
  <c r="C86" i="50"/>
  <c r="C85" i="50"/>
  <c r="C84" i="50"/>
  <c r="C83" i="50"/>
  <c r="C82" i="50"/>
  <c r="C78" i="50"/>
  <c r="C74" i="50"/>
  <c r="C73" i="50"/>
  <c r="C72" i="50"/>
  <c r="C71" i="50"/>
  <c r="C70" i="50"/>
  <c r="C69" i="50"/>
  <c r="C68" i="50"/>
  <c r="C67" i="50"/>
  <c r="C66" i="50"/>
  <c r="C65" i="50"/>
  <c r="C64" i="50"/>
  <c r="C62" i="50"/>
  <c r="C59" i="50"/>
  <c r="C58" i="50"/>
  <c r="C57" i="50"/>
  <c r="C56" i="50"/>
  <c r="C55" i="50"/>
  <c r="C54" i="50"/>
  <c r="C53" i="50"/>
  <c r="C52" i="50"/>
  <c r="C51" i="50"/>
  <c r="C50" i="50"/>
  <c r="C49" i="50"/>
  <c r="C48" i="50"/>
  <c r="C43" i="50"/>
  <c r="C42" i="50"/>
  <c r="C41" i="50"/>
  <c r="C40" i="50"/>
  <c r="C39" i="50"/>
  <c r="C38" i="50"/>
  <c r="C37" i="50"/>
  <c r="C36" i="50"/>
  <c r="C35" i="50"/>
  <c r="C34" i="50"/>
  <c r="C31" i="50"/>
  <c r="C30" i="50"/>
  <c r="C26" i="50"/>
  <c r="C24" i="50"/>
  <c r="C23" i="50"/>
  <c r="C22" i="50"/>
  <c r="C21" i="50"/>
  <c r="C20" i="50"/>
  <c r="C19" i="50"/>
  <c r="C18" i="50"/>
  <c r="C17" i="50"/>
  <c r="C16" i="50"/>
  <c r="C15" i="50"/>
  <c r="C14" i="50"/>
  <c r="C13" i="50"/>
  <c r="C12" i="50"/>
  <c r="C9" i="50"/>
  <c r="C7" i="50"/>
  <c r="C6" i="50"/>
  <c r="K2" i="50"/>
  <c r="C5" i="50"/>
  <c r="C4" i="50"/>
  <c r="C3" i="50"/>
  <c r="C2" i="50"/>
  <c r="J2" i="52"/>
  <c r="I2" i="52"/>
  <c r="E90" i="52"/>
  <c r="E89" i="52"/>
  <c r="E88" i="52"/>
  <c r="D90" i="52"/>
  <c r="D89" i="52"/>
  <c r="D88" i="52"/>
  <c r="C90" i="52"/>
  <c r="C89" i="52"/>
  <c r="C88" i="52"/>
  <c r="E191" i="52"/>
  <c r="E190" i="52"/>
  <c r="E189" i="52"/>
  <c r="E188" i="52"/>
  <c r="E186" i="52"/>
  <c r="E184" i="52"/>
  <c r="E183" i="52"/>
  <c r="E181" i="52"/>
  <c r="E179" i="52"/>
  <c r="E178" i="52"/>
  <c r="E177" i="52"/>
  <c r="E176" i="52"/>
  <c r="E175" i="52"/>
  <c r="E172" i="52"/>
  <c r="E171" i="52"/>
  <c r="E170" i="52"/>
  <c r="E169" i="52"/>
  <c r="E165" i="52"/>
  <c r="E164" i="52"/>
  <c r="E163" i="52"/>
  <c r="E162" i="52"/>
  <c r="E161" i="52"/>
  <c r="E160" i="52"/>
  <c r="E159" i="52"/>
  <c r="E158" i="52"/>
  <c r="E154" i="52"/>
  <c r="E152" i="52"/>
  <c r="E151" i="52"/>
  <c r="E149" i="52"/>
  <c r="E148" i="52"/>
  <c r="E145" i="52"/>
  <c r="E141" i="52"/>
  <c r="E140" i="52"/>
  <c r="E139" i="52"/>
  <c r="E138" i="52"/>
  <c r="E136" i="52"/>
  <c r="E135" i="52"/>
  <c r="E134" i="52"/>
  <c r="E133" i="52"/>
  <c r="E128" i="52"/>
  <c r="E127" i="52"/>
  <c r="E126" i="52"/>
  <c r="E125" i="52"/>
  <c r="E124" i="52"/>
  <c r="E122" i="52"/>
  <c r="E121" i="52"/>
  <c r="E120" i="52"/>
  <c r="E119" i="52"/>
  <c r="E118" i="52"/>
  <c r="E117" i="52"/>
  <c r="E116" i="52"/>
  <c r="E115" i="52"/>
  <c r="E109" i="52"/>
  <c r="E108" i="52"/>
  <c r="E107" i="52"/>
  <c r="E106" i="52"/>
  <c r="E105" i="52"/>
  <c r="E103" i="52"/>
  <c r="E100" i="52"/>
  <c r="E99" i="52"/>
  <c r="E98" i="52"/>
  <c r="E96" i="52"/>
  <c r="E95" i="52"/>
  <c r="E94" i="52"/>
  <c r="E92" i="52"/>
  <c r="E87" i="52"/>
  <c r="E86" i="52"/>
  <c r="E85" i="52"/>
  <c r="E84" i="52"/>
  <c r="E83" i="52"/>
  <c r="E82" i="52"/>
  <c r="E75" i="52"/>
  <c r="E69" i="52"/>
  <c r="E68" i="52"/>
  <c r="E64" i="52"/>
  <c r="E62" i="52"/>
  <c r="E56" i="52"/>
  <c r="E55" i="52"/>
  <c r="E52" i="52"/>
  <c r="E51" i="52"/>
  <c r="E49" i="52"/>
  <c r="E48" i="52"/>
  <c r="E46" i="52"/>
  <c r="E44" i="52"/>
  <c r="E39" i="52"/>
  <c r="E38" i="52"/>
  <c r="E37" i="52"/>
  <c r="E30" i="52"/>
  <c r="E29" i="52"/>
  <c r="E28" i="52"/>
  <c r="E27" i="52"/>
  <c r="E26" i="52"/>
  <c r="E25" i="52"/>
  <c r="E24" i="52"/>
  <c r="E23" i="52"/>
  <c r="E22" i="52"/>
  <c r="E20" i="52"/>
  <c r="E19" i="52"/>
  <c r="E18" i="52"/>
  <c r="E17" i="52"/>
  <c r="E16" i="52"/>
  <c r="E13" i="52"/>
  <c r="E12" i="52"/>
  <c r="E11" i="52"/>
  <c r="E10" i="52"/>
  <c r="E9" i="52"/>
  <c r="E8" i="52"/>
  <c r="E7" i="52"/>
  <c r="E6" i="52"/>
  <c r="E4" i="52"/>
  <c r="D191" i="52"/>
  <c r="D190" i="52"/>
  <c r="D189" i="52"/>
  <c r="D188" i="52"/>
  <c r="D186" i="52"/>
  <c r="D184" i="52"/>
  <c r="D183" i="52"/>
  <c r="D181" i="52"/>
  <c r="D179" i="52"/>
  <c r="D178" i="52"/>
  <c r="D177" i="52"/>
  <c r="D176" i="52"/>
  <c r="D175" i="52"/>
  <c r="D172" i="52"/>
  <c r="D171" i="52"/>
  <c r="D170" i="52"/>
  <c r="D169" i="52"/>
  <c r="D165" i="52"/>
  <c r="D164" i="52"/>
  <c r="D163" i="52"/>
  <c r="D162" i="52"/>
  <c r="D161" i="52"/>
  <c r="D160" i="52"/>
  <c r="D159" i="52"/>
  <c r="D158" i="52"/>
  <c r="D154" i="52"/>
  <c r="D152" i="52"/>
  <c r="D151" i="52"/>
  <c r="D149" i="52"/>
  <c r="D148" i="52"/>
  <c r="D145" i="52"/>
  <c r="D141" i="52"/>
  <c r="D140" i="52"/>
  <c r="D139" i="52"/>
  <c r="D138" i="52"/>
  <c r="D136" i="52"/>
  <c r="D135" i="52"/>
  <c r="D134" i="52"/>
  <c r="D133" i="52"/>
  <c r="D128" i="52"/>
  <c r="D127" i="52"/>
  <c r="D126" i="52"/>
  <c r="D125" i="52"/>
  <c r="D124" i="52"/>
  <c r="D122" i="52"/>
  <c r="D121" i="52"/>
  <c r="D120" i="52"/>
  <c r="D119" i="52"/>
  <c r="D118" i="52"/>
  <c r="D117" i="52"/>
  <c r="D116" i="52"/>
  <c r="D115" i="52"/>
  <c r="D109" i="52"/>
  <c r="D108" i="52"/>
  <c r="D107" i="52"/>
  <c r="D106" i="52"/>
  <c r="D105" i="52"/>
  <c r="D103" i="52"/>
  <c r="D100" i="52"/>
  <c r="D99" i="52"/>
  <c r="D98" i="52"/>
  <c r="D96" i="52"/>
  <c r="D95" i="52"/>
  <c r="D94" i="52"/>
  <c r="D92" i="52"/>
  <c r="D87" i="52"/>
  <c r="D86" i="52"/>
  <c r="D85" i="52"/>
  <c r="D84" i="52"/>
  <c r="D83" i="52"/>
  <c r="D82" i="52"/>
  <c r="D75" i="52"/>
  <c r="D69" i="52"/>
  <c r="D68" i="52"/>
  <c r="D64" i="52"/>
  <c r="D62" i="52"/>
  <c r="D56" i="52"/>
  <c r="D55" i="52"/>
  <c r="D52" i="52"/>
  <c r="D51" i="52"/>
  <c r="D49" i="52"/>
  <c r="D48" i="52"/>
  <c r="D46" i="52"/>
  <c r="D44" i="52"/>
  <c r="D39" i="52"/>
  <c r="D38" i="52"/>
  <c r="D37" i="52"/>
  <c r="D30" i="52"/>
  <c r="D29" i="52"/>
  <c r="D28" i="52"/>
  <c r="D27" i="52"/>
  <c r="D26" i="52"/>
  <c r="D25" i="52"/>
  <c r="D24" i="52"/>
  <c r="D23" i="52"/>
  <c r="D22" i="52"/>
  <c r="D20" i="52"/>
  <c r="D19" i="52"/>
  <c r="D18" i="52"/>
  <c r="D17" i="52"/>
  <c r="D16" i="52"/>
  <c r="D13" i="52"/>
  <c r="D12" i="52"/>
  <c r="D11" i="52"/>
  <c r="D10" i="52"/>
  <c r="D9" i="52"/>
  <c r="D8" i="52"/>
  <c r="D7" i="52"/>
  <c r="D6" i="52"/>
  <c r="D4" i="52"/>
  <c r="C48" i="52"/>
  <c r="C120" i="52"/>
  <c r="C13" i="52"/>
  <c r="C44" i="52"/>
  <c r="C10" i="52"/>
  <c r="C24" i="52"/>
  <c r="C23" i="52"/>
  <c r="C22" i="52"/>
  <c r="C20" i="52"/>
  <c r="C127" i="52"/>
  <c r="C126" i="52"/>
  <c r="C19" i="52"/>
  <c r="C18" i="52"/>
  <c r="C125" i="52"/>
  <c r="C124" i="52"/>
  <c r="C12" i="52"/>
  <c r="C184" i="52"/>
  <c r="C181" i="52"/>
  <c r="C149" i="52"/>
  <c r="C29" i="52"/>
  <c r="C100" i="52"/>
  <c r="C99" i="52"/>
  <c r="C9" i="52"/>
  <c r="C11" i="52"/>
  <c r="C8" i="52"/>
  <c r="C134" i="52"/>
  <c r="C39" i="52"/>
  <c r="C7" i="52"/>
  <c r="C38" i="52"/>
  <c r="C6" i="52"/>
  <c r="C37" i="52"/>
  <c r="C75" i="52"/>
  <c r="C64" i="52"/>
  <c r="C109" i="52"/>
  <c r="C108" i="52"/>
  <c r="C62" i="52"/>
  <c r="C107" i="52"/>
  <c r="C103" i="52"/>
  <c r="C106" i="52"/>
  <c r="C105" i="52"/>
  <c r="C92" i="52"/>
  <c r="C87" i="52"/>
  <c r="C98" i="52"/>
  <c r="C86" i="52"/>
  <c r="C85" i="52"/>
  <c r="C83" i="52"/>
  <c r="C84" i="52"/>
  <c r="C82" i="52"/>
  <c r="C4" i="52"/>
  <c r="C56" i="52"/>
  <c r="C55" i="52"/>
  <c r="C52" i="52"/>
  <c r="C49" i="52"/>
  <c r="C51" i="52"/>
  <c r="C46" i="52"/>
  <c r="C179" i="52"/>
  <c r="C170" i="52"/>
  <c r="C191" i="52"/>
  <c r="C190" i="52"/>
  <c r="C189" i="52"/>
  <c r="C188" i="52"/>
  <c r="C183" i="52"/>
  <c r="C69" i="52"/>
  <c r="C17" i="52"/>
  <c r="C169" i="52"/>
  <c r="C159" i="52"/>
  <c r="C158" i="52"/>
  <c r="C141" i="52"/>
  <c r="C186" i="52"/>
  <c r="C154" i="52"/>
  <c r="C152" i="52"/>
  <c r="C148" i="52"/>
  <c r="C178" i="52"/>
  <c r="C160" i="52"/>
  <c r="C68" i="52"/>
  <c r="C16" i="52"/>
  <c r="C139" i="52"/>
  <c r="C138" i="52"/>
  <c r="C133" i="52"/>
  <c r="C151" i="52"/>
  <c r="C140" i="52"/>
  <c r="C136" i="52"/>
  <c r="C135" i="52"/>
  <c r="C122" i="52"/>
  <c r="C177" i="52"/>
  <c r="C165" i="52"/>
  <c r="C28" i="52"/>
  <c r="C128" i="52"/>
  <c r="C96" i="52"/>
  <c r="C119" i="52"/>
  <c r="C117" i="52"/>
  <c r="C27" i="52"/>
  <c r="C164" i="52"/>
  <c r="C172" i="52"/>
  <c r="C30" i="52"/>
  <c r="C121" i="52"/>
  <c r="C118" i="52"/>
  <c r="C116" i="52"/>
  <c r="C26" i="52"/>
  <c r="C115" i="52"/>
  <c r="C25" i="52"/>
  <c r="C163" i="52"/>
  <c r="C145" i="52"/>
  <c r="C176" i="52"/>
  <c r="C175" i="52"/>
  <c r="C162" i="52"/>
  <c r="C161" i="52"/>
  <c r="C171" i="52"/>
  <c r="C95" i="52"/>
  <c r="C94" i="52"/>
  <c r="J2" i="50" l="1"/>
  <c r="L2" i="50" s="1"/>
  <c r="K2" i="52"/>
  <c r="L2" i="47"/>
  <c r="K2" i="47"/>
  <c r="K2" i="43"/>
  <c r="L2" i="43"/>
  <c r="L2" i="37"/>
  <c r="M2" i="37"/>
  <c r="M2" i="43" l="1"/>
  <c r="N2" i="37"/>
  <c r="H4" i="47" l="1"/>
  <c r="G6" i="43" l="1"/>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46" i="19"/>
  <c r="H6" i="30" l="1"/>
  <c r="H5" i="30"/>
  <c r="B42" i="29" l="1"/>
  <c r="B41" i="29"/>
  <c r="B40" i="29"/>
  <c r="B39" i="29"/>
  <c r="B38" i="29"/>
  <c r="B37" i="29"/>
  <c r="B36" i="29"/>
  <c r="B35" i="29"/>
  <c r="B34" i="29"/>
  <c r="B33" i="29"/>
  <c r="B32" i="29"/>
  <c r="B31" i="29"/>
  <c r="B30" i="29"/>
  <c r="B29" i="29"/>
  <c r="B28" i="29"/>
  <c r="B27" i="29"/>
  <c r="B26" i="29"/>
  <c r="B25" i="29"/>
  <c r="B24" i="29"/>
  <c r="B23" i="29"/>
  <c r="B22" i="29"/>
  <c r="B21" i="29"/>
  <c r="B18" i="29"/>
  <c r="B17" i="29"/>
  <c r="B16" i="29"/>
  <c r="B15" i="29"/>
  <c r="B14" i="29"/>
  <c r="B13" i="29"/>
  <c r="B12" i="29"/>
  <c r="B11" i="29"/>
  <c r="B10" i="29"/>
  <c r="B9" i="29"/>
  <c r="B8" i="29"/>
  <c r="B7" i="29"/>
  <c r="B6" i="29"/>
  <c r="B5" i="29"/>
  <c r="B4" i="29"/>
  <c r="B3" i="29"/>
  <c r="B20" i="29"/>
  <c r="B19" i="29"/>
  <c r="I155" i="37" l="1"/>
  <c r="I154" i="37"/>
  <c r="I153" i="37"/>
  <c r="I152" i="37"/>
  <c r="I110" i="37"/>
  <c r="I109" i="37"/>
  <c r="I108" i="37"/>
  <c r="I107" i="37"/>
  <c r="G155" i="37"/>
  <c r="G154" i="37"/>
  <c r="G153" i="37"/>
  <c r="G152" i="37"/>
  <c r="G110" i="37"/>
  <c r="G109" i="37"/>
  <c r="G108" i="37"/>
  <c r="G107" i="37"/>
  <c r="G97" i="43" l="1"/>
  <c r="H26" i="21" l="1"/>
  <c r="H24" i="21"/>
  <c r="F47" i="19" s="1"/>
  <c r="H14" i="21"/>
  <c r="H46" i="19" s="1"/>
  <c r="H152" i="21"/>
  <c r="H151" i="21"/>
  <c r="E57" i="19" s="1"/>
  <c r="F57" i="19" l="1" a="1"/>
  <c r="F57" i="19" s="1"/>
  <c r="G47" i="19"/>
  <c r="I4" i="4"/>
  <c r="H123" i="30"/>
  <c r="H122" i="30"/>
  <c r="H121" i="30"/>
  <c r="H115" i="30"/>
  <c r="H114" i="30"/>
  <c r="H113" i="30"/>
  <c r="H108" i="30"/>
  <c r="H107" i="30"/>
  <c r="H106" i="30"/>
  <c r="H105" i="30"/>
  <c r="H104" i="30"/>
  <c r="H103" i="30"/>
  <c r="H101" i="30"/>
  <c r="H100" i="30"/>
  <c r="H99" i="30"/>
  <c r="H93" i="30"/>
  <c r="H92" i="30"/>
  <c r="H91" i="30"/>
  <c r="H90" i="30"/>
  <c r="H89" i="30"/>
  <c r="H88" i="30"/>
  <c r="H87" i="30"/>
  <c r="H85" i="30"/>
  <c r="H84" i="30"/>
  <c r="H78" i="30"/>
  <c r="H77" i="30"/>
  <c r="H76" i="30"/>
  <c r="H75" i="30"/>
  <c r="H74" i="30"/>
  <c r="H73" i="30"/>
  <c r="H72" i="30"/>
  <c r="H66" i="30"/>
  <c r="H65" i="30"/>
  <c r="H64" i="30"/>
  <c r="H63" i="30"/>
  <c r="H61" i="30"/>
  <c r="H60" i="30"/>
  <c r="H59" i="30"/>
  <c r="H53" i="30"/>
  <c r="H52" i="30"/>
  <c r="H51" i="30"/>
  <c r="H50" i="30"/>
  <c r="H49" i="30"/>
  <c r="H47" i="30"/>
  <c r="H46" i="30"/>
  <c r="H45" i="30"/>
  <c r="H44" i="30"/>
  <c r="H38" i="30"/>
  <c r="H37" i="30"/>
  <c r="H36" i="30"/>
  <c r="H35" i="30"/>
  <c r="H34" i="30"/>
  <c r="H33" i="30"/>
  <c r="H31" i="30"/>
  <c r="H30" i="30"/>
  <c r="H29" i="30"/>
  <c r="H23" i="30"/>
  <c r="H22" i="30"/>
  <c r="H21" i="30"/>
  <c r="H20" i="30"/>
  <c r="H18" i="30"/>
  <c r="H17" i="30"/>
  <c r="H16" i="30"/>
  <c r="H15" i="30"/>
  <c r="K14" i="30"/>
  <c r="H13" i="30"/>
  <c r="H12" i="30"/>
  <c r="H11" i="30"/>
  <c r="H10" i="30"/>
  <c r="H9" i="30"/>
  <c r="H8" i="30"/>
  <c r="K7" i="30"/>
  <c r="K9" i="30" s="1"/>
  <c r="K11" i="30" s="1"/>
  <c r="H67" i="30" l="1"/>
  <c r="H79" i="30"/>
  <c r="H81" i="30" s="1"/>
  <c r="H94" i="30"/>
  <c r="H95" i="30" s="1"/>
  <c r="H54" i="30"/>
  <c r="H55" i="30" s="1"/>
  <c r="H109" i="30"/>
  <c r="H111" i="30" s="1"/>
  <c r="H24" i="30"/>
  <c r="H26" i="30" s="1"/>
  <c r="H39" i="30"/>
  <c r="H40" i="30" s="1"/>
  <c r="H116" i="30"/>
  <c r="H117" i="30" s="1"/>
  <c r="H124" i="30"/>
  <c r="H125" i="30" s="1"/>
  <c r="H69" i="30"/>
  <c r="H68" i="30"/>
  <c r="H110" i="30"/>
  <c r="H80" i="30"/>
  <c r="H126" i="30" l="1"/>
  <c r="H25" i="30"/>
  <c r="H118" i="30"/>
  <c r="H41" i="30"/>
  <c r="H96" i="30"/>
  <c r="H56" i="30"/>
  <c r="K15" i="30" l="1"/>
  <c r="H72" i="21" l="1"/>
  <c r="H51" i="19" s="1"/>
  <c r="H87" i="21"/>
  <c r="F52" i="19" s="1"/>
  <c r="H95" i="21"/>
  <c r="C53" i="19" s="1"/>
  <c r="H302" i="21"/>
  <c r="G74" i="19" s="1"/>
  <c r="H299" i="21"/>
  <c r="F74" i="19" s="1"/>
  <c r="H326" i="21" l="1"/>
  <c r="H76" i="19" s="1"/>
  <c r="H397" i="21"/>
  <c r="E85" i="19" s="1"/>
  <c r="H401" i="21"/>
  <c r="F85" i="19" s="1"/>
  <c r="J33" i="4" l="1"/>
  <c r="H256" i="47"/>
  <c r="H255" i="47"/>
  <c r="H252" i="47"/>
  <c r="H249" i="47"/>
  <c r="H247" i="47"/>
  <c r="H246" i="47"/>
  <c r="H245" i="47"/>
  <c r="H244" i="47"/>
  <c r="H243" i="47"/>
  <c r="H242" i="47"/>
  <c r="H241" i="47"/>
  <c r="H240" i="47"/>
  <c r="H239" i="47"/>
  <c r="H237" i="47"/>
  <c r="H236" i="47"/>
  <c r="H235" i="47"/>
  <c r="H234" i="47"/>
  <c r="H228" i="47"/>
  <c r="H227" i="47"/>
  <c r="H222" i="47"/>
  <c r="H221" i="47"/>
  <c r="H220" i="47"/>
  <c r="H218" i="47"/>
  <c r="H217" i="47"/>
  <c r="H215" i="47"/>
  <c r="H214" i="47"/>
  <c r="H213" i="47"/>
  <c r="H212" i="47"/>
  <c r="H211" i="47"/>
  <c r="H210" i="47"/>
  <c r="H209" i="47"/>
  <c r="H208" i="47"/>
  <c r="H207" i="47"/>
  <c r="H206" i="47"/>
  <c r="H200" i="47"/>
  <c r="H199" i="47"/>
  <c r="H197" i="47"/>
  <c r="H196" i="47"/>
  <c r="H195" i="47"/>
  <c r="H192" i="47"/>
  <c r="H191" i="47"/>
  <c r="H190" i="47"/>
  <c r="H189" i="47"/>
  <c r="H188" i="47"/>
  <c r="H187" i="47"/>
  <c r="H186" i="47"/>
  <c r="H185" i="47"/>
  <c r="H183" i="47"/>
  <c r="H182" i="47"/>
  <c r="H181" i="47"/>
  <c r="H177" i="47"/>
  <c r="H174" i="47"/>
  <c r="H173" i="47"/>
  <c r="H172" i="47"/>
  <c r="H171" i="47"/>
  <c r="H170" i="47"/>
  <c r="H169" i="47"/>
  <c r="H168" i="47"/>
  <c r="H167" i="47"/>
  <c r="H166" i="47"/>
  <c r="H165" i="47"/>
  <c r="H164" i="47"/>
  <c r="H163" i="47"/>
  <c r="H162" i="47"/>
  <c r="H161" i="47"/>
  <c r="H147" i="47"/>
  <c r="H146" i="47"/>
  <c r="H145" i="47"/>
  <c r="H144" i="47"/>
  <c r="H142" i="47"/>
  <c r="H141" i="47"/>
  <c r="H140" i="47"/>
  <c r="H135" i="47"/>
  <c r="H134" i="47"/>
  <c r="H133" i="47"/>
  <c r="H123" i="47"/>
  <c r="H118" i="47"/>
  <c r="H117" i="47"/>
  <c r="H114" i="47"/>
  <c r="H113" i="47"/>
  <c r="H112" i="47"/>
  <c r="H111" i="47"/>
  <c r="H107" i="47"/>
  <c r="H96" i="47"/>
  <c r="H95" i="47"/>
  <c r="H92" i="47"/>
  <c r="H90" i="47"/>
  <c r="H87" i="47"/>
  <c r="H86" i="47"/>
  <c r="H85" i="47"/>
  <c r="H84" i="47"/>
  <c r="H83" i="47"/>
  <c r="H82" i="47"/>
  <c r="H81" i="47"/>
  <c r="H80" i="47"/>
  <c r="H79" i="47"/>
  <c r="H78" i="47"/>
  <c r="H77" i="47"/>
  <c r="H76" i="47"/>
  <c r="H75" i="47"/>
  <c r="H74" i="47"/>
  <c r="H73" i="47"/>
  <c r="H72" i="47"/>
  <c r="H71" i="47"/>
  <c r="H68" i="47"/>
  <c r="H66" i="47"/>
  <c r="H65" i="47"/>
  <c r="H64" i="47"/>
  <c r="H63" i="47"/>
  <c r="H57" i="47"/>
  <c r="H55" i="47"/>
  <c r="H54" i="47"/>
  <c r="H53" i="47"/>
  <c r="H52" i="47"/>
  <c r="H48" i="47"/>
  <c r="H47" i="47"/>
  <c r="H44" i="47"/>
  <c r="H41" i="47"/>
  <c r="H40" i="47"/>
  <c r="H39" i="47"/>
  <c r="H38" i="47"/>
  <c r="H37" i="47"/>
  <c r="H20" i="47"/>
  <c r="H19" i="47"/>
  <c r="H18" i="47"/>
  <c r="H17" i="47"/>
  <c r="H15" i="47"/>
  <c r="H14" i="47"/>
  <c r="H13" i="47"/>
  <c r="H12" i="47"/>
  <c r="H11" i="47"/>
  <c r="H10" i="47"/>
  <c r="H7" i="47"/>
  <c r="H6" i="47"/>
  <c r="H5" i="47"/>
  <c r="G4" i="47"/>
  <c r="G5" i="47"/>
  <c r="G6" i="47"/>
  <c r="G7" i="47"/>
  <c r="G10" i="47"/>
  <c r="G11" i="47"/>
  <c r="G12" i="47"/>
  <c r="G13" i="47"/>
  <c r="G14" i="47"/>
  <c r="G15" i="47"/>
  <c r="G17" i="47"/>
  <c r="G18" i="47"/>
  <c r="G19" i="47"/>
  <c r="G20" i="47"/>
  <c r="G37" i="47"/>
  <c r="G38" i="47"/>
  <c r="G39" i="47"/>
  <c r="G40" i="47"/>
  <c r="G41" i="47"/>
  <c r="G44" i="47"/>
  <c r="G47" i="47"/>
  <c r="G48" i="47"/>
  <c r="G52" i="47"/>
  <c r="G53" i="47"/>
  <c r="G54" i="47"/>
  <c r="G55" i="47"/>
  <c r="G57" i="47"/>
  <c r="G63" i="47"/>
  <c r="G64" i="47"/>
  <c r="G65" i="47"/>
  <c r="G66" i="47"/>
  <c r="G68" i="47"/>
  <c r="G71" i="47"/>
  <c r="G72" i="47"/>
  <c r="G73" i="47"/>
  <c r="G74" i="47"/>
  <c r="G75" i="47"/>
  <c r="G76" i="47"/>
  <c r="G77" i="47"/>
  <c r="G78" i="47"/>
  <c r="G79" i="47"/>
  <c r="G80" i="47"/>
  <c r="G81" i="47"/>
  <c r="G82" i="47"/>
  <c r="G83" i="47"/>
  <c r="G84" i="47"/>
  <c r="G85" i="47"/>
  <c r="G86" i="47"/>
  <c r="G87" i="47"/>
  <c r="G90" i="47"/>
  <c r="G92" i="47"/>
  <c r="G95" i="47"/>
  <c r="G96" i="47"/>
  <c r="G107" i="47"/>
  <c r="G111" i="47"/>
  <c r="G112" i="47"/>
  <c r="G113" i="47"/>
  <c r="G114" i="47"/>
  <c r="G117" i="47"/>
  <c r="G118" i="47"/>
  <c r="G123" i="47"/>
  <c r="G133" i="47"/>
  <c r="G134" i="47"/>
  <c r="G135" i="47"/>
  <c r="G140" i="47"/>
  <c r="G141" i="47"/>
  <c r="G142" i="47"/>
  <c r="G144" i="47"/>
  <c r="G145" i="47"/>
  <c r="G146" i="47"/>
  <c r="G147" i="47"/>
  <c r="G161" i="47"/>
  <c r="G162" i="47"/>
  <c r="G163" i="47"/>
  <c r="G164" i="47"/>
  <c r="G165" i="47"/>
  <c r="G166" i="47"/>
  <c r="G167" i="47"/>
  <c r="G168" i="47"/>
  <c r="G169" i="47"/>
  <c r="G170" i="47"/>
  <c r="G171" i="47"/>
  <c r="G172" i="47"/>
  <c r="G173" i="47"/>
  <c r="G174" i="47"/>
  <c r="G177" i="47"/>
  <c r="G181" i="47"/>
  <c r="G182" i="47"/>
  <c r="G183" i="47"/>
  <c r="G185" i="47"/>
  <c r="G186" i="47"/>
  <c r="G187" i="47"/>
  <c r="G188" i="47"/>
  <c r="G189" i="47"/>
  <c r="G190" i="47"/>
  <c r="G191" i="47"/>
  <c r="G192" i="47"/>
  <c r="G195" i="47"/>
  <c r="G196" i="47"/>
  <c r="G197" i="47"/>
  <c r="G199" i="47"/>
  <c r="G200" i="47"/>
  <c r="G206" i="47"/>
  <c r="G207" i="47"/>
  <c r="G208" i="47"/>
  <c r="G209" i="47"/>
  <c r="G210" i="47"/>
  <c r="G211" i="47"/>
  <c r="G212" i="47"/>
  <c r="G213" i="47"/>
  <c r="G214" i="47"/>
  <c r="G215" i="47"/>
  <c r="G217" i="47"/>
  <c r="G218" i="47"/>
  <c r="G220" i="47"/>
  <c r="G221" i="47"/>
  <c r="G222" i="47"/>
  <c r="G227" i="47"/>
  <c r="G228" i="47"/>
  <c r="G234" i="47"/>
  <c r="G235" i="47"/>
  <c r="G236" i="47"/>
  <c r="G237" i="47"/>
  <c r="G239" i="47"/>
  <c r="G240" i="47"/>
  <c r="G241" i="47"/>
  <c r="G242" i="47"/>
  <c r="G243" i="47"/>
  <c r="G244" i="47"/>
  <c r="G245" i="47"/>
  <c r="G246" i="47"/>
  <c r="G247" i="47"/>
  <c r="G249" i="47"/>
  <c r="G252" i="47"/>
  <c r="G255" i="47"/>
  <c r="G256" i="47"/>
  <c r="F57" i="47"/>
  <c r="F65" i="47"/>
  <c r="F64" i="47"/>
  <c r="F197" i="47"/>
  <c r="F196" i="47"/>
  <c r="F195" i="47"/>
  <c r="F237" i="47"/>
  <c r="F234" i="47"/>
  <c r="F186" i="47"/>
  <c r="F256" i="47"/>
  <c r="F236" i="47"/>
  <c r="F188" i="47"/>
  <c r="F185" i="47"/>
  <c r="F235" i="47"/>
  <c r="F187" i="47"/>
  <c r="F206" i="47"/>
  <c r="F211" i="47"/>
  <c r="F210" i="47"/>
  <c r="F208" i="47"/>
  <c r="F39" i="47"/>
  <c r="F38" i="47"/>
  <c r="F55" i="47"/>
  <c r="F41" i="47"/>
  <c r="F53" i="47"/>
  <c r="F54" i="47"/>
  <c r="F52" i="47"/>
  <c r="F40" i="47"/>
  <c r="F37" i="47"/>
  <c r="F63" i="47"/>
  <c r="F66" i="47"/>
  <c r="F48" i="47"/>
  <c r="F68" i="47"/>
  <c r="F47" i="47"/>
  <c r="F44" i="47"/>
  <c r="F142" i="47"/>
  <c r="F147" i="47"/>
  <c r="F145" i="47"/>
  <c r="F135" i="47"/>
  <c r="F18" i="47"/>
  <c r="F255" i="47"/>
  <c r="F252" i="47"/>
  <c r="F200" i="47"/>
  <c r="F218" i="47"/>
  <c r="F222" i="47"/>
  <c r="F221" i="47"/>
  <c r="F220" i="47"/>
  <c r="F134" i="47"/>
  <c r="F141" i="47"/>
  <c r="F146" i="47"/>
  <c r="F118" i="47"/>
  <c r="F117" i="47"/>
  <c r="F190" i="47"/>
  <c r="F192" i="47"/>
  <c r="F173" i="47"/>
  <c r="F169" i="47"/>
  <c r="F163" i="47"/>
  <c r="F172" i="47"/>
  <c r="F168" i="47"/>
  <c r="F164" i="47"/>
  <c r="F167" i="47"/>
  <c r="F215" i="47"/>
  <c r="F214" i="47"/>
  <c r="F14" i="47"/>
  <c r="F13" i="47"/>
  <c r="F19" i="47"/>
  <c r="F217" i="47"/>
  <c r="F199" i="47"/>
  <c r="F209" i="47"/>
  <c r="F207" i="47"/>
  <c r="F177" i="47"/>
  <c r="F189" i="47"/>
  <c r="F191" i="47"/>
  <c r="F174" i="47"/>
  <c r="F166" i="47"/>
  <c r="F162" i="47"/>
  <c r="F171" i="47"/>
  <c r="F170" i="47"/>
  <c r="F165" i="47"/>
  <c r="F161" i="47"/>
  <c r="F213" i="47"/>
  <c r="F212" i="47"/>
  <c r="F183" i="47"/>
  <c r="F182" i="47"/>
  <c r="F181" i="47"/>
  <c r="F228" i="47"/>
  <c r="F249" i="47"/>
  <c r="F240" i="47"/>
  <c r="F239" i="47"/>
  <c r="F241" i="47"/>
  <c r="F247" i="47"/>
  <c r="F245" i="47"/>
  <c r="F243" i="47"/>
  <c r="F227" i="47"/>
  <c r="F242" i="47"/>
  <c r="F246" i="47"/>
  <c r="F244" i="47"/>
  <c r="F74" i="47"/>
  <c r="F114" i="47"/>
  <c r="F90" i="47"/>
  <c r="F96" i="47"/>
  <c r="F92" i="47"/>
  <c r="F95" i="47"/>
  <c r="F107" i="47"/>
  <c r="F85" i="47"/>
  <c r="F82" i="47"/>
  <c r="F77" i="47"/>
  <c r="F76" i="47"/>
  <c r="F5" i="47"/>
  <c r="F72" i="47"/>
  <c r="F112" i="47"/>
  <c r="F4" i="47"/>
  <c r="F80" i="47"/>
  <c r="F78" i="47"/>
  <c r="F73" i="47"/>
  <c r="F113" i="47"/>
  <c r="F15" i="47"/>
  <c r="F12" i="47"/>
  <c r="F11" i="47"/>
  <c r="F10" i="47"/>
  <c r="F83" i="47"/>
  <c r="F86" i="47"/>
  <c r="F7" i="47"/>
  <c r="F133" i="47"/>
  <c r="F140" i="47"/>
  <c r="F144" i="47"/>
  <c r="F81" i="47"/>
  <c r="F87" i="47"/>
  <c r="F79" i="47"/>
  <c r="F75" i="47"/>
  <c r="F84" i="47"/>
  <c r="F20" i="47"/>
  <c r="F71" i="47"/>
  <c r="F123" i="47"/>
  <c r="F111" i="47"/>
  <c r="F17" i="47"/>
  <c r="F6" i="47"/>
  <c r="M2" i="47" l="1"/>
  <c r="H222" i="21" l="1"/>
  <c r="G65" i="19" s="1"/>
  <c r="H162" i="21"/>
  <c r="E58" i="19" s="1"/>
  <c r="H165" i="21"/>
  <c r="G58" i="19" s="1"/>
  <c r="I238" i="37" l="1"/>
  <c r="I237" i="37"/>
  <c r="I236" i="37"/>
  <c r="I235" i="37"/>
  <c r="I234" i="37"/>
  <c r="I233" i="37"/>
  <c r="I232" i="37"/>
  <c r="I231" i="37"/>
  <c r="I230" i="37"/>
  <c r="I229" i="37"/>
  <c r="I227" i="37"/>
  <c r="I226" i="37"/>
  <c r="I225" i="37"/>
  <c r="I224" i="37"/>
  <c r="I223" i="37"/>
  <c r="I222" i="37"/>
  <c r="I221" i="37"/>
  <c r="I219" i="37"/>
  <c r="I218" i="37"/>
  <c r="I217" i="37"/>
  <c r="I216" i="37"/>
  <c r="I215" i="37"/>
  <c r="I214" i="37"/>
  <c r="I213" i="37"/>
  <c r="I212" i="37"/>
  <c r="I211" i="37"/>
  <c r="I210" i="37"/>
  <c r="I209" i="37"/>
  <c r="I208" i="37"/>
  <c r="I207" i="37"/>
  <c r="I205" i="37"/>
  <c r="I204" i="37"/>
  <c r="I203" i="37"/>
  <c r="I202" i="37"/>
  <c r="I201" i="37"/>
  <c r="I200" i="37"/>
  <c r="I199" i="37"/>
  <c r="I198" i="37"/>
  <c r="I197" i="37"/>
  <c r="I196" i="37"/>
  <c r="I195" i="37"/>
  <c r="I194" i="37"/>
  <c r="I193" i="37"/>
  <c r="I192" i="37"/>
  <c r="I191" i="37"/>
  <c r="I189" i="37"/>
  <c r="I188" i="37"/>
  <c r="I187" i="37"/>
  <c r="I186" i="37"/>
  <c r="I185" i="37"/>
  <c r="I184" i="37"/>
  <c r="I183" i="37"/>
  <c r="I182" i="37"/>
  <c r="I181" i="37"/>
  <c r="I180" i="37"/>
  <c r="I179" i="37"/>
  <c r="I178" i="37"/>
  <c r="I177" i="37"/>
  <c r="I175" i="37"/>
  <c r="I174" i="37"/>
  <c r="I173" i="37"/>
  <c r="I172" i="37"/>
  <c r="I171" i="37"/>
  <c r="I170" i="37"/>
  <c r="I169" i="37"/>
  <c r="I168" i="37"/>
  <c r="I166" i="37"/>
  <c r="I165" i="37"/>
  <c r="I164" i="37"/>
  <c r="I163" i="37"/>
  <c r="I162" i="37"/>
  <c r="I161" i="37"/>
  <c r="I160" i="37"/>
  <c r="I159" i="37"/>
  <c r="I158" i="37"/>
  <c r="I157" i="37"/>
  <c r="I156" i="37"/>
  <c r="I151" i="37"/>
  <c r="I150" i="37"/>
  <c r="I149" i="37"/>
  <c r="I148" i="37"/>
  <c r="I147" i="37"/>
  <c r="I146" i="37"/>
  <c r="I145" i="37"/>
  <c r="I143" i="37"/>
  <c r="I142" i="37"/>
  <c r="I141" i="37"/>
  <c r="I140" i="37"/>
  <c r="I139" i="37"/>
  <c r="I138" i="37"/>
  <c r="I137" i="37"/>
  <c r="I135" i="37"/>
  <c r="I134" i="37"/>
  <c r="I133" i="37"/>
  <c r="I132" i="37"/>
  <c r="I131" i="37"/>
  <c r="I130" i="37"/>
  <c r="I129" i="37"/>
  <c r="I128" i="37"/>
  <c r="I127" i="37"/>
  <c r="I126" i="37"/>
  <c r="I125" i="37"/>
  <c r="I124" i="37"/>
  <c r="I123" i="37"/>
  <c r="I121" i="37"/>
  <c r="I120" i="37"/>
  <c r="I119" i="37"/>
  <c r="I118" i="37"/>
  <c r="I117" i="37"/>
  <c r="I116" i="37"/>
  <c r="I115" i="37"/>
  <c r="I114" i="37"/>
  <c r="I113" i="37"/>
  <c r="I112" i="37"/>
  <c r="I111" i="37"/>
  <c r="I106" i="37"/>
  <c r="I104" i="37"/>
  <c r="I102" i="37"/>
  <c r="I101" i="37"/>
  <c r="I100" i="37"/>
  <c r="I98" i="37"/>
  <c r="I97" i="37"/>
  <c r="I96" i="37"/>
  <c r="I95" i="37"/>
  <c r="I94" i="37"/>
  <c r="I93" i="37"/>
  <c r="I92" i="37"/>
  <c r="I91" i="37"/>
  <c r="I90" i="37"/>
  <c r="I89" i="37"/>
  <c r="I88" i="37"/>
  <c r="I87" i="37"/>
  <c r="I86" i="37"/>
  <c r="I85" i="37"/>
  <c r="I84" i="37"/>
  <c r="I83" i="37"/>
  <c r="I82" i="37"/>
  <c r="I81" i="37"/>
  <c r="I80" i="37"/>
  <c r="I79" i="37"/>
  <c r="I77" i="37"/>
  <c r="I76" i="37"/>
  <c r="I75" i="37"/>
  <c r="I74" i="37"/>
  <c r="I73" i="37"/>
  <c r="I72" i="37"/>
  <c r="I71" i="37"/>
  <c r="I69" i="37"/>
  <c r="I68" i="37"/>
  <c r="I67" i="37"/>
  <c r="I66" i="37"/>
  <c r="I65" i="37"/>
  <c r="I64" i="37"/>
  <c r="I63" i="37"/>
  <c r="I62" i="37"/>
  <c r="I61" i="37"/>
  <c r="I60" i="37"/>
  <c r="I59" i="37"/>
  <c r="I58" i="37"/>
  <c r="I57" i="37"/>
  <c r="I56" i="37"/>
  <c r="I55" i="37"/>
  <c r="I54" i="37"/>
  <c r="I53" i="37"/>
  <c r="I52" i="37"/>
  <c r="I51" i="37"/>
  <c r="I50" i="37"/>
  <c r="I49" i="37"/>
  <c r="I48" i="37"/>
  <c r="I47" i="37"/>
  <c r="I46" i="37"/>
  <c r="I45" i="37"/>
  <c r="I44" i="37"/>
  <c r="I43" i="37"/>
  <c r="I42" i="37"/>
  <c r="I41" i="37"/>
  <c r="I40" i="37"/>
  <c r="I39" i="37"/>
  <c r="I38" i="37"/>
  <c r="I37" i="37"/>
  <c r="I36" i="37"/>
  <c r="I35" i="37"/>
  <c r="I34" i="37"/>
  <c r="I33" i="37"/>
  <c r="I32" i="37"/>
  <c r="I31" i="37"/>
  <c r="I30" i="37"/>
  <c r="I28" i="37"/>
  <c r="I27" i="37"/>
  <c r="I26" i="37"/>
  <c r="I25" i="37"/>
  <c r="I24" i="37"/>
  <c r="I23" i="37"/>
  <c r="I22" i="37"/>
  <c r="I21" i="37"/>
  <c r="I20" i="37"/>
  <c r="I19" i="37"/>
  <c r="I18" i="37"/>
  <c r="I17" i="37"/>
  <c r="I16" i="37"/>
  <c r="I15" i="37"/>
  <c r="I14" i="37"/>
  <c r="I13" i="37"/>
  <c r="I12" i="37"/>
  <c r="I10" i="37"/>
  <c r="I9" i="37"/>
  <c r="I8" i="37"/>
  <c r="H178" i="43" l="1"/>
  <c r="H177" i="43"/>
  <c r="H176" i="43"/>
  <c r="H175" i="43"/>
  <c r="H174" i="43"/>
  <c r="H173" i="43"/>
  <c r="H172" i="43"/>
  <c r="H167" i="43"/>
  <c r="H166" i="43"/>
  <c r="H165" i="43"/>
  <c r="H164" i="43"/>
  <c r="H162" i="43"/>
  <c r="H161" i="43"/>
  <c r="H160" i="43"/>
  <c r="H159" i="43"/>
  <c r="H158" i="43"/>
  <c r="H157" i="43"/>
  <c r="H156" i="43"/>
  <c r="H153" i="43"/>
  <c r="H150" i="43"/>
  <c r="H149" i="43"/>
  <c r="H144" i="43"/>
  <c r="H143" i="43"/>
  <c r="H142" i="43"/>
  <c r="H141" i="43"/>
  <c r="H140" i="43"/>
  <c r="H139" i="43"/>
  <c r="H138" i="43"/>
  <c r="H137" i="43"/>
  <c r="H136" i="43"/>
  <c r="H135" i="43"/>
  <c r="H134" i="43"/>
  <c r="H133" i="43"/>
  <c r="H132" i="43"/>
  <c r="H131" i="43"/>
  <c r="H130" i="43"/>
  <c r="H129" i="43"/>
  <c r="H128" i="43"/>
  <c r="H127" i="43"/>
  <c r="H126" i="43"/>
  <c r="H125" i="43"/>
  <c r="H124" i="43"/>
  <c r="H123" i="43"/>
  <c r="H120" i="43"/>
  <c r="H119" i="43"/>
  <c r="H118" i="43"/>
  <c r="H116" i="43"/>
  <c r="H115" i="43"/>
  <c r="H113" i="43"/>
  <c r="H112" i="43"/>
  <c r="H105" i="43"/>
  <c r="H99" i="43"/>
  <c r="H98" i="43"/>
  <c r="H97" i="43"/>
  <c r="H96" i="43"/>
  <c r="H95" i="43"/>
  <c r="H94" i="43"/>
  <c r="H93" i="43"/>
  <c r="H90" i="43"/>
  <c r="H89" i="43"/>
  <c r="H88" i="43"/>
  <c r="H87" i="43"/>
  <c r="H86" i="43"/>
  <c r="H85" i="43"/>
  <c r="H84" i="43"/>
  <c r="H83" i="43"/>
  <c r="H81" i="43"/>
  <c r="H80" i="43"/>
  <c r="H77" i="43"/>
  <c r="H76" i="43"/>
  <c r="H75" i="43"/>
  <c r="H74" i="43"/>
  <c r="H73" i="43"/>
  <c r="H72" i="43"/>
  <c r="H71" i="43"/>
  <c r="H70" i="43"/>
  <c r="H69" i="43"/>
  <c r="H68" i="43"/>
  <c r="H67" i="43"/>
  <c r="H66" i="43"/>
  <c r="H65" i="43"/>
  <c r="H64" i="43"/>
  <c r="H63" i="43"/>
  <c r="H62" i="43"/>
  <c r="H61" i="43"/>
  <c r="H57" i="43"/>
  <c r="H56" i="43"/>
  <c r="H55" i="43"/>
  <c r="H53" i="43"/>
  <c r="H47" i="43"/>
  <c r="H46" i="43"/>
  <c r="H45" i="43"/>
  <c r="H44" i="43"/>
  <c r="H43" i="43"/>
  <c r="H41" i="43"/>
  <c r="H40" i="43"/>
  <c r="H39" i="43"/>
  <c r="H38" i="43"/>
  <c r="H36" i="43"/>
  <c r="H35" i="43"/>
  <c r="H34" i="43"/>
  <c r="H31" i="43"/>
  <c r="H30" i="43"/>
  <c r="H29" i="43"/>
  <c r="H28" i="43"/>
  <c r="H27" i="43"/>
  <c r="H26" i="43"/>
  <c r="H25" i="43"/>
  <c r="H24" i="43"/>
  <c r="H23" i="43"/>
  <c r="H22" i="43"/>
  <c r="H21" i="43"/>
  <c r="H20" i="43"/>
  <c r="H19" i="43"/>
  <c r="H14" i="43"/>
  <c r="H13" i="43"/>
  <c r="H12" i="43"/>
  <c r="H10" i="43"/>
  <c r="H9" i="43"/>
  <c r="H8" i="43"/>
  <c r="H7" i="43"/>
  <c r="H6" i="43"/>
  <c r="H5" i="43"/>
  <c r="H4" i="43"/>
  <c r="G9" i="43" l="1"/>
  <c r="C372" i="21"/>
  <c r="G167" i="43"/>
  <c r="G166" i="43"/>
  <c r="G165" i="43"/>
  <c r="G164" i="43"/>
  <c r="G162" i="43"/>
  <c r="G161" i="43"/>
  <c r="G160" i="43"/>
  <c r="G159" i="43"/>
  <c r="G158" i="43"/>
  <c r="G157" i="43"/>
  <c r="G156" i="43"/>
  <c r="G153" i="43"/>
  <c r="G150" i="43"/>
  <c r="G149" i="43"/>
  <c r="G144" i="43"/>
  <c r="G143" i="43"/>
  <c r="G142" i="43"/>
  <c r="G141" i="43"/>
  <c r="G140" i="43"/>
  <c r="G139" i="43"/>
  <c r="G138" i="43"/>
  <c r="G137" i="43"/>
  <c r="G136" i="43"/>
  <c r="G135" i="43"/>
  <c r="G134" i="43"/>
  <c r="G133" i="43"/>
  <c r="G132" i="43"/>
  <c r="G131" i="43"/>
  <c r="G130" i="43"/>
  <c r="G129" i="43"/>
  <c r="G128" i="43"/>
  <c r="G127" i="43"/>
  <c r="G126" i="43"/>
  <c r="G125" i="43"/>
  <c r="G124" i="43"/>
  <c r="G123" i="43"/>
  <c r="G120" i="43"/>
  <c r="G119" i="43"/>
  <c r="G118" i="43"/>
  <c r="G116" i="43"/>
  <c r="G115" i="43"/>
  <c r="G113" i="43"/>
  <c r="G112" i="43"/>
  <c r="G105" i="43"/>
  <c r="G99" i="43"/>
  <c r="G98" i="43"/>
  <c r="G96" i="43"/>
  <c r="G95" i="43"/>
  <c r="G94" i="43"/>
  <c r="G93" i="43"/>
  <c r="G90" i="43"/>
  <c r="G89" i="43"/>
  <c r="G88" i="43"/>
  <c r="G87" i="43"/>
  <c r="G86" i="43"/>
  <c r="G85" i="43"/>
  <c r="G84" i="43"/>
  <c r="G83" i="43"/>
  <c r="G81" i="43"/>
  <c r="G80" i="43"/>
  <c r="G77" i="43"/>
  <c r="G76" i="43"/>
  <c r="G75" i="43"/>
  <c r="G74" i="43"/>
  <c r="G73" i="43"/>
  <c r="G72" i="43"/>
  <c r="G71" i="43"/>
  <c r="G70" i="43"/>
  <c r="G69" i="43"/>
  <c r="G68" i="43"/>
  <c r="G67" i="43"/>
  <c r="G66" i="43"/>
  <c r="G65" i="43"/>
  <c r="G64" i="43"/>
  <c r="G63" i="43"/>
  <c r="G62" i="43"/>
  <c r="G61" i="43"/>
  <c r="G57" i="43"/>
  <c r="G56" i="43"/>
  <c r="G55" i="43"/>
  <c r="G53" i="43"/>
  <c r="G47" i="43"/>
  <c r="G46" i="43"/>
  <c r="G45" i="43"/>
  <c r="G44" i="43"/>
  <c r="G43" i="43"/>
  <c r="G41" i="43"/>
  <c r="G40" i="43"/>
  <c r="G39" i="43"/>
  <c r="G38" i="43"/>
  <c r="G36" i="43"/>
  <c r="G35" i="43"/>
  <c r="G34" i="43"/>
  <c r="G178" i="43"/>
  <c r="G177" i="43"/>
  <c r="G176" i="43"/>
  <c r="G175" i="43"/>
  <c r="G174" i="43"/>
  <c r="G173" i="43"/>
  <c r="G172" i="43"/>
  <c r="G31" i="43"/>
  <c r="G30" i="43"/>
  <c r="G29" i="43"/>
  <c r="G28" i="43"/>
  <c r="G27" i="43"/>
  <c r="G26" i="43"/>
  <c r="G25" i="43"/>
  <c r="G24" i="43"/>
  <c r="G23" i="43"/>
  <c r="G22" i="43"/>
  <c r="G21" i="43"/>
  <c r="G20" i="43"/>
  <c r="G19" i="43"/>
  <c r="G14" i="43"/>
  <c r="G13" i="43"/>
  <c r="G12" i="43"/>
  <c r="G10" i="43"/>
  <c r="G8" i="43"/>
  <c r="G7" i="43"/>
  <c r="G5" i="43"/>
  <c r="G4" i="43"/>
  <c r="F178" i="43"/>
  <c r="F177" i="43"/>
  <c r="F176" i="43"/>
  <c r="F175" i="43"/>
  <c r="F174" i="43"/>
  <c r="F173" i="43"/>
  <c r="F172" i="43"/>
  <c r="F167" i="43"/>
  <c r="F166" i="43"/>
  <c r="F165" i="43"/>
  <c r="F164" i="43"/>
  <c r="F162" i="43"/>
  <c r="F161" i="43"/>
  <c r="F160" i="43"/>
  <c r="F159" i="43"/>
  <c r="F158" i="43"/>
  <c r="F157" i="43"/>
  <c r="F156" i="43"/>
  <c r="F153" i="43"/>
  <c r="F150" i="43"/>
  <c r="F149" i="43"/>
  <c r="F144" i="43"/>
  <c r="F143" i="43"/>
  <c r="F142" i="43"/>
  <c r="F141" i="43"/>
  <c r="F140" i="43"/>
  <c r="F139" i="43"/>
  <c r="F138" i="43"/>
  <c r="F137" i="43"/>
  <c r="F136" i="43"/>
  <c r="F135" i="43"/>
  <c r="F134" i="43"/>
  <c r="F133" i="43"/>
  <c r="F132" i="43"/>
  <c r="F131" i="43"/>
  <c r="F130" i="43"/>
  <c r="F129" i="43"/>
  <c r="F128" i="43"/>
  <c r="F127" i="43"/>
  <c r="F126" i="43"/>
  <c r="F125" i="43"/>
  <c r="F124" i="43"/>
  <c r="F123" i="43"/>
  <c r="F120" i="43"/>
  <c r="F119" i="43"/>
  <c r="F118" i="43"/>
  <c r="F116" i="43"/>
  <c r="F115" i="43"/>
  <c r="F113" i="43"/>
  <c r="F112" i="43"/>
  <c r="F105" i="43"/>
  <c r="F99" i="43"/>
  <c r="F98" i="43"/>
  <c r="F97" i="43"/>
  <c r="F96" i="43"/>
  <c r="F95" i="43"/>
  <c r="F94" i="43"/>
  <c r="F93" i="43"/>
  <c r="F90" i="43"/>
  <c r="F89" i="43"/>
  <c r="F88" i="43"/>
  <c r="F87" i="43"/>
  <c r="F86" i="43"/>
  <c r="F85" i="43"/>
  <c r="F84" i="43"/>
  <c r="F83" i="43"/>
  <c r="F81" i="43"/>
  <c r="F80" i="43"/>
  <c r="F77" i="43"/>
  <c r="F76" i="43"/>
  <c r="F75" i="43"/>
  <c r="F74" i="43"/>
  <c r="F73" i="43"/>
  <c r="F72" i="43"/>
  <c r="F71" i="43"/>
  <c r="F70" i="43"/>
  <c r="F69" i="43"/>
  <c r="F68" i="43"/>
  <c r="F67" i="43"/>
  <c r="F66" i="43"/>
  <c r="F65" i="43"/>
  <c r="F64" i="43"/>
  <c r="F63" i="43"/>
  <c r="F62" i="43"/>
  <c r="F61" i="43"/>
  <c r="F57" i="43"/>
  <c r="F56" i="43"/>
  <c r="F55" i="43"/>
  <c r="F53" i="43"/>
  <c r="F47" i="43"/>
  <c r="F46" i="43"/>
  <c r="F45" i="43"/>
  <c r="F44" i="43"/>
  <c r="F43" i="43"/>
  <c r="F41" i="43"/>
  <c r="F40" i="43"/>
  <c r="F39" i="43"/>
  <c r="F38" i="43"/>
  <c r="F36" i="43"/>
  <c r="F35" i="43"/>
  <c r="F34" i="43"/>
  <c r="F31" i="43"/>
  <c r="F30" i="43"/>
  <c r="F29" i="43"/>
  <c r="F28" i="43"/>
  <c r="F27" i="43"/>
  <c r="F26" i="43"/>
  <c r="F25" i="43"/>
  <c r="F24" i="43"/>
  <c r="F23" i="43"/>
  <c r="F22" i="43"/>
  <c r="F21" i="43"/>
  <c r="F20" i="43"/>
  <c r="F19" i="43"/>
  <c r="F14" i="43"/>
  <c r="F13" i="43"/>
  <c r="F12" i="43"/>
  <c r="F10" i="43"/>
  <c r="F8" i="43"/>
  <c r="F7" i="43"/>
  <c r="F5" i="43"/>
  <c r="F6" i="43"/>
  <c r="F4" i="43"/>
  <c r="O3" i="34" l="1"/>
  <c r="O4" i="34"/>
  <c r="O5" i="34"/>
  <c r="O6" i="34"/>
  <c r="O7" i="34"/>
  <c r="O8" i="34"/>
  <c r="O9" i="34"/>
  <c r="O10" i="34"/>
  <c r="O11" i="34"/>
  <c r="O12" i="34"/>
  <c r="O13" i="34"/>
  <c r="O14" i="34"/>
  <c r="O15" i="34"/>
  <c r="O16" i="34"/>
  <c r="O17" i="34"/>
  <c r="O18" i="34"/>
  <c r="O19" i="34"/>
  <c r="O20" i="34"/>
  <c r="O21" i="34"/>
  <c r="O22" i="34"/>
  <c r="O23" i="34"/>
  <c r="O24" i="34"/>
  <c r="O25" i="34"/>
  <c r="O26" i="34"/>
  <c r="O27" i="34"/>
  <c r="O28" i="34"/>
  <c r="O29" i="34"/>
  <c r="O30" i="34"/>
  <c r="O31" i="34"/>
  <c r="O32" i="34"/>
  <c r="O33" i="34"/>
  <c r="O34" i="34"/>
  <c r="O35" i="34"/>
  <c r="O36" i="34"/>
  <c r="O37" i="34"/>
  <c r="O38" i="34"/>
  <c r="O39" i="34"/>
  <c r="O40" i="34"/>
  <c r="O41" i="34"/>
  <c r="O42" i="34"/>
  <c r="O43" i="34"/>
  <c r="O44" i="34"/>
  <c r="O45" i="34"/>
  <c r="O46" i="34"/>
  <c r="O47" i="34"/>
  <c r="O48" i="34"/>
  <c r="O49" i="34"/>
  <c r="O50" i="34"/>
  <c r="O51" i="34"/>
  <c r="O52" i="34"/>
  <c r="O53" i="34"/>
  <c r="O54" i="34"/>
  <c r="O55" i="34"/>
  <c r="O56" i="34"/>
  <c r="O57" i="34"/>
  <c r="O58" i="34"/>
  <c r="O59" i="34"/>
  <c r="O60" i="34"/>
  <c r="O61" i="34"/>
  <c r="O62" i="34"/>
  <c r="O63" i="34"/>
  <c r="O64" i="34"/>
  <c r="O65" i="34"/>
  <c r="O66" i="34"/>
  <c r="O67" i="34"/>
  <c r="O68" i="34"/>
  <c r="O69" i="34"/>
  <c r="O70" i="34"/>
  <c r="O71" i="34"/>
  <c r="O72" i="34"/>
  <c r="O73" i="34"/>
  <c r="O74" i="34"/>
  <c r="O75" i="34"/>
  <c r="O76" i="34"/>
  <c r="O77" i="34"/>
  <c r="O78" i="34"/>
  <c r="O79" i="34"/>
  <c r="O80" i="34"/>
  <c r="O81" i="34"/>
  <c r="O82" i="34"/>
  <c r="O83" i="34"/>
  <c r="O84" i="34"/>
  <c r="O85" i="34"/>
  <c r="O86" i="34"/>
  <c r="O87" i="34"/>
  <c r="O88" i="34"/>
  <c r="O89" i="34"/>
  <c r="O90" i="34"/>
  <c r="O91" i="34"/>
  <c r="O92" i="34"/>
  <c r="O93" i="34"/>
  <c r="O94" i="34"/>
  <c r="O95" i="34"/>
  <c r="O96" i="34"/>
  <c r="O97" i="34"/>
  <c r="O98" i="34"/>
  <c r="O99" i="34"/>
  <c r="O100" i="34"/>
  <c r="O101" i="34"/>
  <c r="O102" i="34"/>
  <c r="O103" i="34"/>
  <c r="O104" i="34"/>
  <c r="O105" i="34"/>
  <c r="O106" i="34"/>
  <c r="O107" i="34"/>
  <c r="O108" i="34"/>
  <c r="O109" i="34"/>
  <c r="O110" i="34"/>
  <c r="O111" i="34"/>
  <c r="O112" i="34"/>
  <c r="O113" i="34"/>
  <c r="O114" i="34"/>
  <c r="O115" i="34"/>
  <c r="O116" i="34"/>
  <c r="O117" i="34"/>
  <c r="O118" i="34"/>
  <c r="O119" i="34"/>
  <c r="O120" i="34"/>
  <c r="O121" i="34"/>
  <c r="O122" i="34"/>
  <c r="O123" i="34"/>
  <c r="O124" i="34"/>
  <c r="O125" i="34"/>
  <c r="O126" i="34"/>
  <c r="O127" i="34"/>
  <c r="O128" i="34"/>
  <c r="O129" i="34"/>
  <c r="O130" i="34"/>
  <c r="O131" i="34"/>
  <c r="O132" i="34"/>
  <c r="O133" i="34"/>
  <c r="O134" i="34"/>
  <c r="O135" i="34"/>
  <c r="O136" i="34"/>
  <c r="O137" i="34"/>
  <c r="O138" i="34"/>
  <c r="O139" i="34"/>
  <c r="O140" i="34"/>
  <c r="O141" i="34"/>
  <c r="O142" i="34"/>
  <c r="O143" i="34"/>
  <c r="O144" i="34"/>
  <c r="O145" i="34"/>
  <c r="O146" i="34"/>
  <c r="O147" i="34"/>
  <c r="O148" i="34"/>
  <c r="O149" i="34"/>
  <c r="O150" i="34"/>
  <c r="O151" i="34"/>
  <c r="O152" i="34"/>
  <c r="O153" i="34"/>
  <c r="O154" i="34"/>
  <c r="O155" i="34"/>
  <c r="O156" i="34"/>
  <c r="O157" i="34"/>
  <c r="O158" i="34"/>
  <c r="O159" i="34"/>
  <c r="O160" i="34"/>
  <c r="O161" i="34"/>
  <c r="O162" i="34"/>
  <c r="O163" i="34"/>
  <c r="O164" i="34"/>
  <c r="O165" i="34"/>
  <c r="O166" i="34"/>
  <c r="O167" i="34"/>
  <c r="O168" i="34"/>
  <c r="O169" i="34"/>
  <c r="O170" i="34"/>
  <c r="O171" i="34"/>
  <c r="O172" i="34"/>
  <c r="O173" i="34"/>
  <c r="O174" i="34"/>
  <c r="O175" i="34"/>
  <c r="O176" i="34"/>
  <c r="O177" i="34"/>
  <c r="O178" i="34"/>
  <c r="O179" i="34"/>
  <c r="O180" i="34"/>
  <c r="O181" i="34"/>
  <c r="O182" i="34"/>
  <c r="O183" i="34"/>
  <c r="O184" i="34"/>
  <c r="O185" i="34"/>
  <c r="O186" i="34"/>
  <c r="O187" i="34"/>
  <c r="O188" i="34"/>
  <c r="O189" i="34"/>
  <c r="O190" i="34"/>
  <c r="O191" i="34"/>
  <c r="O192" i="34"/>
  <c r="O193" i="34"/>
  <c r="O194" i="34"/>
  <c r="O195" i="34"/>
  <c r="O196" i="34"/>
  <c r="O197" i="34"/>
  <c r="O198" i="34"/>
  <c r="O199" i="34"/>
  <c r="O200" i="34"/>
  <c r="O201" i="34"/>
  <c r="O202" i="34"/>
  <c r="O203" i="34"/>
  <c r="O204" i="34"/>
  <c r="O205" i="34"/>
  <c r="O206" i="34"/>
  <c r="O207" i="34"/>
  <c r="O208" i="34"/>
  <c r="O209" i="34"/>
  <c r="O210" i="34"/>
  <c r="O211" i="34"/>
  <c r="O212" i="34"/>
  <c r="O213" i="34"/>
  <c r="O214" i="34"/>
  <c r="O215" i="34"/>
  <c r="O216" i="34"/>
  <c r="O217" i="34"/>
  <c r="O218" i="34"/>
  <c r="O219" i="34"/>
  <c r="O220" i="34"/>
  <c r="O221" i="34"/>
  <c r="O222" i="34"/>
  <c r="O223" i="34"/>
  <c r="O224" i="34"/>
  <c r="O225" i="34"/>
  <c r="O226" i="34"/>
  <c r="O227" i="34"/>
  <c r="O228" i="34"/>
  <c r="O229" i="34"/>
  <c r="O230" i="34"/>
  <c r="O231" i="34"/>
  <c r="O232" i="34"/>
  <c r="O233" i="34"/>
  <c r="O234" i="34"/>
  <c r="O235" i="34"/>
  <c r="O236" i="34"/>
  <c r="O237" i="34"/>
  <c r="O238" i="34"/>
  <c r="O239" i="34"/>
  <c r="O240" i="34"/>
  <c r="O241" i="34"/>
  <c r="O242" i="34"/>
  <c r="O243" i="34"/>
  <c r="O244" i="34"/>
  <c r="O245" i="34"/>
  <c r="O246" i="34"/>
  <c r="O247" i="34"/>
  <c r="O248" i="34"/>
  <c r="O249" i="34"/>
  <c r="O250" i="34"/>
  <c r="O251" i="34"/>
  <c r="O252" i="34"/>
  <c r="O253" i="34"/>
  <c r="O254" i="34"/>
  <c r="O255" i="34"/>
  <c r="O256" i="34"/>
  <c r="O257" i="34"/>
  <c r="O258" i="34"/>
  <c r="O259" i="34"/>
  <c r="O260" i="34"/>
  <c r="O261" i="34"/>
  <c r="O262" i="34"/>
  <c r="O263" i="34"/>
  <c r="O264" i="34"/>
  <c r="O265" i="34"/>
  <c r="O266" i="34"/>
  <c r="O267" i="34"/>
  <c r="O268" i="34"/>
  <c r="O269" i="34"/>
  <c r="O270" i="34"/>
  <c r="O271" i="34"/>
  <c r="O272" i="34"/>
  <c r="O273" i="34"/>
  <c r="O274" i="34"/>
  <c r="O275" i="34"/>
  <c r="O276" i="34"/>
  <c r="O277" i="34"/>
  <c r="O278" i="34"/>
  <c r="O279" i="34"/>
  <c r="O280" i="34"/>
  <c r="O281" i="34"/>
  <c r="O282" i="34"/>
  <c r="O283" i="34"/>
  <c r="O284" i="34"/>
  <c r="O285" i="34"/>
  <c r="O286" i="34"/>
  <c r="O287" i="34"/>
  <c r="O288" i="34"/>
  <c r="O289" i="34"/>
  <c r="O290" i="34"/>
  <c r="O291" i="34"/>
  <c r="O292" i="34"/>
  <c r="O293" i="34"/>
  <c r="O294" i="34"/>
  <c r="O295" i="34"/>
  <c r="O296" i="34"/>
  <c r="O297" i="34"/>
  <c r="O298" i="34"/>
  <c r="O299" i="34"/>
  <c r="O300" i="34"/>
  <c r="O301" i="34"/>
  <c r="O2" i="34"/>
  <c r="R6" i="34" l="1"/>
  <c r="R7" i="34"/>
  <c r="R13" i="34"/>
  <c r="A11" i="19" l="1"/>
  <c r="H36" i="21" l="1"/>
  <c r="B49" i="19" s="1"/>
  <c r="B106" i="21" l="1"/>
  <c r="H394" i="21" l="1"/>
  <c r="H382" i="21"/>
  <c r="B84" i="19" s="1"/>
  <c r="H373" i="21"/>
  <c r="H368" i="21"/>
  <c r="B82" i="19" s="1"/>
  <c r="H358" i="21"/>
  <c r="B81" i="19" s="1"/>
  <c r="H350" i="21"/>
  <c r="B80" i="19" s="1"/>
  <c r="H339" i="21"/>
  <c r="B79" i="19" s="1"/>
  <c r="H332" i="21"/>
  <c r="B78" i="19" s="1"/>
  <c r="H327" i="21"/>
  <c r="H317" i="21"/>
  <c r="H295" i="21"/>
  <c r="B74" i="19" s="1"/>
  <c r="H285" i="21"/>
  <c r="B73" i="19" s="1"/>
  <c r="H280" i="21"/>
  <c r="B72" i="19" s="1"/>
  <c r="H248" i="21"/>
  <c r="H214" i="21"/>
  <c r="B65" i="19" s="1"/>
  <c r="H197" i="21"/>
  <c r="B64" i="19" s="1"/>
  <c r="H192" i="21"/>
  <c r="B62" i="19" s="1"/>
  <c r="H172" i="21"/>
  <c r="B60" i="19" s="1"/>
  <c r="H54" i="21"/>
  <c r="H166" i="21"/>
  <c r="H144" i="21"/>
  <c r="H119" i="21"/>
  <c r="B55" i="19" s="1"/>
  <c r="H106" i="21"/>
  <c r="H94" i="21"/>
  <c r="B53" i="19" s="1"/>
  <c r="H306" i="21"/>
  <c r="B75" i="19" s="1"/>
  <c r="H268" i="21"/>
  <c r="B71" i="19" s="1"/>
  <c r="H264" i="21"/>
  <c r="H258" i="21"/>
  <c r="H233" i="21"/>
  <c r="B66" i="19" s="1"/>
  <c r="H225" i="21"/>
  <c r="B67" i="19" s="1"/>
  <c r="H209" i="21"/>
  <c r="H186" i="21"/>
  <c r="B61" i="19" s="1"/>
  <c r="H154" i="21"/>
  <c r="B58" i="19" s="1"/>
  <c r="H130" i="21"/>
  <c r="B56" i="19" s="1"/>
  <c r="H75" i="21"/>
  <c r="H44" i="21"/>
  <c r="B50" i="19" s="1"/>
  <c r="H32" i="21"/>
  <c r="B48" i="19" s="1"/>
  <c r="H16" i="21"/>
  <c r="H3" i="21"/>
  <c r="B46" i="19" l="1"/>
  <c r="B54" i="19"/>
  <c r="B52" i="19"/>
  <c r="B57" i="19"/>
  <c r="B59" i="19"/>
  <c r="B51" i="19"/>
  <c r="B47" i="19"/>
  <c r="B63" i="19"/>
  <c r="B85" i="19"/>
  <c r="B76" i="19"/>
  <c r="B68" i="19"/>
  <c r="B77" i="19"/>
  <c r="B83" i="19"/>
  <c r="B69" i="19"/>
  <c r="B70" i="19"/>
  <c r="G9" i="37"/>
  <c r="G238" i="37"/>
  <c r="G237" i="37"/>
  <c r="G236" i="37"/>
  <c r="G235" i="37"/>
  <c r="G234" i="37"/>
  <c r="G233" i="37"/>
  <c r="G232" i="37"/>
  <c r="G231" i="37"/>
  <c r="G230" i="37"/>
  <c r="G229" i="37"/>
  <c r="G227" i="37"/>
  <c r="G226" i="37"/>
  <c r="G225" i="37"/>
  <c r="G224" i="37"/>
  <c r="G223" i="37"/>
  <c r="G222" i="37"/>
  <c r="G221" i="37"/>
  <c r="G219" i="37"/>
  <c r="G218" i="37"/>
  <c r="G217" i="37"/>
  <c r="G216" i="37"/>
  <c r="G215" i="37"/>
  <c r="G214" i="37"/>
  <c r="G213" i="37"/>
  <c r="G212" i="37"/>
  <c r="G211" i="37"/>
  <c r="G210" i="37"/>
  <c r="G209" i="37"/>
  <c r="G208" i="37"/>
  <c r="G207" i="37"/>
  <c r="G205" i="37"/>
  <c r="G204" i="37"/>
  <c r="G203" i="37"/>
  <c r="G202" i="37"/>
  <c r="G201" i="37"/>
  <c r="G200" i="37"/>
  <c r="G199" i="37"/>
  <c r="G198" i="37"/>
  <c r="G197" i="37"/>
  <c r="G196" i="37"/>
  <c r="G195" i="37"/>
  <c r="G194" i="37"/>
  <c r="G193" i="37"/>
  <c r="G192" i="37"/>
  <c r="G191" i="37"/>
  <c r="G189" i="37"/>
  <c r="G188" i="37"/>
  <c r="G187" i="37"/>
  <c r="G186" i="37"/>
  <c r="G185" i="37"/>
  <c r="G184" i="37"/>
  <c r="G183" i="37"/>
  <c r="G182" i="37"/>
  <c r="G181" i="37"/>
  <c r="G180" i="37"/>
  <c r="G179" i="37"/>
  <c r="G178" i="37"/>
  <c r="G177" i="37"/>
  <c r="G175" i="37"/>
  <c r="G174" i="37"/>
  <c r="G173" i="37"/>
  <c r="G172" i="37"/>
  <c r="G171" i="37"/>
  <c r="G170" i="37"/>
  <c r="G169" i="37"/>
  <c r="G168" i="37"/>
  <c r="G166" i="37"/>
  <c r="G165" i="37"/>
  <c r="G164" i="37"/>
  <c r="G163" i="37"/>
  <c r="G162" i="37"/>
  <c r="G161" i="37"/>
  <c r="G160" i="37"/>
  <c r="G159" i="37"/>
  <c r="G158" i="37"/>
  <c r="G157" i="37"/>
  <c r="G156" i="37"/>
  <c r="G151" i="37"/>
  <c r="G150" i="37"/>
  <c r="G149" i="37"/>
  <c r="G148" i="37"/>
  <c r="G147" i="37"/>
  <c r="G146" i="37"/>
  <c r="G145" i="37"/>
  <c r="G143" i="37"/>
  <c r="G142" i="37"/>
  <c r="G141" i="37"/>
  <c r="G140" i="37"/>
  <c r="G139" i="37"/>
  <c r="G138" i="37"/>
  <c r="G137" i="37"/>
  <c r="G135" i="37"/>
  <c r="G134" i="37"/>
  <c r="G133" i="37"/>
  <c r="G132" i="37"/>
  <c r="G131" i="37"/>
  <c r="G130" i="37"/>
  <c r="G129" i="37"/>
  <c r="G128" i="37"/>
  <c r="G127" i="37"/>
  <c r="G126" i="37"/>
  <c r="G125" i="37"/>
  <c r="G124" i="37"/>
  <c r="G123" i="37"/>
  <c r="G121" i="37"/>
  <c r="G120" i="37"/>
  <c r="G119" i="37"/>
  <c r="G118" i="37"/>
  <c r="G117" i="37"/>
  <c r="G116" i="37"/>
  <c r="G115" i="37"/>
  <c r="G114" i="37"/>
  <c r="G113" i="37"/>
  <c r="G112" i="37"/>
  <c r="G111" i="37"/>
  <c r="G106" i="37"/>
  <c r="G104" i="37"/>
  <c r="G102" i="37"/>
  <c r="G101" i="37"/>
  <c r="G100" i="37"/>
  <c r="G98" i="37"/>
  <c r="G97" i="37"/>
  <c r="G96" i="37"/>
  <c r="G95" i="37"/>
  <c r="G94" i="37"/>
  <c r="G93" i="37"/>
  <c r="G92" i="37"/>
  <c r="G91" i="37"/>
  <c r="G90" i="37"/>
  <c r="G89" i="37"/>
  <c r="G88" i="37"/>
  <c r="G87" i="37"/>
  <c r="G86" i="37"/>
  <c r="G85" i="37"/>
  <c r="G84" i="37"/>
  <c r="G83" i="37"/>
  <c r="G82" i="37"/>
  <c r="G81" i="37"/>
  <c r="G80" i="37"/>
  <c r="G79" i="37"/>
  <c r="G77" i="37"/>
  <c r="G76" i="37"/>
  <c r="G75" i="37"/>
  <c r="G74" i="37"/>
  <c r="G73" i="37"/>
  <c r="G72" i="37"/>
  <c r="G71" i="37"/>
  <c r="G69" i="37"/>
  <c r="G68" i="37"/>
  <c r="G67" i="37"/>
  <c r="G66" i="37"/>
  <c r="G65" i="37"/>
  <c r="G64" i="37"/>
  <c r="G63" i="37"/>
  <c r="G62" i="37"/>
  <c r="G61" i="37"/>
  <c r="G60" i="37"/>
  <c r="G59" i="37"/>
  <c r="G58" i="37"/>
  <c r="G57" i="37"/>
  <c r="G56" i="37"/>
  <c r="G55" i="37"/>
  <c r="G54" i="37"/>
  <c r="G53" i="37"/>
  <c r="G52" i="37"/>
  <c r="G51" i="37"/>
  <c r="G50" i="37"/>
  <c r="G49" i="37"/>
  <c r="G48" i="37"/>
  <c r="G47" i="37"/>
  <c r="G46" i="37"/>
  <c r="G45" i="37"/>
  <c r="G44" i="37"/>
  <c r="G43" i="37"/>
  <c r="G42" i="37"/>
  <c r="G41" i="37"/>
  <c r="G40" i="37"/>
  <c r="G39" i="37"/>
  <c r="G38" i="37"/>
  <c r="G37" i="37"/>
  <c r="G36" i="37"/>
  <c r="G35" i="37"/>
  <c r="G34" i="37"/>
  <c r="G33" i="37"/>
  <c r="G32" i="37"/>
  <c r="G31" i="37"/>
  <c r="G30" i="37"/>
  <c r="G28" i="37"/>
  <c r="G27" i="37"/>
  <c r="G26" i="37"/>
  <c r="G25" i="37"/>
  <c r="G24" i="37"/>
  <c r="G23" i="37"/>
  <c r="G22" i="37"/>
  <c r="G21" i="37"/>
  <c r="G20" i="37"/>
  <c r="G19" i="37"/>
  <c r="G18" i="37"/>
  <c r="G17" i="37"/>
  <c r="G16" i="37"/>
  <c r="G15" i="37"/>
  <c r="G14" i="37"/>
  <c r="G13" i="37"/>
  <c r="G12" i="37"/>
  <c r="G10" i="37"/>
  <c r="G8" i="37"/>
  <c r="B86" i="19" l="1"/>
  <c r="Q3" i="4" s="1"/>
  <c r="H9" i="21" l="1"/>
  <c r="H395" i="21"/>
  <c r="C85" i="19" s="1"/>
  <c r="H390" i="21"/>
  <c r="I84" i="19" s="1"/>
  <c r="H386" i="21"/>
  <c r="F84" i="19" s="1"/>
  <c r="H384" i="21"/>
  <c r="E84" i="19" s="1"/>
  <c r="H376" i="21"/>
  <c r="H374" i="21"/>
  <c r="H371" i="21"/>
  <c r="F82" i="19" s="1"/>
  <c r="H369" i="21"/>
  <c r="E82" i="19" s="1"/>
  <c r="H362" i="21"/>
  <c r="H359" i="21"/>
  <c r="E81" i="19" s="1"/>
  <c r="H354" i="21"/>
  <c r="E80" i="19" s="1"/>
  <c r="H352" i="21"/>
  <c r="H344" i="21"/>
  <c r="E79" i="19" s="1"/>
  <c r="H342" i="21"/>
  <c r="D79" i="19" s="1"/>
  <c r="H340" i="21"/>
  <c r="H336" i="21"/>
  <c r="G78" i="19" s="1"/>
  <c r="H333" i="21"/>
  <c r="H323" i="21"/>
  <c r="H320" i="21"/>
  <c r="D76" i="19" s="1"/>
  <c r="H318" i="21"/>
  <c r="C76" i="19" s="1"/>
  <c r="H313" i="21"/>
  <c r="H310" i="21"/>
  <c r="E75" i="19" s="1"/>
  <c r="H307" i="21"/>
  <c r="D75" i="19" s="1"/>
  <c r="H297" i="21"/>
  <c r="E74" i="19" s="1"/>
  <c r="H292" i="21"/>
  <c r="G73" i="19" s="1"/>
  <c r="H288" i="21"/>
  <c r="E73" i="19" s="1"/>
  <c r="H286" i="21"/>
  <c r="C73" i="19" s="1"/>
  <c r="H278" i="21"/>
  <c r="H274" i="21"/>
  <c r="E71" i="19" s="1"/>
  <c r="H271" i="21"/>
  <c r="H269" i="21"/>
  <c r="C71" i="19" s="1"/>
  <c r="H261" i="21"/>
  <c r="D69" i="19" s="1"/>
  <c r="H259" i="21"/>
  <c r="C69" i="19" s="1"/>
  <c r="H254" i="21"/>
  <c r="E68" i="19" s="1"/>
  <c r="H249" i="21"/>
  <c r="H245" i="21"/>
  <c r="H241" i="21"/>
  <c r="H237" i="21"/>
  <c r="H234" i="21"/>
  <c r="H231" i="21"/>
  <c r="H226" i="21"/>
  <c r="H219" i="21"/>
  <c r="E65" i="19" s="1"/>
  <c r="H217" i="21"/>
  <c r="D65" i="19" s="1"/>
  <c r="H215" i="21"/>
  <c r="C65" i="19" s="1"/>
  <c r="H207" i="21"/>
  <c r="H203" i="21"/>
  <c r="G62" i="19" s="1"/>
  <c r="H200" i="21"/>
  <c r="F62" i="19" s="1"/>
  <c r="H198" i="21"/>
  <c r="H194" i="21"/>
  <c r="D63" i="19" s="1"/>
  <c r="H187" i="21"/>
  <c r="C61" i="19" s="1"/>
  <c r="H183" i="21"/>
  <c r="H179" i="21"/>
  <c r="G60" i="19" s="1"/>
  <c r="H175" i="21"/>
  <c r="F60" i="19" s="1"/>
  <c r="H173" i="21"/>
  <c r="H167" i="21"/>
  <c r="H159" i="21"/>
  <c r="H155" i="21"/>
  <c r="H148" i="21"/>
  <c r="H145" i="21"/>
  <c r="H139" i="21"/>
  <c r="H134" i="21"/>
  <c r="H131" i="21"/>
  <c r="C56" i="19" s="1"/>
  <c r="H126" i="21"/>
  <c r="F55" i="19" s="1"/>
  <c r="H122" i="21"/>
  <c r="E55" i="19" s="1"/>
  <c r="H120" i="21"/>
  <c r="H113" i="21"/>
  <c r="G54" i="19" s="1"/>
  <c r="H107" i="21"/>
  <c r="D54" i="19" s="1"/>
  <c r="H100" i="21"/>
  <c r="H81" i="21"/>
  <c r="F11" i="4"/>
  <c r="D80" i="19" l="1"/>
  <c r="F56" i="19"/>
  <c r="D62" i="19"/>
  <c r="E83" i="19"/>
  <c r="H60" i="19"/>
  <c r="D56" i="19"/>
  <c r="F83" i="19"/>
  <c r="G66" i="19"/>
  <c r="D57" i="19"/>
  <c r="F76" i="19"/>
  <c r="E78" i="19"/>
  <c r="I62" i="19"/>
  <c r="D71" i="19"/>
  <c r="D55" i="19"/>
  <c r="F75" i="19"/>
  <c r="C58" i="19"/>
  <c r="C79" i="19"/>
  <c r="E60" i="19"/>
  <c r="G81" i="19"/>
  <c r="C57" i="19"/>
  <c r="D58" i="19"/>
  <c r="E53" i="19"/>
  <c r="E46" i="19"/>
  <c r="I67" i="19"/>
  <c r="F66" i="19"/>
  <c r="H66" i="19"/>
  <c r="I66" i="19"/>
  <c r="C68" i="19"/>
  <c r="E52" i="19"/>
  <c r="G71" i="19"/>
  <c r="C59" i="19"/>
  <c r="D67" i="19"/>
  <c r="I317" i="21"/>
  <c r="I214" i="21"/>
  <c r="G11" i="4"/>
  <c r="I11" i="4"/>
  <c r="H76" i="21"/>
  <c r="C52" i="19" s="1"/>
  <c r="H68" i="21"/>
  <c r="H62" i="21"/>
  <c r="H55" i="21"/>
  <c r="D51" i="19" s="1"/>
  <c r="H50" i="21"/>
  <c r="G50" i="19" s="1"/>
  <c r="H45" i="21"/>
  <c r="D50" i="19" s="1"/>
  <c r="H41" i="21"/>
  <c r="H39" i="21"/>
  <c r="D49" i="19" s="1"/>
  <c r="H37" i="21"/>
  <c r="H33" i="21"/>
  <c r="C49" i="19" l="1"/>
  <c r="E51" i="19"/>
  <c r="C48" i="19"/>
  <c r="E49" i="19"/>
  <c r="F51" i="19"/>
  <c r="I54" i="21"/>
  <c r="H22" i="21"/>
  <c r="H17" i="21"/>
  <c r="C47" i="19" s="1"/>
  <c r="H11" i="21"/>
  <c r="F46" i="19" s="1"/>
  <c r="H4" i="21"/>
  <c r="D46" i="19" s="1"/>
  <c r="H109" i="21"/>
  <c r="F54" i="19" s="1"/>
  <c r="H118" i="21"/>
  <c r="I54" i="19" s="1"/>
  <c r="E47" i="19" l="1"/>
  <c r="I16" i="21"/>
  <c r="I3" i="21"/>
  <c r="H11" i="4"/>
  <c r="J11" i="4"/>
  <c r="I106" i="21"/>
  <c r="K11" i="4" l="1"/>
  <c r="V4" i="34"/>
  <c r="Q3" i="34" s="1"/>
  <c r="G3" i="34"/>
  <c r="G2" i="34"/>
  <c r="F42" i="4" l="1"/>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0" i="4"/>
  <c r="F9" i="4"/>
  <c r="F8" i="4"/>
  <c r="F7" i="4"/>
  <c r="F6" i="4"/>
  <c r="F5" i="4"/>
  <c r="F4" i="4"/>
  <c r="F3" i="4"/>
  <c r="H230" i="21"/>
  <c r="A19" i="19"/>
  <c r="A23" i="19"/>
  <c r="B233" i="21"/>
  <c r="B197" i="21"/>
  <c r="G23" i="4"/>
  <c r="H23" i="4"/>
  <c r="I23" i="4"/>
  <c r="I197" i="21"/>
  <c r="J23" i="4"/>
  <c r="I21" i="4"/>
  <c r="H21" i="4"/>
  <c r="G21" i="4"/>
  <c r="B225" i="21"/>
  <c r="B3" i="21"/>
  <c r="B16" i="21"/>
  <c r="H265" i="21"/>
  <c r="D70" i="19" s="1"/>
  <c r="B264" i="21"/>
  <c r="A31" i="19"/>
  <c r="A32" i="19"/>
  <c r="A33" i="19"/>
  <c r="A34" i="19"/>
  <c r="A35" i="19"/>
  <c r="A36" i="19"/>
  <c r="A37" i="19"/>
  <c r="A38" i="19"/>
  <c r="A39" i="19"/>
  <c r="A40" i="19"/>
  <c r="A41" i="19"/>
  <c r="A42" i="19"/>
  <c r="A30" i="19"/>
  <c r="A4" i="19"/>
  <c r="A5" i="19"/>
  <c r="A6" i="19"/>
  <c r="A7" i="19"/>
  <c r="A8" i="19"/>
  <c r="A9" i="19"/>
  <c r="A10" i="19"/>
  <c r="A12" i="19"/>
  <c r="A13" i="19"/>
  <c r="A14" i="19"/>
  <c r="A15" i="19"/>
  <c r="A16" i="19"/>
  <c r="A17" i="19"/>
  <c r="A18" i="19"/>
  <c r="A20" i="19"/>
  <c r="A21" i="19"/>
  <c r="A22" i="19"/>
  <c r="A24" i="19"/>
  <c r="A25" i="19"/>
  <c r="A26" i="19"/>
  <c r="A27" i="19"/>
  <c r="A28" i="19"/>
  <c r="A29" i="19"/>
  <c r="A3" i="19"/>
  <c r="B394" i="21"/>
  <c r="B382" i="21"/>
  <c r="B373" i="21"/>
  <c r="B368" i="21"/>
  <c r="B358" i="21"/>
  <c r="B350" i="21"/>
  <c r="B339" i="21"/>
  <c r="B332" i="21"/>
  <c r="B327" i="21"/>
  <c r="B317" i="21"/>
  <c r="B306" i="21"/>
  <c r="B295" i="21"/>
  <c r="B285" i="21"/>
  <c r="B280" i="21"/>
  <c r="B268" i="21"/>
  <c r="B258" i="21"/>
  <c r="B248" i="21"/>
  <c r="B214" i="21"/>
  <c r="B209" i="21"/>
  <c r="B192" i="21"/>
  <c r="B186" i="21"/>
  <c r="B172" i="21"/>
  <c r="B166" i="21"/>
  <c r="B154" i="21"/>
  <c r="B144" i="21"/>
  <c r="B130" i="21"/>
  <c r="B119" i="21"/>
  <c r="B94" i="21"/>
  <c r="B75" i="21"/>
  <c r="B54" i="21"/>
  <c r="B44" i="21"/>
  <c r="B36" i="21"/>
  <c r="B32" i="21"/>
  <c r="H365" i="21"/>
  <c r="H81" i="19" s="1"/>
  <c r="H256" i="21"/>
  <c r="F68" i="19" s="1"/>
  <c r="H294" i="21"/>
  <c r="H316" i="21"/>
  <c r="G75" i="19" s="1"/>
  <c r="G26" i="4"/>
  <c r="J24" i="4"/>
  <c r="H266" i="21"/>
  <c r="G10" i="4"/>
  <c r="H282" i="21"/>
  <c r="I32" i="4"/>
  <c r="H10" i="4"/>
  <c r="H13" i="4"/>
  <c r="H267" i="21"/>
  <c r="G70" i="19" s="1"/>
  <c r="H281" i="21"/>
  <c r="H32" i="4"/>
  <c r="H331" i="21"/>
  <c r="H77" i="19" s="1"/>
  <c r="H257" i="21"/>
  <c r="I68" i="19" s="1"/>
  <c r="I31" i="4"/>
  <c r="H143" i="21"/>
  <c r="H56" i="19" s="1"/>
  <c r="H169" i="21"/>
  <c r="D59" i="19" s="1"/>
  <c r="H329" i="21"/>
  <c r="D77" i="19" s="1"/>
  <c r="G35" i="4"/>
  <c r="H190" i="21"/>
  <c r="D61" i="19" s="1"/>
  <c r="I13" i="4"/>
  <c r="H22" i="4"/>
  <c r="I15" i="4"/>
  <c r="H43" i="21"/>
  <c r="H49" i="19" s="1"/>
  <c r="H361" i="21"/>
  <c r="F81" i="19" s="1"/>
  <c r="G32" i="4"/>
  <c r="J41" i="4"/>
  <c r="H211" i="21"/>
  <c r="H383" i="21"/>
  <c r="H129" i="21"/>
  <c r="I55" i="19" s="1"/>
  <c r="I9" i="4"/>
  <c r="G4" i="4"/>
  <c r="H6" i="4"/>
  <c r="I38" i="4"/>
  <c r="I22" i="4"/>
  <c r="H42" i="4"/>
  <c r="I12" i="4"/>
  <c r="I35" i="4"/>
  <c r="H37" i="4"/>
  <c r="H191" i="21"/>
  <c r="H61" i="19" s="1"/>
  <c r="I37" i="4"/>
  <c r="H351" i="21"/>
  <c r="C80" i="19" s="1"/>
  <c r="I40" i="4"/>
  <c r="G7" i="4"/>
  <c r="H26" i="4"/>
  <c r="H229" i="21"/>
  <c r="E67" i="19" s="1"/>
  <c r="H263" i="21"/>
  <c r="G17" i="4"/>
  <c r="H8" i="4"/>
  <c r="H379" i="21"/>
  <c r="H83" i="19" s="1"/>
  <c r="I39" i="4"/>
  <c r="H12" i="4"/>
  <c r="G8" i="4"/>
  <c r="H9" i="4"/>
  <c r="G13" i="4"/>
  <c r="H49" i="21"/>
  <c r="E50" i="19" s="1"/>
  <c r="I7" i="4"/>
  <c r="H33" i="4"/>
  <c r="I17" i="4"/>
  <c r="I14" i="4"/>
  <c r="I8" i="4"/>
  <c r="I30" i="4"/>
  <c r="J17" i="4"/>
  <c r="H36" i="4"/>
  <c r="H296" i="21"/>
  <c r="C74" i="19" s="1"/>
  <c r="I28" i="4"/>
  <c r="G9" i="4"/>
  <c r="I3" i="4"/>
  <c r="J3" i="4"/>
  <c r="G28" i="4"/>
  <c r="H196" i="21"/>
  <c r="H63" i="19" s="1"/>
  <c r="H19" i="4"/>
  <c r="H53" i="21"/>
  <c r="H3" i="4"/>
  <c r="J4" i="4"/>
  <c r="H103" i="21"/>
  <c r="H40" i="4"/>
  <c r="H35" i="21"/>
  <c r="J22" i="4"/>
  <c r="H328" i="21"/>
  <c r="H31" i="4"/>
  <c r="H347" i="21"/>
  <c r="H335" i="21"/>
  <c r="H15" i="4"/>
  <c r="G18" i="4"/>
  <c r="G14" i="4"/>
  <c r="G36" i="4"/>
  <c r="H193" i="21"/>
  <c r="C63" i="19" s="1"/>
  <c r="G38" i="4"/>
  <c r="J28" i="4"/>
  <c r="G30" i="4"/>
  <c r="H14" i="4"/>
  <c r="H357" i="21"/>
  <c r="I80" i="19" s="1"/>
  <c r="I33" i="4"/>
  <c r="H210" i="21"/>
  <c r="D64" i="19" s="1"/>
  <c r="H93" i="21"/>
  <c r="H52" i="19" s="1"/>
  <c r="G33" i="4"/>
  <c r="I6" i="4"/>
  <c r="G5" i="4"/>
  <c r="H330" i="21"/>
  <c r="H30" i="4"/>
  <c r="H41" i="4"/>
  <c r="H25" i="4"/>
  <c r="H17" i="4"/>
  <c r="G3" i="4"/>
  <c r="I36" i="4"/>
  <c r="H338" i="21"/>
  <c r="G6" i="4"/>
  <c r="H102" i="21"/>
  <c r="F53" i="19" s="1"/>
  <c r="J8" i="4"/>
  <c r="H28" i="4"/>
  <c r="E69" i="19" l="1"/>
  <c r="C84" i="19"/>
  <c r="F78" i="19"/>
  <c r="G53" i="19"/>
  <c r="E64" i="19"/>
  <c r="I24" i="4"/>
  <c r="F67" i="19"/>
  <c r="G79" i="19"/>
  <c r="E70" i="19"/>
  <c r="D72" i="19"/>
  <c r="D86" i="19" s="1"/>
  <c r="Q5" i="4" s="1"/>
  <c r="C77" i="19"/>
  <c r="H50" i="19"/>
  <c r="G77" i="19"/>
  <c r="E72" i="19"/>
  <c r="H78" i="19"/>
  <c r="E48" i="19"/>
  <c r="I86" i="19"/>
  <c r="Q10" i="4" s="1"/>
  <c r="H73" i="19"/>
  <c r="I295" i="21"/>
  <c r="K33" i="4"/>
  <c r="J7" i="4"/>
  <c r="H16" i="4"/>
  <c r="H29" i="4"/>
  <c r="J10" i="4"/>
  <c r="J12" i="4"/>
  <c r="J13" i="4"/>
  <c r="K13" i="4" s="1"/>
  <c r="I27" i="4"/>
  <c r="J38" i="4"/>
  <c r="J35" i="4"/>
  <c r="J40" i="4"/>
  <c r="K40" i="4" s="1"/>
  <c r="I19" i="4"/>
  <c r="H38" i="4"/>
  <c r="H35" i="4"/>
  <c r="G41" i="4"/>
  <c r="J6" i="4"/>
  <c r="K6" i="4" s="1"/>
  <c r="J34" i="4"/>
  <c r="I29" i="4"/>
  <c r="J9" i="4"/>
  <c r="K9" i="4" s="1"/>
  <c r="H7" i="4"/>
  <c r="H24" i="4"/>
  <c r="J15" i="4"/>
  <c r="J18" i="4"/>
  <c r="H20" i="4"/>
  <c r="H18" i="4"/>
  <c r="G27" i="4"/>
  <c r="G19" i="4"/>
  <c r="J36" i="4"/>
  <c r="K36" i="4" s="1"/>
  <c r="H5" i="4"/>
  <c r="K5" i="4" s="1"/>
  <c r="I42" i="4"/>
  <c r="H27" i="4"/>
  <c r="G31" i="4"/>
  <c r="I34" i="4"/>
  <c r="J31" i="4"/>
  <c r="H34" i="4"/>
  <c r="J25" i="4"/>
  <c r="J37" i="4"/>
  <c r="J32" i="4"/>
  <c r="K32" i="4" s="1"/>
  <c r="J30" i="4"/>
  <c r="K30" i="4" s="1"/>
  <c r="I25" i="4"/>
  <c r="I394" i="21"/>
  <c r="I166" i="21"/>
  <c r="I368" i="21"/>
  <c r="I209" i="21"/>
  <c r="H39" i="4"/>
  <c r="K39" i="4" s="1"/>
  <c r="I144" i="21"/>
  <c r="I350" i="21"/>
  <c r="I94" i="21"/>
  <c r="G16" i="4"/>
  <c r="I382" i="21"/>
  <c r="I233" i="21"/>
  <c r="I154" i="21"/>
  <c r="I130" i="21"/>
  <c r="I327" i="21"/>
  <c r="G37" i="4"/>
  <c r="I258" i="21"/>
  <c r="I26" i="4"/>
  <c r="K26" i="4" s="1"/>
  <c r="I248" i="21"/>
  <c r="I225" i="21"/>
  <c r="G22" i="4"/>
  <c r="K22" i="4" s="1"/>
  <c r="I119" i="21"/>
  <c r="I10" i="4"/>
  <c r="I192" i="21"/>
  <c r="I41" i="4"/>
  <c r="J14" i="4"/>
  <c r="K14" i="4" s="1"/>
  <c r="I268" i="21"/>
  <c r="G34" i="4"/>
  <c r="H4" i="4"/>
  <c r="K4" i="4" s="1"/>
  <c r="K3" i="4"/>
  <c r="I36" i="21"/>
  <c r="I172" i="21"/>
  <c r="I32" i="21"/>
  <c r="I186" i="21"/>
  <c r="I264" i="21"/>
  <c r="I44" i="21"/>
  <c r="G25" i="4"/>
  <c r="I280" i="21"/>
  <c r="G42" i="4"/>
  <c r="G15" i="4"/>
  <c r="I285" i="21"/>
  <c r="I339" i="21"/>
  <c r="I306" i="21"/>
  <c r="K23" i="4"/>
  <c r="I332" i="21"/>
  <c r="G12" i="4"/>
  <c r="K17" i="4"/>
  <c r="K28" i="4"/>
  <c r="I75" i="21"/>
  <c r="I358" i="21"/>
  <c r="I373" i="21"/>
  <c r="K8" i="4"/>
  <c r="G20" i="4"/>
  <c r="G24" i="4"/>
  <c r="J21" i="4"/>
  <c r="K21" i="4" s="1"/>
  <c r="K38" i="4" l="1"/>
  <c r="L39" i="4"/>
  <c r="L3" i="4"/>
  <c r="C86" i="19"/>
  <c r="Q4" i="4" s="1"/>
  <c r="H86" i="19"/>
  <c r="Q9" i="4" s="1"/>
  <c r="G86" i="19"/>
  <c r="Q8" i="4" s="1"/>
  <c r="E86" i="19"/>
  <c r="Q6" i="4" s="1"/>
  <c r="K24" i="4"/>
  <c r="K18" i="4"/>
  <c r="K35" i="4"/>
  <c r="K29" i="4"/>
  <c r="K27" i="4"/>
  <c r="K41" i="4"/>
  <c r="K34" i="4"/>
  <c r="K19" i="4"/>
  <c r="K37" i="4"/>
  <c r="K31" i="4"/>
  <c r="L30" i="4" s="1"/>
  <c r="K10" i="4"/>
  <c r="K7" i="4"/>
  <c r="K12" i="4"/>
  <c r="K15" i="4"/>
  <c r="K42" i="4"/>
  <c r="K20" i="4"/>
  <c r="K25" i="4"/>
  <c r="K16" i="4"/>
  <c r="L37" i="4" l="1"/>
  <c r="L17" i="4"/>
  <c r="L22" i="4"/>
  <c r="L32" i="4"/>
  <c r="L41" i="4"/>
  <c r="R36" i="4"/>
  <c r="R37" i="4" s="1"/>
  <c r="R38" i="4" s="1"/>
  <c r="M3" i="4"/>
  <c r="L5" i="4"/>
  <c r="L11" i="4"/>
  <c r="F86" i="19" s="1"/>
  <c r="Q7" i="4" s="1"/>
  <c r="R39" i="4" l="1"/>
  <c r="R40" i="4" s="1"/>
  <c r="R41" i="4" s="1"/>
  <c r="R42" i="4" s="1"/>
  <c r="R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<sst xmlns="http://schemas.openxmlformats.org/spreadsheetml/2006/main" count="7615" uniqueCount="3977">
  <si>
    <t>Примечание</t>
  </si>
  <si>
    <t>Поддомен</t>
  </si>
  <si>
    <t>ID</t>
  </si>
  <si>
    <t>Практики и их требования</t>
  </si>
  <si>
    <t>Оценка</t>
  </si>
  <si>
    <t>Уровень сложности практики</t>
  </si>
  <si>
    <t>Соответствие уровню сложности</t>
  </si>
  <si>
    <t>% выполнения группы практик</t>
  </si>
  <si>
    <t>Уровень Кирилламиды</t>
  </si>
  <si>
    <t>DSOMM</t>
  </si>
  <si>
    <t>Домен "Контроль ИБ артефактов, зависимостей и образов"</t>
  </si>
  <si>
    <t>T-ADI-DEP-0-1</t>
  </si>
  <si>
    <t>Управление зависимостями (Dependencies) в исходном коде осуществляется в каком-либо виде</t>
  </si>
  <si>
    <t>Верно</t>
  </si>
  <si>
    <t>T-ADI-DEP-1-1</t>
  </si>
  <si>
    <t>Существуют (формализованы) единые правила, определяющие возможность использования тех или иных зависимостей в коде.
Например, есть утвержденный документ, и/или страница в базе знаний, описывающие порядок использования зависимостей в коде.</t>
  </si>
  <si>
    <t>Выполняется</t>
  </si>
  <si>
    <t>SB-B-2</t>
  </si>
  <si>
    <t>T-ADI-DEP-1-2</t>
  </si>
  <si>
    <t>Обновление существующих зависимостей выполняется вручную.
Например, если возникла необходимость использовать новую версию библиотеки в коде, то ее вручную выгружают и добавляют в проект</t>
  </si>
  <si>
    <t>Не выполняется</t>
  </si>
  <si>
    <t>T-ADI-DEP-1-3</t>
  </si>
  <si>
    <t>Существует (описан, формализован) план реагирования на события ИБ, связанных с зависимостями.</t>
  </si>
  <si>
    <t>SR2.7</t>
  </si>
  <si>
    <t>T-ADI-DEP-1-4</t>
  </si>
  <si>
    <t xml:space="preserve">Выполняется харденинг (безопасная настройка) файлов конфигураций используемых пакетов open source software - OSS (например, nuget.config, .npmrc, pip.conf, pom.xml, etc.). </t>
  </si>
  <si>
    <t>T-ADI-DEP-1-5</t>
  </si>
  <si>
    <t>Зависимости с тэгом "latest" не применяются</t>
  </si>
  <si>
    <t>T-ADI-DEP-2-1</t>
  </si>
  <si>
    <t>Разработчики получают и используют OSS компоненты, применяя только стандартизованные (формализованные и утвержденные) методы</t>
  </si>
  <si>
    <t>T-ADI-DEP-2-2</t>
  </si>
  <si>
    <t>Контролируется и регулируется использование новых (моложе 60 дней) и старых (неактуальных, заброшенных, старше 365 дней) OSS.
Например, настроен OSS firewall на предупреждение (или запрет) использования OSS, выпущенных\актуализированных более 365 дней назад и менее чем 60 дней</t>
  </si>
  <si>
    <t>T-ADI-DEP-3-1</t>
  </si>
  <si>
    <t>Выполняется инвентаризация используемых зависимостей.
Например, создан внутренний репозиторий.</t>
  </si>
  <si>
    <t>SB-B-1</t>
  </si>
  <si>
    <t>T-ADI-DEP-3-2</t>
  </si>
  <si>
    <t>T-ADI-DEP-3-3</t>
  </si>
  <si>
    <t>Выполняется автоматическое обновление используемых зависимостей.
Это может быть реализовано с помощью специальных утилит для обновления зависимостей.</t>
  </si>
  <si>
    <t>T-ADI-DEP-4-1</t>
  </si>
  <si>
    <t>Выполняется самостоятельная сборка необходимых зависимостей в доверенной среде</t>
  </si>
  <si>
    <t>T-ADI-DEP-4-2</t>
  </si>
  <si>
    <t>T-ADI-ART-0-1</t>
  </si>
  <si>
    <t>Управление артефактами разработки присутствует в каком-либо виде</t>
  </si>
  <si>
    <t>T-ADI-ART-1-1</t>
  </si>
  <si>
    <t>Все артефакты разработки хранятся в доверенных registry.
Например, используется внутренний реестр.</t>
  </si>
  <si>
    <t>T-ADI-ART-1-2</t>
  </si>
  <si>
    <t>Строго ограниченный перечень лиц может помещать артефакты в registry.
Внутри registry настроены правила разграничения доступа.</t>
  </si>
  <si>
    <t>T-ADI-ART-1-3</t>
  </si>
  <si>
    <t>Для аутентификации в registry используются внешние сервисы.
Например, выполнена интеграция с LDAP или другим IdM, локальные учетные записи не используются.</t>
  </si>
  <si>
    <t>T-ADI-ART-1-4</t>
  </si>
  <si>
    <t>Отключен анонимный доступ в registry</t>
  </si>
  <si>
    <t>T-ADI-ART-1-5</t>
  </si>
  <si>
    <t>Настроен и включен аудит любых изменений конфигурации хранилищ артефактов</t>
  </si>
  <si>
    <t>T-ADI-ART-2-1</t>
  </si>
  <si>
    <t>Разработчики получают артефакты для дальнейшей работы только из внутренних репозиториев</t>
  </si>
  <si>
    <t>T-ADI-ART-2-2</t>
  </si>
  <si>
    <t>Выполняется создание хэш сумм артефактов перед отправкой их в registry, а также их проверка при сборке</t>
  </si>
  <si>
    <t>Для взаимодействия с registry используются webhook с использованием TLS версии не ниже 1.2</t>
  </si>
  <si>
    <t>T-ADI-ART-3-1</t>
  </si>
  <si>
    <t>SE2.4</t>
  </si>
  <si>
    <t>T-ADI-ART-3-2</t>
  </si>
  <si>
    <t xml:space="preserve">Для всех артефактов создается SBOM </t>
  </si>
  <si>
    <t>Используется многофакторная аутентификация для доступа к registry</t>
  </si>
  <si>
    <t>T-ADI-ART-3-4</t>
  </si>
  <si>
    <t xml:space="preserve">Конвейер сборки (build pipeline) подписывает все артефакты, которые он создает </t>
  </si>
  <si>
    <t>T-ADI-ART-4-1</t>
  </si>
  <si>
    <t>Домен "Защита окружения разработки"</t>
  </si>
  <si>
    <t>T-DEV-COMP-0-1</t>
  </si>
  <si>
    <t>Применяются практики защиты рабочих мест разработчиков</t>
  </si>
  <si>
    <t>T-DEV-COMP-1-1</t>
  </si>
  <si>
    <t>Утверждены и применяются базовые требования к ПО и настройкам на корпоративных рабочих местах разработчиков.
Например, требования к антивирусу, обновлениям ОС, требования к паролям.</t>
  </si>
  <si>
    <t>T-DEV-COMP-1-2</t>
  </si>
  <si>
    <t>Удаленный доступ с некорпоративных (и, соответственно, ненастроенных) устройств к инструментам разработки возможен только для ограниченного (небольшого) числа устройств.</t>
  </si>
  <si>
    <t>T-DEV-COMP-2-1</t>
  </si>
  <si>
    <t>T-DEV-SM-0-1</t>
  </si>
  <si>
    <t>Существует практика управления секретами</t>
  </si>
  <si>
    <t>T-DEV-SM-1-1</t>
  </si>
  <si>
    <t>Секреты в среде разработки защищаются встроенными механизмами инструментов разработки, например, CI/CD системы, без применения Secret Management систем.</t>
  </si>
  <si>
    <t>T-DEV-SM-1-2</t>
  </si>
  <si>
    <t>Инциденты ИБ, связанные с использованием секретов в среде разработки, обрабатываются службой ИБ совместно с разработчиками.</t>
  </si>
  <si>
    <t>T-DEV-SM-2-1</t>
  </si>
  <si>
    <t>Секреты окружения разработки хранятся в Secret Management инструменте, например, Hashicorp Vault.</t>
  </si>
  <si>
    <t>T-DEV-SM-2-2</t>
  </si>
  <si>
    <t>T-DEV-SM-3-1</t>
  </si>
  <si>
    <t>T-DEV-SM-3-2</t>
  </si>
  <si>
    <t xml:space="preserve">Сформирована и применяется политика ротации секретов окружений разработки </t>
  </si>
  <si>
    <t>T-DEV-SM-4-1</t>
  </si>
  <si>
    <t>Используются динамические секреты с ограничением доступа для сред</t>
  </si>
  <si>
    <t>T-DEV-BLD-0-1</t>
  </si>
  <si>
    <t>Применяются практики защиты инфраструктуры сборки ПО</t>
  </si>
  <si>
    <t>T-DEV-BLD-1-1</t>
  </si>
  <si>
    <t>T-DEV-BLD-1-2</t>
  </si>
  <si>
    <t xml:space="preserve">Для всех узлов сборки (build worker) используется подход push (вместо pull) для передачи параметров </t>
  </si>
  <si>
    <t>T-DEV-BLD-1-3</t>
  </si>
  <si>
    <t>Каждый узел сборки (build worker) имеет минимально необходимые сетевые доступы (для связи только с нужными сервисами и только по определенным портам\протоколам)</t>
  </si>
  <si>
    <t>T-DEV-BLD-1-4</t>
  </si>
  <si>
    <t>Выполняется централизованное хранение журналов (логов) сборки, включающее изменение настроек</t>
  </si>
  <si>
    <t>SE1.1</t>
  </si>
  <si>
    <t>T-DEV-BLD-2-1</t>
  </si>
  <si>
    <t>Осуществляется мониторинг и реагирование на инциденты для узлов сборки в части потребления вычислительных ресурсов (CPU, RAM, HDD и пр).</t>
  </si>
  <si>
    <t>T-DEV-BLD-3-1</t>
  </si>
  <si>
    <t>Каждый узел сборки (build worker) имеет отдельную роль (например, тестирование, компиляция, отправка артефактов), прочие задачи на нем не выполняются</t>
  </si>
  <si>
    <t>T-DEV-BLD-3-2</t>
  </si>
  <si>
    <t xml:space="preserve">Реализована настройка механизмов безопасности для узлов сборки </t>
  </si>
  <si>
    <t>T-DEV-BLD-3-3</t>
  </si>
  <si>
    <t xml:space="preserve">Все настройки узлов сборки (build worker) централизованно хранятся в системе хранения исходного кода </t>
  </si>
  <si>
    <t>T-DEV-BLD-4-1</t>
  </si>
  <si>
    <t>Создание среды сборки (build environment) выполняется автоматизировано (IaC)</t>
  </si>
  <si>
    <t>T-DEV-SCM-0-1</t>
  </si>
  <si>
    <t>Применяются практики защиты репозитория кода</t>
  </si>
  <si>
    <t>T-DEV-SCM-1-1</t>
  </si>
  <si>
    <t xml:space="preserve">Создавать и удалять репозитории могут только определенные пользователи  (например, настроен RBAC) </t>
  </si>
  <si>
    <t>T-DEV-SCM-1-2</t>
  </si>
  <si>
    <t>Удалять issues могут только определенные пользователи (например, настроен RBAC) </t>
  </si>
  <si>
    <t>T-DEV-SCM-1-3</t>
  </si>
  <si>
    <t xml:space="preserve">Создавать teams/groups могут только определенные пользователи (например, настроен RBAC) </t>
  </si>
  <si>
    <t>T-DEV-SCM-1-4</t>
  </si>
  <si>
    <t>30</t>
  </si>
  <si>
    <t>T-DEV-SCM-1-5</t>
  </si>
  <si>
    <t>Управление доступом к системе контроля версий осуществляется с использованием ролевой модели, созданной на основе принципа минимальных привилегий. Модель регулирует как минимум:
- Возможности по созданию репозиториев
- Возможности по удалению репозиториев
- Возможности по изменению видимости репозиториев</t>
  </si>
  <si>
    <t>T-DEV-SCM-1-6</t>
  </si>
  <si>
    <t>Непривилегированным пользователям доступно создание только приватных репозиториев</t>
  </si>
  <si>
    <t>T-DEV-SCM-1-7</t>
  </si>
  <si>
    <t>При установке любых приложений и дополнений в Source code management системах (SCM) запрашивается одобрение (approval) администратора</t>
  </si>
  <si>
    <t>T-DEV-SCM-2-1</t>
  </si>
  <si>
    <t>У всех копий (forks) кода включен аудит, а также назначен ответственный</t>
  </si>
  <si>
    <t>T-DEV-SCM-2-2</t>
  </si>
  <si>
    <t>Регулярно осуществляется анализ и удаление неактивных пользователей из проекта</t>
  </si>
  <si>
    <t>T-DEV-SCM-2-3</t>
  </si>
  <si>
    <t>Почтовые уведомления могут направляться только на доверенные (проверенные) домены</t>
  </si>
  <si>
    <t>T-DEV-SCM-2-4</t>
  </si>
  <si>
    <t>T-DEV-SCM-2-5</t>
  </si>
  <si>
    <t>Для каждого репозитория по умолчанию установлены минимальные привилегии пользователей</t>
  </si>
  <si>
    <t>T-DEV-SCM-2-6</t>
  </si>
  <si>
    <t>T-DEV-SCM-3-1</t>
  </si>
  <si>
    <t>Все изменения видимости проекта отслеживаются</t>
  </si>
  <si>
    <t>T-DEV-SCM-3-2</t>
  </si>
  <si>
    <t>Осуществляется идентификация неиспользуемых репозиториев и их архивирование</t>
  </si>
  <si>
    <t>T-DEV-SCM-3-3</t>
  </si>
  <si>
    <t xml:space="preserve">Доступ к SCM осуществляется с использованием многофакторной аутентификации </t>
  </si>
  <si>
    <t>33</t>
  </si>
  <si>
    <t>T-DEV-SCM-3-4</t>
  </si>
  <si>
    <t>40</t>
  </si>
  <si>
    <t>T-DEV-SCM-4-1</t>
  </si>
  <si>
    <t>T-DEV-SCM-4-2</t>
  </si>
  <si>
    <t>Доступ разработчиков к репозиторию осуществляется с использованием сертификатов, созданных только с использованием внутреннего CA (центр сертификации) компании (а не самоподписанные сертификаты) в качестве дополнительного фактора аутентификации</t>
  </si>
  <si>
    <t>T-DEV-SRC-0-1</t>
  </si>
  <si>
    <t>Применяются практики контроля внесения изменений в исходный код</t>
  </si>
  <si>
    <t>T-DEV-SRC-1-1</t>
  </si>
  <si>
    <t xml:space="preserve">Все изменения в исходном коде отслеживаются с использованием системы контроля версий (SCM) </t>
  </si>
  <si>
    <t>T-DEV-SRC-1-2</t>
  </si>
  <si>
    <t>Круг согласования запроса на слияние исходного кода начинается заново при внесении новых предложений по изменению</t>
  </si>
  <si>
    <t>T-DEV-SRC-1-3</t>
  </si>
  <si>
    <t>Разработчики не обладают правами "dismiss code change review", позволяющими обходить стандартную процедуру проверки кода</t>
  </si>
  <si>
    <t>T-DEV-SRC-1-4</t>
  </si>
  <si>
    <t>Для всех репозиториев включена опция linear history. В качестве вариантов merge доступны только squash и rebase merge</t>
  </si>
  <si>
    <t>T-DEV-SRC-1-5</t>
  </si>
  <si>
    <t>Используется защита веток (branch protection)</t>
  </si>
  <si>
    <t>10</t>
  </si>
  <si>
    <t>T-DEV-SRC-2-1</t>
  </si>
  <si>
    <t>Осуществляется регулярный анализ и удаление неиспользуемых веток (branches)</t>
  </si>
  <si>
    <t>T-DEV-SRC-2-2</t>
  </si>
  <si>
    <t>T-DEV-SRC-2-3</t>
  </si>
  <si>
    <t>T-DEV-SRC-2-4</t>
  </si>
  <si>
    <t>Слияние изменений в исходном коде разрешены только в случае отсутствия открытых комментариев и обсуждений</t>
  </si>
  <si>
    <t>9</t>
  </si>
  <si>
    <t>T-DEV-SRC-2-5</t>
  </si>
  <si>
    <t>T-DEV-SRC-2-6</t>
  </si>
  <si>
    <t>Правила защиты, применяемые к веткам (branch protection rules), применяются в том числе к УЗ администраторов</t>
  </si>
  <si>
    <t>T-DEV-SRC-3-1</t>
  </si>
  <si>
    <t>Для наиболее важных файлов определены и назначены Code Owners</t>
  </si>
  <si>
    <t>T-DEV-SRC-3-2</t>
  </si>
  <si>
    <t>Code Owners согласовывают изменения файлов, которые им "принадлежат"</t>
  </si>
  <si>
    <t>T-DEV-SRC-3-3</t>
  </si>
  <si>
    <t>T-DEV-SRC-3-4</t>
  </si>
  <si>
    <t>T-DEV-SRC-3-5</t>
  </si>
  <si>
    <t>Осуществляется контроль за удалением защищенных веток (protected branch)</t>
  </si>
  <si>
    <t>T-DEV-SRC-4-1</t>
  </si>
  <si>
    <t>Для всех репозиториев функция "force push" доступна только для владельца</t>
  </si>
  <si>
    <t>T-DEV-CICD-0-1</t>
  </si>
  <si>
    <t>Применяются практики защиты конвейера сборки ПО</t>
  </si>
  <si>
    <t>T-DEV-CICD-1-1</t>
  </si>
  <si>
    <t>Доступ к конвейеру сборки ограничен (настроен RBAC)</t>
  </si>
  <si>
    <t>T-DEV-CICD-1-2</t>
  </si>
  <si>
    <t xml:space="preserve">Выполняется централизованное хранение журналов событий конвейеров сборки </t>
  </si>
  <si>
    <t>T-DEV-CICD-1-3</t>
  </si>
  <si>
    <t>Используется подход "CICD as a code" при создании конвейера разработки</t>
  </si>
  <si>
    <t>T-DEV-CICD-2-1</t>
  </si>
  <si>
    <t>Для каждого этапа сборки строго определены входные и выходные параметры и результаты</t>
  </si>
  <si>
    <t>T-DEV-CICD-2-2</t>
  </si>
  <si>
    <t xml:space="preserve">Изменение конфигурационных файлов CI\CD (конвейеров сборки) непрерывно отслеживается </t>
  </si>
  <si>
    <t>T-DEV-CICD-3-1</t>
  </si>
  <si>
    <t xml:space="preserve">Выполняется централизованное хранение всех логов стадии сборки (Build) </t>
  </si>
  <si>
    <t>T-DEV-CICD-4-1</t>
  </si>
  <si>
    <t>Каждый конвейер (CICD), используемый для сборки, имеет единственное предназначение (например, тестирование, компиляция, отправка артефактов), прочие задачи на нем не выполняются</t>
  </si>
  <si>
    <t>T-CODE-SST-0-1</t>
  </si>
  <si>
    <t>Выполняется статический анализ исходного кода разрабатываемого ПО</t>
  </si>
  <si>
    <t>Неверно</t>
  </si>
  <si>
    <t>T-CODE-SST-1-1</t>
  </si>
  <si>
    <t>Анализ исходного кода применяется, как минимум, ситуативно.</t>
  </si>
  <si>
    <t>T-CODE-SST-1-2</t>
  </si>
  <si>
    <t>В SAST используются, как минимум, правила по умолчанию </t>
  </si>
  <si>
    <t>T-CODE-SST-2-1</t>
  </si>
  <si>
    <t>Выполняется регулярное сканирование отдельных частей кода, например:
- изменений в коде по результатам спринтов
- код разработанных framework
- итд</t>
  </si>
  <si>
    <t>T-CODE-SST-2-2</t>
  </si>
  <si>
    <t>Неиспользуемые правила анализа в SAST отключены</t>
  </si>
  <si>
    <t>T-CODE-SST-2-3</t>
  </si>
  <si>
    <t xml:space="preserve">Выполнена интеграция SAST в CI (отдельный скрипт для каждой команды) </t>
  </si>
  <si>
    <t>T-CODE-SST-2-4</t>
  </si>
  <si>
    <t xml:space="preserve">Используются плагины SAST в IDE [при их наличии] </t>
  </si>
  <si>
    <t>T-CODE-SST-3-1</t>
  </si>
  <si>
    <t>Выполняется регулярное сканирование SAST полной кодовой базы</t>
  </si>
  <si>
    <t>T-CODE-SST-3-2</t>
  </si>
  <si>
    <t xml:space="preserve">Используются кастомизированные правила </t>
  </si>
  <si>
    <t>CR2.6</t>
  </si>
  <si>
    <t>T-CODE-SST-3-3</t>
  </si>
  <si>
    <t>Выполнена интеграция SAST с инструментом code quality (например, SonarQube)</t>
  </si>
  <si>
    <t>T-CODE-SST-4-1</t>
  </si>
  <si>
    <r>
      <t xml:space="preserve">Выполняется сканирование </t>
    </r>
    <r>
      <rPr>
        <b/>
        <u/>
        <sz val="11"/>
        <rFont val="Calibri"/>
        <family val="2"/>
        <charset val="204"/>
        <scheme val="minor"/>
      </rPr>
      <t>исходного кода</t>
    </r>
    <r>
      <rPr>
        <sz val="11"/>
        <rFont val="Calibri"/>
        <family val="2"/>
        <charset val="204"/>
        <scheme val="minor"/>
      </rPr>
      <t xml:space="preserve"> open source компонентов (сканирование на malware, protestware и т.д.)</t>
    </r>
  </si>
  <si>
    <t>T-CODE-SC-0-1</t>
  </si>
  <si>
    <t>Выполняется композиционный анализ разрабатываемого ПО</t>
  </si>
  <si>
    <t>T-CODE-SC-1-1</t>
  </si>
  <si>
    <t>В SCA используются, как минимум, политики анализа по умолчанию </t>
  </si>
  <si>
    <t>SE3.8</t>
  </si>
  <si>
    <t>T-CODE-SC-1-2</t>
  </si>
  <si>
    <t>Применяется выборочная блокировка подключаемых библиотек вручную при выявлении дефектов ИБ</t>
  </si>
  <si>
    <t>T-CODE-SC-1-3</t>
  </si>
  <si>
    <t>В SCA сохраняется история всех используемых (использованных) библиотек</t>
  </si>
  <si>
    <t>T-CODE-SC-2-1</t>
  </si>
  <si>
    <t>Библиотеки с уязвимостями с высоким рейтингом, включая RCE, блокируются по договоренности между ИБ и разработчиками</t>
  </si>
  <si>
    <t>T-CODE-SC-2-2</t>
  </si>
  <si>
    <t>Осуществляется контроль получения образов (получение только из доверенных репозиториев)</t>
  </si>
  <si>
    <t>T-CODE-SC-2-3</t>
  </si>
  <si>
    <t>Выполняется проверка цифровых подписей и хэшей компонентов  </t>
  </si>
  <si>
    <t>T-CODE-SC-2-4</t>
  </si>
  <si>
    <t>Настроена интеграция SCA в CI/CD</t>
  </si>
  <si>
    <t>T-CODE-SC-2-5</t>
  </si>
  <si>
    <t xml:space="preserve">Выполняется проверка на лицензионную чистоту  </t>
  </si>
  <si>
    <t>T-CODE-SC-3-1</t>
  </si>
  <si>
    <t>Подключение всех возможных open source feeds</t>
  </si>
  <si>
    <t>T-CODE-SC-3-2</t>
  </si>
  <si>
    <t>Совмещение практик SAST и SCA для идентификации уязвимостей в коде (effective usage analyse. Например, библиотека уязвима, но при этом НЕ используется уязвимый метод)</t>
  </si>
  <si>
    <t>T-CODE-SC-3-3</t>
  </si>
  <si>
    <t>Используются SCA плагины для IDE для pre-commit hooks</t>
  </si>
  <si>
    <t>T-CODE-SC-3-4</t>
  </si>
  <si>
    <t>Библиотеки со статусом End of life блокируются по договоренности между ИБ и разработчиками</t>
  </si>
  <si>
    <t>T-CODE-SC-4-1</t>
  </si>
  <si>
    <t>Использование платных feeds, обогащающих результаты анализа open source компонентов</t>
  </si>
  <si>
    <t>T-CODE-IMG-0-1</t>
  </si>
  <si>
    <t>Выполняется сканирование образов контейнеров на наличие уязвимостей</t>
  </si>
  <si>
    <t>T-CODE-IMG-1-1</t>
  </si>
  <si>
    <t>Сканирование образов контейнеров на наличие уязвимостей регламентировано и выполняется стандартизированным набором инструментов</t>
  </si>
  <si>
    <t>T-CODE-IMG-1-2</t>
  </si>
  <si>
    <t>Выполняется сканирование образов контейнеров. Запуск сканирования происходит в ручном режиме.</t>
  </si>
  <si>
    <t>T-CODE-IMG-1-3</t>
  </si>
  <si>
    <t>Применяется выборочная блокировка образов контейнеров вручную при выявлении дефектов ИБ</t>
  </si>
  <si>
    <t>T-CODE-IMG-2-1</t>
  </si>
  <si>
    <t>Выполняется сканирование образов контейнеров в CI/CD на наличие уязвимостей</t>
  </si>
  <si>
    <t>T-CODE-IMG-2-2</t>
  </si>
  <si>
    <t>Выполняется периодическое сканирование образов контейнеров, размещенных во внутренних репозиториях, на наличие уязвимостей</t>
  </si>
  <si>
    <t>T-CODE-IMG-2-3</t>
  </si>
  <si>
    <t>При обнаружении дефектов ИБ в образах контейнеров автоматизированно создаются задачи на их устранение в тикет-системе</t>
  </si>
  <si>
    <t>T-CODE-IMG-3-1</t>
  </si>
  <si>
    <t>Выполняется проверка цифровых подписей образов контейнеров</t>
  </si>
  <si>
    <t>Non-compliant ресурсы блокируются по договоренности между ИБ и разработчиками</t>
  </si>
  <si>
    <t>T-CODE-IMG-4-1</t>
  </si>
  <si>
    <t>Сборки в CI/CD блокируются при найденных уязвимостях в образах контейнеров по договоренности между ИБ и разработчиками.</t>
  </si>
  <si>
    <t>T-CODE-SECDN-0-1</t>
  </si>
  <si>
    <t>Применяются практики поиска секретов</t>
  </si>
  <si>
    <t>T-CODE-SECDN-1-1</t>
  </si>
  <si>
    <t>Механизмы идентификации секретов применяются как минимум в SCM системах</t>
  </si>
  <si>
    <t>T-CODE-SECDN-1-2</t>
  </si>
  <si>
    <t>Инструменты идентификации секретов запускаются вручную</t>
  </si>
  <si>
    <t>T-CODE-SECDN-1-3</t>
  </si>
  <si>
    <t>В инструментах идентификации секретов используются настройки поиска секретов, заданные по умолчанию</t>
  </si>
  <si>
    <t>T-CODE-SECDN-1-4</t>
  </si>
  <si>
    <t>Инциденты ИБ, связанные с использованием найденных секретов, разрешаются совместно с разработчиками</t>
  </si>
  <si>
    <t>T-CODE-SECDN-2-1</t>
  </si>
  <si>
    <t>T-CODE-SECDN-2-2</t>
  </si>
  <si>
    <t>T-CODE-SECDN-2-3</t>
  </si>
  <si>
    <t xml:space="preserve">При обработке событий ИБ, связанных с найденными секретами используется приоритизация </t>
  </si>
  <si>
    <t>T-CODE-SECDN-3-1</t>
  </si>
  <si>
    <t>T-CODE-SECDN-3-2</t>
  </si>
  <si>
    <t>Сканирование секретов также включает в себя:
 - Рабочие станции разработчиков и любые adhoc среды
 - Логи сборок (Build logs)</t>
  </si>
  <si>
    <t>T-CODE-SECDN-4-1</t>
  </si>
  <si>
    <t>T-CODE-DOCKERFS-0-1</t>
  </si>
  <si>
    <t>Применяются практики безопасного написания Dockerfiles</t>
  </si>
  <si>
    <t>T-CODE-DOCKERFS-1-1</t>
  </si>
  <si>
    <t>Разработан регламент по безопасному написанию Dockerfiles.</t>
  </si>
  <si>
    <t>T-CODE-DOCKERFS-1-2</t>
  </si>
  <si>
    <t>Выполняется ручной контроль безопасности Dockerfile</t>
  </si>
  <si>
    <t>T-CODE-DOCKERFS-2-1</t>
  </si>
  <si>
    <t xml:space="preserve">Dockerfiles проверяются автоматизировано в pipeline. </t>
  </si>
  <si>
    <t>Домен "Анализ ПО в режиме runtime - Preprod"</t>
  </si>
  <si>
    <t>T-PREPROD-DAST-0-1</t>
  </si>
  <si>
    <t>Применяются практики динамического тестирования (DAST)</t>
  </si>
  <si>
    <t>T-PREPROD-DAST-1-1</t>
  </si>
  <si>
    <t>Динамическое сканирование используется как минимум для пользовательского интерфейса</t>
  </si>
  <si>
    <t>T-PREPROD-DAST-1-2</t>
  </si>
  <si>
    <t>Динамическое сканирование выполняется вручную</t>
  </si>
  <si>
    <t>T-PREPROD-DAST-2-1</t>
  </si>
  <si>
    <t>Отключены неиспользуемые в сканере правила</t>
  </si>
  <si>
    <t>T-PREPROD-DAST-2-2</t>
  </si>
  <si>
    <t>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t>
  </si>
  <si>
    <t>T-PREPROD-DAST-2-3</t>
  </si>
  <si>
    <t>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t>
  </si>
  <si>
    <t>ST1.4</t>
  </si>
  <si>
    <t>T-PREPROD-DAST-2-4</t>
  </si>
  <si>
    <t>Настроена интеграция сканера с инструментами CI/CD</t>
  </si>
  <si>
    <t>T-PREPROD-DAST-3-1</t>
  </si>
  <si>
    <t>Выполняется сканирование в том числе скрытых путей</t>
  </si>
  <si>
    <t>T-PREPROD-DAST-3-2</t>
  </si>
  <si>
    <t>Используются доработанные (кастомизированные) параметры при сканировании для максимального покрытия входных параметров</t>
  </si>
  <si>
    <t>T-PREPROD-DAST-3-3</t>
  </si>
  <si>
    <t>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t>
  </si>
  <si>
    <t>T-PREPROD-DAST-3-4</t>
  </si>
  <si>
    <t>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t>
  </si>
  <si>
    <t>ST2.6</t>
  </si>
  <si>
    <t>T-PREPROD-DAST-4-1</t>
  </si>
  <si>
    <t xml:space="preserve">Выполняется сканирование всех путей и взаимодействий (в т.ч. с backend) </t>
  </si>
  <si>
    <t>T-PREPROD-DAST-4-2</t>
  </si>
  <si>
    <t>Используется несколько сканеров для увеличения поверхности сканирования и получения пересекающихся результатов</t>
  </si>
  <si>
    <t>T-PREPROD-DAST-4-3</t>
  </si>
  <si>
    <t>Используются custom профили для динамического тестирования с повышенной интенсивностью и тяжестью для критичных частей приложения</t>
  </si>
  <si>
    <t>T-PREPROD-PENTEST-0-1</t>
  </si>
  <si>
    <t>Применяется тестирование на проникновение в среде Preprod</t>
  </si>
  <si>
    <t>T-PREPROD-PENTEST-1-1</t>
  </si>
  <si>
    <t>Тестирование на проникновение в среде Preprod проводится регулярно</t>
  </si>
  <si>
    <t>PT1.1</t>
  </si>
  <si>
    <t>T-PREPROD-PENTEST-1-2</t>
  </si>
  <si>
    <t>T-PREPROD-PENTEST-1-3</t>
  </si>
  <si>
    <t>T-PREPROD-PENTEST-2-1</t>
  </si>
  <si>
    <t>Разработан и применяется регламент, описывающий проведение тестирования на проникновение в среде Preprod</t>
  </si>
  <si>
    <t>T-PREPROD-PENTEST-4-1</t>
  </si>
  <si>
    <t>T-PREPROD-SECTEST-0-1</t>
  </si>
  <si>
    <t>Выполняется тестирование ИБ функционала разрабатываемого ПО</t>
  </si>
  <si>
    <t>T-PREPROD-SECTEST-1-1</t>
  </si>
  <si>
    <t>Функциональное ИБ-тестирование проводится (ситуативно, нерегламентированно)</t>
  </si>
  <si>
    <t>SR-A-1</t>
  </si>
  <si>
    <t>T-PREPROD-SECTEST-2-1</t>
  </si>
  <si>
    <t xml:space="preserve">Разработан и применяется регламент, описывающий проведение функционального ИБ-тестирования </t>
  </si>
  <si>
    <t>T-PREPROD-SECTEST-2-2</t>
  </si>
  <si>
    <t>Не менее 5% функциональных ИБ-тестов автоматизированы</t>
  </si>
  <si>
    <t>T-PREPROD-SECTEST-3-1</t>
  </si>
  <si>
    <t>T-PREPROD-VULN-0-1</t>
  </si>
  <si>
    <t>Сканирование инфраструктуры PREPROD (среды тестирования и разработки ПО) на уязвимости производится в каком бы то ни было виде</t>
  </si>
  <si>
    <t>T-PREPROD-VULN-1-1</t>
  </si>
  <si>
    <t>Сканирование инфраструктуры PREPROD (среды тестирования и разработки ПО) на уязвимости производится периодически в ручном режиме при помощи инструментов автоматизации или скриптов. (ситуативно нерегламентированно)</t>
  </si>
  <si>
    <t>T-PREPROD-VULN-1-2</t>
  </si>
  <si>
    <t>T-PREPROD-VULN-2-1</t>
  </si>
  <si>
    <t>Выполняется регулярное сканирование наиболее критических компонентов инфраструктуры PREPROD (среды тестирования и разработки ПО)  на уязвимости, а также выстроен процесс по их исправлению</t>
  </si>
  <si>
    <t>T-PREPROD-VULN-2-2</t>
  </si>
  <si>
    <t>Выполняется регулярное выполнение задач инвентаризации активов PREPROD (среды тестирования и разработки ПО) сред автоматизированными средствами</t>
  </si>
  <si>
    <t>T-PREPROD-VULN-2-3</t>
  </si>
  <si>
    <t xml:space="preserve">Обновления безопасности регулярно устанавливаются на основные элементы  инфраструктуры PREPROD (среды тестирования и разработки ПО) (например, оркестратор и операционные систем серверов) </t>
  </si>
  <si>
    <t>T-PREPROD-VULN-3-1</t>
  </si>
  <si>
    <t>Выполняется регулярное сканирование всех компонентов инфраструктуры PREPROD (среды тестирования и разработки ПО),  а также выстроен процесс по их исправлению</t>
  </si>
  <si>
    <t>T-PREPROD-VULN-3-2</t>
  </si>
  <si>
    <t>Выполняется автоматизированная проверка основных компонентов инфраструктуры PREPROD (среды тестирования и разработки ПО) (например, оркестратора и операционных систем серверов) на соответствие лучшим практикам, а также организован процесс по исправлению несоответствий</t>
  </si>
  <si>
    <t>T-PREPROD-VULN-3-3</t>
  </si>
  <si>
    <t>Выполняется регулярное сканирование на уязвимости инфраструктуры PREPROD (среды тестирования и разработки ПО) автоматизированными средствами в режиме пентеста</t>
  </si>
  <si>
    <t>T-PREPROD-VULN-3-4</t>
  </si>
  <si>
    <t xml:space="preserve">Обновления безопасности регулярно устанавливаются на все элементы инфраструктуры PREPROD (среды тестирования и разработки ПО)  (например, оркестратор и операционные систем серверов) </t>
  </si>
  <si>
    <t>T-PREPROD-VULN-4-1</t>
  </si>
  <si>
    <t>Выполняется автоматизированная проверка всех компонентов инфраструктуры PREPROD (среды тестирования и разработки ПО) на соответствие лучшим практикам , а также организован процесс по исправлению несоответствий</t>
  </si>
  <si>
    <t>T-PREPROD-VULN-4-2</t>
  </si>
  <si>
    <t>T-PREPROD-MANSEC-0-1</t>
  </si>
  <si>
    <t>Выполняется ИБ тестирование файлов конфигураций (Dockerfiles, K8s manifests, Terraform, etc)</t>
  </si>
  <si>
    <t>T-PREPROD-MANSEC-1-1</t>
  </si>
  <si>
    <t>Применяется анализ Dockerfile на наличие дефектов ИБ.</t>
  </si>
  <si>
    <t>T-PREPROD-MANSEC-2-1</t>
  </si>
  <si>
    <t>Используется контроль конфигураций (k8s, IaC и т.п.) на наличие дефектов ИБ.</t>
  </si>
  <si>
    <t>SE2.2</t>
  </si>
  <si>
    <t>Домен "Защита ПО и инфраструктуры в режиме runtime"</t>
  </si>
  <si>
    <t>T-PROD-SM-0-1</t>
  </si>
  <si>
    <t>Применяются практики управления секретами и защиты секретов</t>
  </si>
  <si>
    <t>-</t>
  </si>
  <si>
    <t>T-PROD-SM-1-1</t>
  </si>
  <si>
    <t xml:space="preserve">Для управления секретами частично применяются встроенные механизмы ПО. Инструменты по управлению секретами не используются. </t>
  </si>
  <si>
    <t>T-PROD-SM-1-2</t>
  </si>
  <si>
    <t>Инциденты ИБ, связанные с использованием секретов, разрешаются совместно с владельцами систем.</t>
  </si>
  <si>
    <t>T-PROD-SM-2-1</t>
  </si>
  <si>
    <t>Используются инструменты по управлению секретами, но их использование не регламентировано.</t>
  </si>
  <si>
    <t>T-PROD-SM-2-2</t>
  </si>
  <si>
    <t>При разборе событий ИБ, связанных с секретами, используется приоритизация (ранжирование) этих событий.
Например, событию A присваивается более высокий приоритет при обработке, чем событию B. Правила приоритизации событий ИБ формализованы.</t>
  </si>
  <si>
    <t>T-PROD-SM-3-1</t>
  </si>
  <si>
    <t>Секреты всех сред  (за исключением Dev сред) хранятся в  системе управления секретами (допускается ситуативное использование hardcoded-секретов)</t>
  </si>
  <si>
    <t>T-PROD-SM-3-2</t>
  </si>
  <si>
    <t>T-PROD-SM-3-3</t>
  </si>
  <si>
    <t>Разработаны и применяются регламенты по использованию инструментов по управлению секретами</t>
  </si>
  <si>
    <t>T-PROD-SM-4-1</t>
  </si>
  <si>
    <t>Используются динамические секреты, генерируемые под каждую сессию взаимодействия систем</t>
  </si>
  <si>
    <t>T-PROD-SM-4-2</t>
  </si>
  <si>
    <t>Hardcoded секреты отсутствуют в продуктивной среде</t>
  </si>
  <si>
    <t>T-PROD-PENTEST-0-1</t>
  </si>
  <si>
    <t xml:space="preserve">Проводится тестирование на проникновение в среде Prod </t>
  </si>
  <si>
    <t>T-PROD-PENTEST-1-1</t>
  </si>
  <si>
    <t>T-PROD-PENTEST-1-2</t>
  </si>
  <si>
    <t>Тестирование на проникновение в среде Prod проводится регулярно</t>
  </si>
  <si>
    <t>T-PROD-PENTEST-1-3</t>
  </si>
  <si>
    <t>T-PROD-PENTEST-2-1</t>
  </si>
  <si>
    <t>Разработан регламент, описывающий критерии и частоту проведения тестов на проникновение в среде PROD</t>
  </si>
  <si>
    <t>T-PROD-PENTEST-3-1</t>
  </si>
  <si>
    <t>Разработана и внедрена программа Bug bounty</t>
  </si>
  <si>
    <t>T-PROD-PENTEST-4-1</t>
  </si>
  <si>
    <t>Проводятся пентесты вида "социальная инженерия", направленные и адаптированные на разработчиков</t>
  </si>
  <si>
    <t>T-PROD-PENTEST-4-2</t>
  </si>
  <si>
    <t>T-PROD-DAST-0-1</t>
  </si>
  <si>
    <t>T-PROD-DAST-1-1</t>
  </si>
  <si>
    <t>T-PROD-DAST-1-2</t>
  </si>
  <si>
    <t>Используется пассивное сканирование с помощью зеркалирования трафика</t>
  </si>
  <si>
    <t>T-PROD-DAST-1-3</t>
  </si>
  <si>
    <t>T-PROD-DAST-2-1</t>
  </si>
  <si>
    <t>Используются механизмы активного и пассивного сканирования</t>
  </si>
  <si>
    <t>T-PROD-DAST-2-2</t>
  </si>
  <si>
    <t>T-PROD-DAST-2-3</t>
  </si>
  <si>
    <t>T-PROD-DAST-2-5</t>
  </si>
  <si>
    <t>T-PROD-DAST-3-1</t>
  </si>
  <si>
    <t>T-PROD-DAST-3-2</t>
  </si>
  <si>
    <t>T-PROD-DAST-3-3</t>
  </si>
  <si>
    <t>T-PROD-DAST-3-4</t>
  </si>
  <si>
    <t>T-PROD-DAST-4-1</t>
  </si>
  <si>
    <t>T-PROD-DAST-4-2</t>
  </si>
  <si>
    <t>T-PROD-DAST-4-3</t>
  </si>
  <si>
    <t>T-PROD-ACCESS-0-1</t>
  </si>
  <si>
    <t>Применяются практики автоматизации жизненного цикла инфраструктуры (например, подход IaC), а также необходимые меры защиты</t>
  </si>
  <si>
    <t>T-PROD-ACCESS-1-1</t>
  </si>
  <si>
    <t>Код инфраструктуры (IaC) хранится, в том числе, за пределами централизованного хранилища кода (SCM-системы)</t>
  </si>
  <si>
    <t>T-PROD-ACCESS-1-2</t>
  </si>
  <si>
    <t>Использование концепции Infrastructure as code. Продуктивная среда описана в виде кода, регулярно актуализируется и является воспроизводимой.</t>
  </si>
  <si>
    <t>T-PROD-ACCESS-1-3</t>
  </si>
  <si>
    <t>Реализован процесс контроля версий конфигурации инфраструктуры в виде кода (IaC)</t>
  </si>
  <si>
    <t>T-PROD-ACCESS-1-4</t>
  </si>
  <si>
    <t xml:space="preserve">Доступ к продуктивной среде предоставлен ограниченному числу доверенных пользователей </t>
  </si>
  <si>
    <t>T-PROD-ACCESS-1-5</t>
  </si>
  <si>
    <t>Запрещено использование паролей по умолчанию</t>
  </si>
  <si>
    <t>T-PROD-ACCESS-2-1</t>
  </si>
  <si>
    <t>Доступ к коду конфигурации инфраструктуры (файлам, описывающим IaC) предоставлен ограниченному числу пользователей </t>
  </si>
  <si>
    <t>T-PROD-ACCESS-2-2</t>
  </si>
  <si>
    <t xml:space="preserve">Настроен, включен и обрабатывается аудит любых изменений для конфигураций внедрения в любые среды </t>
  </si>
  <si>
    <t>T-PROD-ACCESS-3-1</t>
  </si>
  <si>
    <t>Автоматизация внедрения в любые непродуктивные среды </t>
  </si>
  <si>
    <t>T-PROD-ACCESS-4-1</t>
  </si>
  <si>
    <t>Автоматизация внедрения в любые продуктивные среды</t>
  </si>
  <si>
    <t>T-PROD-NETWORK-0-1</t>
  </si>
  <si>
    <t>Выполняется контроль сетевого трафика в PROD сегменте</t>
  </si>
  <si>
    <t>T-PROD-NETWORK-1-1</t>
  </si>
  <si>
    <t>Выполняется контроль сетевого трафика на уровне межсетевых экранов (L3/L4) в PROD сегменте</t>
  </si>
  <si>
    <t>SE1.2</t>
  </si>
  <si>
    <t>T-PROD-NETWORK-1-2</t>
  </si>
  <si>
    <t>PROD инфраструктура находится в выделенном сетевом сегменте</t>
  </si>
  <si>
    <t>T-PROD-NETWORK-2-1</t>
  </si>
  <si>
    <t>Настроены и используются глобальные сетевые политики на уровне сред контейнеризации</t>
  </si>
  <si>
    <t>T-PROD-NETWORK-2-2</t>
  </si>
  <si>
    <t>Настроены и используются L7 сетевые политики контроля трафика  </t>
  </si>
  <si>
    <t>T-PROD-NETWORK-3-1</t>
  </si>
  <si>
    <t>Настроены и используются кастомизированные сетевые политики для различных микросервисов (namespace) </t>
  </si>
  <si>
    <t>T-PROD-RUN-0-1</t>
  </si>
  <si>
    <t>Выполняется контроль и защита исполняемых процессов</t>
  </si>
  <si>
    <t>T-PROD-RUN-1-1</t>
  </si>
  <si>
    <t>T-PROD-RUN-2-1</t>
  </si>
  <si>
    <t>Используются кастомизированные политики Runtime для сред контейнеризации, как минимум уровня всего кластера</t>
  </si>
  <si>
    <t>T-PROD-RUN-3-1</t>
  </si>
  <si>
    <t>Настроены и используются кастомизированные Runtime политики для отдельных контейнерных приложений</t>
  </si>
  <si>
    <t>T-PROD-VULN-0-1</t>
  </si>
  <si>
    <t>Применяется сканирование инфраструктуры на уязвимости в Prod сегменте</t>
  </si>
  <si>
    <t>T-PROD-VULN-1-1</t>
  </si>
  <si>
    <t>Сканирование инфраструктуры на уязвимости проводится, как минимум, вручную и ситуативно</t>
  </si>
  <si>
    <t>T-PROD-VULN-1-2</t>
  </si>
  <si>
    <t>T-PROD-VULN-2-1</t>
  </si>
  <si>
    <t>Выполняется регулярное сканирование компонентов инфраструктуры PROD, обеспечивающей доступ пользователем из сети Интернет на уязвимости, а также выстроен процесс по их исправлению</t>
  </si>
  <si>
    <t>T-PROD-VULN-2-2</t>
  </si>
  <si>
    <t>Выполняется регулярное выполнение задач инвентаризации активов PROD автоматизированными средствами</t>
  </si>
  <si>
    <t>T-PROD-VULN-2-3</t>
  </si>
  <si>
    <t xml:space="preserve">Обновления безопасности регулярно устанавливаются на основные элементы инфраструктуры PROD (например, оркестратор и операционные систем серверов) </t>
  </si>
  <si>
    <t>T-PROD-VULN-3-1</t>
  </si>
  <si>
    <t>Выполняется регулярное сканирование всех компонентов инфраструктуры PROD,  а также выстроен процесс по их исправлению</t>
  </si>
  <si>
    <t>T-PROD-VULN-3-2</t>
  </si>
  <si>
    <t>Выполняется автоматизированная проверка основных компонентов инфраструктуры PROD (например, оркестратора и операционных систем серверов) на соответствие лучшим практикам, а также организован процесс по исправлению несоответствий</t>
  </si>
  <si>
    <t>T-PROD-VULN-3-3</t>
  </si>
  <si>
    <t>Выполняется регулярное сканирование на уязвимости инфраструктуры PROD автоматизированными средствами в режиме пентеста</t>
  </si>
  <si>
    <t>T-PROD-VULN-3-4</t>
  </si>
  <si>
    <t xml:space="preserve">Обновления безопасности регулярно устанавливаются на все элементы инфраструктуры PROD (например, оркестратор и операционные систем серверов) </t>
  </si>
  <si>
    <t>T-PROD-VULN-4-1</t>
  </si>
  <si>
    <t>Выполняется автоматизированная проверка всех компонентов инфраструктуры PROD на соответствие лучшим практикам, а также организован процесс по исправлению несоответствий</t>
  </si>
  <si>
    <t>T-PROD-VULN-4-2</t>
  </si>
  <si>
    <t>Осуществляется регулярная замена устаревшего неподдерживаемого производителями ПО в инфраструктуре PROD</t>
  </si>
  <si>
    <t>T-PROD-EVENTS-0-1</t>
  </si>
  <si>
    <t>Собираются (хоть какие-то) события от элементов PROD инфраструктуры</t>
  </si>
  <si>
    <t>T-PROD-EVENTS-2-1</t>
  </si>
  <si>
    <t>T-PROD-EVENTS-3-1</t>
  </si>
  <si>
    <t>Домен "Обучение и база знаний"</t>
  </si>
  <si>
    <t>P-EDU-AWR-0-1</t>
  </si>
  <si>
    <t>Производится обучение разработчиков в части ИБ</t>
  </si>
  <si>
    <t>P-EDU-AWR-1-1</t>
  </si>
  <si>
    <t xml:space="preserve">В Компании есть базовый тренинг по ИБ </t>
  </si>
  <si>
    <t>TA-A-1</t>
  </si>
  <si>
    <t>P-EDU-AWR-1-2</t>
  </si>
  <si>
    <t>Обучение по ИБ для команд разработки осуществляется ситуативно</t>
  </si>
  <si>
    <t>P-EDU-AWR-2-1</t>
  </si>
  <si>
    <t>Проводятся регулярные тренинги по ИБ для всех разработчиков (внешний, внутренний, электронный тренинг)</t>
  </si>
  <si>
    <t>P-EDU-AWR-2-2</t>
  </si>
  <si>
    <t>Процесс обучения для разработчиков формализован (например, существует Регламент повышения осведомленности в области безопасной разработки)</t>
  </si>
  <si>
    <t>P-EDU-AWR-2-3</t>
  </si>
  <si>
    <t>Проводятся специализированные тренинги по ИБ для Security Champion</t>
  </si>
  <si>
    <t>T2.5
T2.9</t>
  </si>
  <si>
    <t>P-EDU-AWR-2-4</t>
  </si>
  <si>
    <t>Внедрена и используется специализированная централизованная платформа для проведения обучения по ИБ</t>
  </si>
  <si>
    <t>P-EDU-AWR-3-1</t>
  </si>
  <si>
    <t>В Компании внедрена и работает программа поощрения внутреннего обмена опытом</t>
  </si>
  <si>
    <t>P-EDU-AWR-3-2</t>
  </si>
  <si>
    <t>В Компании разработана и внедрена система мотивации сотрудников за прохождение ИБ обучения</t>
  </si>
  <si>
    <t>T3.1</t>
  </si>
  <si>
    <t>P-EDU-AWR-4-1</t>
  </si>
  <si>
    <t xml:space="preserve">Команда ИБ регулярно участвует в CTF-like соревнованиях (или тренируется в кибер-полигоне) в контексте Web, SSDLC
</t>
  </si>
  <si>
    <t>P-EDU-KB-0-1</t>
  </si>
  <si>
    <t>Существуют внутренние информационные ресурсы (базы знаний) с правилами и рекомендациями по безопасной разработке  </t>
  </si>
  <si>
    <t>P-EDU-KB-1-1</t>
  </si>
  <si>
    <t>Существуют локальные базы знаний у участников разработки в рамках одной команды</t>
  </si>
  <si>
    <t>P-EDU-KB-2-1</t>
  </si>
  <si>
    <t>Существует централизованный ресурс (общая база знаний), хранящий базовые правила и рекомендации по безопасной разработке</t>
  </si>
  <si>
    <t>P-EDU-KB-2-3</t>
  </si>
  <si>
    <t>Единая база знаний обновляется (нерегулярно, ответственные формально не выделены, QA не проводится)</t>
  </si>
  <si>
    <t>P-EDU-KB-3-1</t>
  </si>
  <si>
    <t>Централизованный ресурс (общая база знаний), хранит единые детальные правила и рекомендации по безопасной разработке, относящиеся, как к компании в целом, так и к отдельным командам разработки</t>
  </si>
  <si>
    <t>P-EDU-KB-3-2</t>
  </si>
  <si>
    <t>Единая база знаний обновляется регулярно, назначены ответственные за ее обновление как внутри команд, так и в компании, выполняется QA созданные материалов в базе знаний</t>
  </si>
  <si>
    <t>P-EDU-KB-4-1</t>
  </si>
  <si>
    <t>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разрабатываемому ПО</t>
  </si>
  <si>
    <t>Домен "Контроль и формирование требований ИБ к ПО"</t>
  </si>
  <si>
    <t>P-REQ-TM-0-1</t>
  </si>
  <si>
    <t>Выполняется оценка критичности и/или моделирование угроз для разрабатываемых приложений</t>
  </si>
  <si>
    <t>P-REQ-TM-1-1</t>
  </si>
  <si>
    <t>Проводится моделирование угроз по требованиям compliance (например, для ПО для ЗОКИИ) или для наиболее критичных</t>
  </si>
  <si>
    <t>P-REQ-TM-1-2</t>
  </si>
  <si>
    <t>Определены формальные критерии критичности приложений</t>
  </si>
  <si>
    <t>P-REQ-TM-1-3</t>
  </si>
  <si>
    <t xml:space="preserve">Для всех новых разрабатываемых приложений проводится оценка критичности </t>
  </si>
  <si>
    <t>P-REQ-TM-2-1</t>
  </si>
  <si>
    <t xml:space="preserve">Модели угроз разрабатываются в том числе и для технических средств </t>
  </si>
  <si>
    <t>P-REQ-TM-2-2</t>
  </si>
  <si>
    <t>Моделирование угроз осуществляется для ВСЕХ НОВЫХ приложений</t>
  </si>
  <si>
    <t>P-REQ-TM-2-3</t>
  </si>
  <si>
    <t>Оценка критичности выполняется для всех приложений</t>
  </si>
  <si>
    <t>SM2.2</t>
  </si>
  <si>
    <t>P-REQ-TM-3-1</t>
  </si>
  <si>
    <t>Модели угроз разрабатываются в том числе и для бизнес-процессов</t>
  </si>
  <si>
    <t>P-REQ-TM-3-2</t>
  </si>
  <si>
    <t>Процесс моделирования угроз для разрабатываемого ПО стандартизован (есть шаблоны МУиМН, определены подходы к актуализации угроз и пр)</t>
  </si>
  <si>
    <t>P-REQ-TM-3-3</t>
  </si>
  <si>
    <t>Модели угроз регулярно пересматриваются</t>
  </si>
  <si>
    <t>P-REQ-TM-4-1</t>
  </si>
  <si>
    <t>К каждому разрабатываемому ПО определены "Abuse cases" (сценарии нелегитимного использования ПО), такие кейсы учитываются при моделировании угроз и доработке ПО</t>
  </si>
  <si>
    <t>P-REQ-RD-0-1</t>
  </si>
  <si>
    <t>P-REQ-RD-1-1</t>
  </si>
  <si>
    <t>Разработаны и предъявляются базовые требования по ИБ к разрабатываемому ПО</t>
  </si>
  <si>
    <t>P-REQ-RD-1-2</t>
  </si>
  <si>
    <t>Подразделение ИБ одобряет\согласовывает решения, которые влияют на уровень ИБ разрабатываемого приложения</t>
  </si>
  <si>
    <t>P-REQ-RD-2-1</t>
  </si>
  <si>
    <t>Дополнительные требования по ИБ формируются с учетом актуальных угроз по результатам моделирования угроз</t>
  </si>
  <si>
    <t>P-REQ-RD-2-2</t>
  </si>
  <si>
    <t>Требования по ИБ стандартизованы (например, разработаны чеклисты)</t>
  </si>
  <si>
    <t>SA-A-1</t>
  </si>
  <si>
    <t>P-REQ-RD-2-3</t>
  </si>
  <si>
    <t>Подразделения ИБ участвуют в создании архитектуры разрабатываемого ПО</t>
  </si>
  <si>
    <t>P-REQ-RD-3-1</t>
  </si>
  <si>
    <t>Дополнительные требования по ИБ формируются с учетом актуальных угроз для бизнес-функций (по результатам соответствующего моделирования угроз)</t>
  </si>
  <si>
    <t>P-REQ-RD-3-2</t>
  </si>
  <si>
    <t>Дополнительные требования по ИБ формируются с учетом результатов анализа рисков</t>
  </si>
  <si>
    <t>P-REQ-RD-3-3</t>
  </si>
  <si>
    <t>Ключевые решения, которые влияют на уровень ИБ разрабатываемого приложения, принимаются на архитектурном комитете</t>
  </si>
  <si>
    <t>P-REQ-CR-0-1</t>
  </si>
  <si>
    <t xml:space="preserve">Контролируется выполнение требований ИБ к разрабатываемому ПО </t>
  </si>
  <si>
    <t>P-REQ-CR-1-1</t>
  </si>
  <si>
    <t>Требования ИБ к разрабатываемому ПО проверяются на этапе выпуска ПО в продуктовую среду</t>
  </si>
  <si>
    <t>P-REQ-CR-2-1</t>
  </si>
  <si>
    <t>Осуществляется контроль выполнения требований ИБ к разрабатываемому ПО посредством функциональных тестирований ИБ и тестирований на проникновение</t>
  </si>
  <si>
    <t>P-REQ-CR-3-1</t>
  </si>
  <si>
    <t>Производится валидация отсутствия уязвимостей в программном коде ПО (например, применение Quality gates, которые зафиксированы в документе)</t>
  </si>
  <si>
    <t>P-REQ-CR-4-1</t>
  </si>
  <si>
    <t>Производится проверка и согласование технического задания и проекта архитектуры, разработанных с учетом требований ИБ</t>
  </si>
  <si>
    <t>P-REQ-STDR-App-0-1</t>
  </si>
  <si>
    <t xml:space="preserve">Создаются стандарты конфигурирования разрабатываемого ПО </t>
  </si>
  <si>
    <t>P-REQ-STDR-App-1-1</t>
  </si>
  <si>
    <t>Стандарты конфигурирования разрабатываемого ПО есть, но не формализованы (т.е. это НЕ стандарты, а рекомендации или легаси настройки)</t>
  </si>
  <si>
    <t>P-REQ-STDR-App-1-2</t>
  </si>
  <si>
    <t>Стандарты конфигурирования (рекомендации, легаси настройки) разрабатываемого ПО применяются вручную</t>
  </si>
  <si>
    <t>P-REQ-STDR-App-2-1</t>
  </si>
  <si>
    <t>Стандарты конфигурирования разрабатываемого ПО разработаны для ключевых систем</t>
  </si>
  <si>
    <t>P-REQ-STDR-App-3-1</t>
  </si>
  <si>
    <t>Разработаны и применяются для всех систем</t>
  </si>
  <si>
    <t>P-REQ-STDR-App-3-3</t>
  </si>
  <si>
    <t>P-REQ-STDR-App-4-1</t>
  </si>
  <si>
    <t>Выполняется регулярное обновление профилей конфигурирования с учетом risk-based approach</t>
  </si>
  <si>
    <t>P-REQ-STDR-Infr-0-1</t>
  </si>
  <si>
    <t>P-REQ-STDR-Infr-1-1</t>
  </si>
  <si>
    <t>СККИ есть, но не формализованы (т.е. это НЕ стандарты, а рекомендации или легаси настройки)</t>
  </si>
  <si>
    <t>P-REQ-STDR-Infr-1-2</t>
  </si>
  <si>
    <t>СККИ (рекомендации, легаси настройки) применяются вручную</t>
  </si>
  <si>
    <t>P-REQ-STDR-Infr-2-1</t>
  </si>
  <si>
    <t>СККИ разработаны для ключевых инфраструктурных систем</t>
  </si>
  <si>
    <t>P-REQ-STDR-Infr-2-2</t>
  </si>
  <si>
    <t>Производится выборочный контроль применения СККИ (без использования средств автоматизации)</t>
  </si>
  <si>
    <t>P-REQ-STDR-Infr-3-1</t>
  </si>
  <si>
    <t>SR3.4</t>
  </si>
  <si>
    <t>P-REQ-STDR-Infr-3-2</t>
  </si>
  <si>
    <t>Используются автоматизированные средства контроля применения СККИ</t>
  </si>
  <si>
    <t>P-REQ-STDR-Infr-3-3</t>
  </si>
  <si>
    <t>P-REQ-STDR-Infr-4-1</t>
  </si>
  <si>
    <t>Регулярное обновление СККИ с учетом risk-based approach</t>
  </si>
  <si>
    <t>Домен "Управление ИБ дефектами"</t>
  </si>
  <si>
    <t>P-DEFECT-MNG-0-1</t>
  </si>
  <si>
    <t>Выполняется контроль устранения дефектов ИБ</t>
  </si>
  <si>
    <t>P-DEFECT-MNG-1-1</t>
  </si>
  <si>
    <t>Обработка дефектов разрабатываемого ПО осуществляется при необходимости (onDemand, ситуативно, отсутствует системный подход)</t>
  </si>
  <si>
    <t>P-DEFECT-MNG-2-1</t>
  </si>
  <si>
    <t>Все дефекты критического уровня обрабатываются в приоритетном порядке</t>
  </si>
  <si>
    <t>P-DEFECT-MNG-2-2</t>
  </si>
  <si>
    <t>Поиск дефектов автоматизирован и является частью CI\CD</t>
  </si>
  <si>
    <t>P-DEFECT-MNG-3-1</t>
  </si>
  <si>
    <t>Для каждого дефекта ИБ создается задача в Task tracker (например, в Jira). Осуществляется контроль устранения дефекта (выполнения задачи)</t>
  </si>
  <si>
    <t>P-DEFECT-MNG-3-2</t>
  </si>
  <si>
    <t>Внедрен и контролируется SLA по исправлению дефектов ИБ</t>
  </si>
  <si>
    <t>P-DEFECT-MNG-3-3</t>
  </si>
  <si>
    <t>На QG проверяется отсутствие дефектов заданного уровня критичности (и это является критерием прохождения QG)</t>
  </si>
  <si>
    <t>P-DEFECT-MNG-4-1</t>
  </si>
  <si>
    <t>Дефекты обрабатываются в соответствии с risk-based approach</t>
  </si>
  <si>
    <t>P-DEFECT-CNS-0-1</t>
  </si>
  <si>
    <t>Выполняется централизованное хранение и обработка отчетности по найденным дефектам ИБ</t>
  </si>
  <si>
    <t>P-DEFECT-CNS-1-1</t>
  </si>
  <si>
    <t>Внедрено и используется централизованное хранилище отчетов по дефектам ИБ разрабатываемого ПО</t>
  </si>
  <si>
    <t>CR2.8</t>
  </si>
  <si>
    <t>P-DEFECT-CNS-1-2</t>
  </si>
  <si>
    <t xml:space="preserve">Отчетность выгружается и хранится централизовано для ряда проверок\инструментов </t>
  </si>
  <si>
    <t>P-DEFECT-CNS-2-1</t>
  </si>
  <si>
    <t>Отчетность выгружается и хранится централизовано для всех проверок\инструментов, которые есть в Компании и которые анализируют разрабатываемое ПО</t>
  </si>
  <si>
    <t>P-DEFECT-CNS-3-1</t>
  </si>
  <si>
    <t>Внедрена и используется SGRC для управления отчетами</t>
  </si>
  <si>
    <t>P-DEFECT-CNS-3-2</t>
  </si>
  <si>
    <t>Отчеты загружаются в SGRC в ручном режиме</t>
  </si>
  <si>
    <t>P-DEFECT-CNS-4-1</t>
  </si>
  <si>
    <t>Отчеты загружаются в SGRC в автоматическом режиме</t>
  </si>
  <si>
    <t>P-DEFECT-CNS-4-2</t>
  </si>
  <si>
    <t>P-MET-SET-0-1</t>
  </si>
  <si>
    <t>P-MET-SET-2-1</t>
  </si>
  <si>
    <t>SM3.3</t>
  </si>
  <si>
    <t>SM-B-1</t>
  </si>
  <si>
    <t>P-MET-SET-2-2</t>
  </si>
  <si>
    <t>Определены целевые значения по каждой метрике процессов DSO</t>
  </si>
  <si>
    <t>SM-B-2</t>
  </si>
  <si>
    <t>P-MET-SET-3-1</t>
  </si>
  <si>
    <t>Выполняется регулярный пересмотр собираемых метрик процессов DSO</t>
  </si>
  <si>
    <t>P-MET-SET-3-2</t>
  </si>
  <si>
    <t>Выполняется регулярная корректировка целевых значений</t>
  </si>
  <si>
    <t>P-MET-EX-0-1</t>
  </si>
  <si>
    <t>Выполняется контроль метрик DSO</t>
  </si>
  <si>
    <t>P-MET-EX-2-1</t>
  </si>
  <si>
    <t xml:space="preserve">Выполняется сбор и анализ метрик процессов DSO </t>
  </si>
  <si>
    <t>P-MET-EX-2-2</t>
  </si>
  <si>
    <t>Выполняется формирование отчетов и сравнение результатов метрик процессов DSO с целевыми показателями</t>
  </si>
  <si>
    <t>SM-B-3</t>
  </si>
  <si>
    <t>P-MET-EX-3-1</t>
  </si>
  <si>
    <t>Сбор и анализ метрик для всех команд</t>
  </si>
  <si>
    <t>P-MET-EX-3-2</t>
  </si>
  <si>
    <t>Проводится регулярная оценка эффективности реализуемых мероприятий на основе собираемых метрик процессов DSO</t>
  </si>
  <si>
    <t>P-MET-EX-3-3</t>
  </si>
  <si>
    <t>Выполняется визуализация результатов сбора метрик процессов DSO (формирование дашбордов. Например, в Grafana)</t>
  </si>
  <si>
    <t>P-MET-EX-4-1</t>
  </si>
  <si>
    <t>Производится модернизация и совершенствование бизнес-процессов на основании собираемых метрик процессов DSO. Есть такие примеры (или же описан где-то такой процесс)</t>
  </si>
  <si>
    <t>Домен "Функциональные роли"</t>
  </si>
  <si>
    <t>P-ROLE-SC-0-1</t>
  </si>
  <si>
    <t>Используются практики Security Champion - регулярное взаимодействие с командами разработки по вопросам ИБ</t>
  </si>
  <si>
    <t>SM2.3</t>
  </si>
  <si>
    <t>P-ROLE-SC-1-1</t>
  </si>
  <si>
    <t>Функции Security Champion выполняются, как минимум, специалистами ИБ</t>
  </si>
  <si>
    <t>P-ROLE-SC-2-1</t>
  </si>
  <si>
    <t>В команде\проекте есть выделенный security champion</t>
  </si>
  <si>
    <t>TA-B-1</t>
  </si>
  <si>
    <t>P-ROLE-SC-2-2</t>
  </si>
  <si>
    <t>Security Champion продвигает внутри команды лучшие практики в части безопасной разработки, делится с командами AppSec данными об уязвимостях и новых методах и практиках ИБ</t>
  </si>
  <si>
    <t>P-ROLE-SC-3-1</t>
  </si>
  <si>
    <t>Security Champion проводит R&amp;D работу в части использования новых инструментов ИБ и отчитывается о результатах AppSec команде</t>
  </si>
  <si>
    <t>P-ROLE-SC-3-2</t>
  </si>
  <si>
    <t>Security Champion поддерживает используемые в цикле безопасной разработки инструменты ИБ в актуальном состоянии</t>
  </si>
  <si>
    <t>CR1.7</t>
  </si>
  <si>
    <t>P-ROLE-SC-3-3</t>
  </si>
  <si>
    <t>Security Champion проводит проверку безопасности кода в своей области экспертизы</t>
  </si>
  <si>
    <t>P-ROLE-SC-3-4</t>
  </si>
  <si>
    <t>P-ROLE-SC-4-1</t>
  </si>
  <si>
    <t>Security Champion проводит тренинги по безопасной разработке и ИБ в целом для новых разработчиков</t>
  </si>
  <si>
    <t>P-ROLE-SC-4-2</t>
  </si>
  <si>
    <t>Security Champion работает до 3х месяцев в команде AppSec в рамках практик ротации работников</t>
  </si>
  <si>
    <t>P-ROLE-SC-4-3</t>
  </si>
  <si>
    <t>Security champion проводит проверки (review) моделей угроз, безопасного дизайна, а также peer-review работ, выполненных другими security champion</t>
  </si>
  <si>
    <t>P-ROLE-SC-4-4</t>
  </si>
  <si>
    <t>Security champion выполняет PoC для новых эксплойтов, а также проверку приложений на выполнение требований по ИБ</t>
  </si>
  <si>
    <t>P-ROLE-RESP-0-1</t>
  </si>
  <si>
    <t>Существует разграничение ролей процесса безопасной разработки</t>
  </si>
  <si>
    <t>P-ROLE-RESP-1-1</t>
  </si>
  <si>
    <t>В подразделении ИБ определены специалисты, отвечающие за безопасность разрабатываемого ПО (в дополнение к другой деятельности)</t>
  </si>
  <si>
    <t>P-ROLE-RESP-1-2</t>
  </si>
  <si>
    <t>Обязанности и ответственность за безопасность разрабатываемого ПО закреплены формально (приказ, должностная инструкция и пр.)</t>
  </si>
  <si>
    <t>P-ROLE-RESP-2-1</t>
  </si>
  <si>
    <t>Выделены сотрудники ИБ (роли), основной обязанностью которых является безопасность разработки (DSO)</t>
  </si>
  <si>
    <t>P-ROLE-RESP-2-2</t>
  </si>
  <si>
    <t>Сформирована матрица ролей в части DSO</t>
  </si>
  <si>
    <t>P-ROLE-RESP-2-3</t>
  </si>
  <si>
    <t>Разработан и введен в действие регламент безопасной разработки</t>
  </si>
  <si>
    <t>P-ROLE-RESP-3-1</t>
  </si>
  <si>
    <t>Разработана и используется RACI-матрица для всего процесса DSO</t>
  </si>
  <si>
    <t>Частично выполняется</t>
  </si>
  <si>
    <t>Применимо</t>
  </si>
  <si>
    <t>Не применимо</t>
  </si>
  <si>
    <t>SM1.3</t>
  </si>
  <si>
    <t>SM2.1</t>
  </si>
  <si>
    <t>SM2.7</t>
  </si>
  <si>
    <t>CP1.1</t>
  </si>
  <si>
    <t>CP1.2</t>
  </si>
  <si>
    <t>CP2.1</t>
  </si>
  <si>
    <t>CP2.4</t>
  </si>
  <si>
    <t>CP2.5</t>
  </si>
  <si>
    <t>CP3.1</t>
  </si>
  <si>
    <t>CP3.2</t>
  </si>
  <si>
    <t>CP3.3</t>
  </si>
  <si>
    <t>T1.8</t>
  </si>
  <si>
    <t>SR2.2</t>
  </si>
  <si>
    <t>SR3.2</t>
  </si>
  <si>
    <t>CR1.2</t>
  </si>
  <si>
    <t>CR2.7</t>
  </si>
  <si>
    <t>CR3.3</t>
  </si>
  <si>
    <t>CR3.4</t>
  </si>
  <si>
    <t>CR3.5</t>
  </si>
  <si>
    <t>ST1.1</t>
  </si>
  <si>
    <t>ST2.4</t>
  </si>
  <si>
    <t>ST2.5</t>
  </si>
  <si>
    <t>ST3.3</t>
  </si>
  <si>
    <t>ST3.4</t>
  </si>
  <si>
    <t>ST3.5</t>
  </si>
  <si>
    <t>ST3.6</t>
  </si>
  <si>
    <t>PT1.3</t>
  </si>
  <si>
    <t>PT2.2</t>
  </si>
  <si>
    <t>PT3.1</t>
  </si>
  <si>
    <t>PT3.2</t>
  </si>
  <si>
    <t>SE1.3</t>
  </si>
  <si>
    <t>SE2.7</t>
  </si>
  <si>
    <t>SE3.2</t>
  </si>
  <si>
    <t>SE3.3</t>
  </si>
  <si>
    <t>CMVM2.1</t>
  </si>
  <si>
    <t>CMVM2.3</t>
  </si>
  <si>
    <t>CMVM3.1</t>
  </si>
  <si>
    <t>CMVM3.2</t>
  </si>
  <si>
    <t>SM-A-1</t>
  </si>
  <si>
    <t>SM-A-2</t>
  </si>
  <si>
    <t>SM-A-3</t>
  </si>
  <si>
    <t>PC-A-1</t>
  </si>
  <si>
    <t>PC-A-2</t>
  </si>
  <si>
    <t>PC-A-3</t>
  </si>
  <si>
    <t>TA-A-2</t>
  </si>
  <si>
    <t>TA-B-2</t>
  </si>
  <si>
    <t>SR-A-2</t>
  </si>
  <si>
    <t>SR-A-3</t>
  </si>
  <si>
    <t>SR-B-1</t>
  </si>
  <si>
    <t>SR-B-2</t>
  </si>
  <si>
    <t>SR-B-3</t>
  </si>
  <si>
    <t>SA-A-2</t>
  </si>
  <si>
    <t>SA-A-3</t>
  </si>
  <si>
    <t>SA-B-1</t>
  </si>
  <si>
    <t>SA-B-2</t>
  </si>
  <si>
    <t>SA-B-3</t>
  </si>
  <si>
    <t>SD-A-1</t>
  </si>
  <si>
    <t>SD-A-2</t>
  </si>
  <si>
    <t>SD-A-3</t>
  </si>
  <si>
    <t>Задача</t>
  </si>
  <si>
    <t>Единица измерения</t>
  </si>
  <si>
    <t>Норма времени (в часах)</t>
  </si>
  <si>
    <t>Периодичность выполнения</t>
  </si>
  <si>
    <t>Выполняется несколько раз в неделю</t>
  </si>
  <si>
    <t>Выполняется несколько раз в месяц</t>
  </si>
  <si>
    <t>Выполняется несколько раз в квартал</t>
  </si>
  <si>
    <t>Итого в год, часов</t>
  </si>
  <si>
    <t xml:space="preserve">   - Контроль корректности настроек</t>
  </si>
  <si>
    <t>Одна операция</t>
  </si>
  <si>
    <t>X</t>
  </si>
  <si>
    <t xml:space="preserve">   - Корректировка настроек при необходимости</t>
  </si>
  <si>
    <t xml:space="preserve">   - Предоставление доступа</t>
  </si>
  <si>
    <t xml:space="preserve">   - Актуализация прав доступа</t>
  </si>
  <si>
    <t>Единоразовый анализ событий аудита</t>
  </si>
  <si>
    <t xml:space="preserve">   - Контроль настроек и постановка задачи на исправление</t>
  </si>
  <si>
    <t>Одна консультация</t>
  </si>
  <si>
    <t xml:space="preserve">   - Корректировка Ansible playbook для исправления </t>
  </si>
  <si>
    <t xml:space="preserve">   - Проверка резервной копии в СРК</t>
  </si>
  <si>
    <t xml:space="preserve">   - Проверка возможности восстановления из РК</t>
  </si>
  <si>
    <t xml:space="preserve">   - Проверка наличия резервных копий и их целостности</t>
  </si>
  <si>
    <t>Контроль создания  РК</t>
  </si>
  <si>
    <t>Восстановление из РК</t>
  </si>
  <si>
    <t>Один отчет</t>
  </si>
  <si>
    <t>Итого (Ч) для KeyCloak:</t>
  </si>
  <si>
    <t>Итого (Ч-Д) для KeyCloak:</t>
  </si>
  <si>
    <t>Итого (FTE) для KeyCloak:</t>
  </si>
  <si>
    <t>Параметр</t>
  </si>
  <si>
    <t>Значение</t>
  </si>
  <si>
    <t>Часов в неделе</t>
  </si>
  <si>
    <t>Недель в месяце</t>
  </si>
  <si>
    <t>Часов в месяце</t>
  </si>
  <si>
    <t>Месяцев в квартале</t>
  </si>
  <si>
    <t>Часов в квартале</t>
  </si>
  <si>
    <t>Кварталов в году</t>
  </si>
  <si>
    <t>Часов в году</t>
  </si>
  <si>
    <t xml:space="preserve">   - Добавление новой политики</t>
  </si>
  <si>
    <t>Добавление одной политики</t>
  </si>
  <si>
    <t xml:space="preserve">   - Внесение изменений в существующие политики</t>
  </si>
  <si>
    <t>Актуализация одной  политики</t>
  </si>
  <si>
    <t>Итого (Ч) для Kyverno:</t>
  </si>
  <si>
    <t>Итого (Ч-Д) для Kyverno:</t>
  </si>
  <si>
    <t>Итого (FTE) для Kyverno:</t>
  </si>
  <si>
    <t>Актуализация одной сетевой политики</t>
  </si>
  <si>
    <t>Итого (Ч) для Cilium:</t>
  </si>
  <si>
    <t>Итого (Ч-Д) для Cilium:</t>
  </si>
  <si>
    <t>Итого (FTE) для Cilium:</t>
  </si>
  <si>
    <t>Актуализация политики аудита</t>
  </si>
  <si>
    <t>Итого (Ч) для политик аудита Kubernetes:</t>
  </si>
  <si>
    <t>Итого (Ч-Д) для политик аудита Kubernetes:</t>
  </si>
  <si>
    <t>Итого (FTE) для политик аудита Kubernetes:</t>
  </si>
  <si>
    <t>Актуализация политики Falco</t>
  </si>
  <si>
    <t>Итого (Ч) для политик аудита Falco:</t>
  </si>
  <si>
    <t>Итого (Ч-Д) для политик аудита Falco:</t>
  </si>
  <si>
    <t>Итого (FTE) для политик аудита Falco:</t>
  </si>
  <si>
    <t xml:space="preserve">   - Запуск Ansbible для проверки соответствия конфигурации лучшим практикам</t>
  </si>
  <si>
    <t>Домен</t>
  </si>
  <si>
    <t>Описание поддомена</t>
  </si>
  <si>
    <t>0. Uninitiated</t>
  </si>
  <si>
    <t>1. Beginners</t>
  </si>
  <si>
    <t>2. Intermediate</t>
  </si>
  <si>
    <t>3. Advanced</t>
  </si>
  <si>
    <t>4. Experts</t>
  </si>
  <si>
    <t>Технологии</t>
  </si>
  <si>
    <t>Контроль ИБ артефактов, зависимостей и образов</t>
  </si>
  <si>
    <t>T-ADI-DEP</t>
  </si>
  <si>
    <t>Контроль использования сторонних компонентов</t>
  </si>
  <si>
    <t>T-ADI-ART</t>
  </si>
  <si>
    <t>Управление артефактами</t>
  </si>
  <si>
    <t>Защита окружения разработки</t>
  </si>
  <si>
    <t>T-DEV-COMP</t>
  </si>
  <si>
    <t>Защита рабочих мест разработчика</t>
  </si>
  <si>
    <t>T-DEV-SM</t>
  </si>
  <si>
    <t>Защита секретов</t>
  </si>
  <si>
    <t>T-DEV-BLD</t>
  </si>
  <si>
    <t>Защита Build-среды</t>
  </si>
  <si>
    <t>T-DEV-SCM</t>
  </si>
  <si>
    <t>Защита source code management (SCM)</t>
  </si>
  <si>
    <t>T-DEV-SRC</t>
  </si>
  <si>
    <t>Контроль внесения изменений в исходный код</t>
  </si>
  <si>
    <t>T-DEV-CICD</t>
  </si>
  <si>
    <t>Защита конвейера сборки</t>
  </si>
  <si>
    <t>T-CODE-SST</t>
  </si>
  <si>
    <t>Статический анализ (SAST)</t>
  </si>
  <si>
    <t>T-CODE-SC</t>
  </si>
  <si>
    <t>Композиционный анализ (SCA)</t>
  </si>
  <si>
    <t>T-CODE-IMG</t>
  </si>
  <si>
    <t>Анализ образов контейнеров</t>
  </si>
  <si>
    <t>T-CODE-SECDN</t>
  </si>
  <si>
    <t>Идентификация секретов</t>
  </si>
  <si>
    <t>T-CODE-DOCKERFS</t>
  </si>
  <si>
    <t>Контроль безопасности Dockerfile’ов</t>
  </si>
  <si>
    <t>Анализ ПО в режиме runtime - Preprod</t>
  </si>
  <si>
    <t>T-PREPROD-DAST</t>
  </si>
  <si>
    <t>Динамический анализ приложений (DAST) в PREPROD среде</t>
  </si>
  <si>
    <t>T-PREPROD-PENTEST</t>
  </si>
  <si>
    <t>Тестирование на проникновение перед внедрением приложений в продуктив</t>
  </si>
  <si>
    <t>T-PREPROD-SECTEST</t>
  </si>
  <si>
    <t>Функциональное ИБ-тестирование</t>
  </si>
  <si>
    <t>T-PREPROD-MANSEC</t>
  </si>
  <si>
    <t>Контроль безопасности манифестов (k8s, terraform и т.д.)</t>
  </si>
  <si>
    <t>T-PREPROD-VULN</t>
  </si>
  <si>
    <t>Анализ инфраструктуры PREPROD среды на уязвимости</t>
  </si>
  <si>
    <t>Защита ПО и инфраструктуры в режиме runtime</t>
  </si>
  <si>
    <t>T-PROD-SM</t>
  </si>
  <si>
    <t>Управление секретами</t>
  </si>
  <si>
    <t>T-PROD-DAST</t>
  </si>
  <si>
    <t>Динамический анализ приложений (DAST) в продуктивной среде</t>
  </si>
  <si>
    <t>T-PROD-PENTEST</t>
  </si>
  <si>
    <t>Тестирование на проникновение продуктивной среды</t>
  </si>
  <si>
    <t>T-PROD-ACCESS</t>
  </si>
  <si>
    <t>Управление изменениями инфраструктуры и доступом к ней</t>
  </si>
  <si>
    <t>T-PROD-NETWORK</t>
  </si>
  <si>
    <t>Контроль сетевого трафика (L4-L7)</t>
  </si>
  <si>
    <t>T-PROD-RUN</t>
  </si>
  <si>
    <t>Контроль выполняемых и процессов и их прав доступа</t>
  </si>
  <si>
    <t>T-PROD-VULN</t>
  </si>
  <si>
    <t>Анализ инфраструктуры PROD среды на уязвимости</t>
  </si>
  <si>
    <t>T-PROD-EVENTS</t>
  </si>
  <si>
    <t>Анализ событий информационной безопасности</t>
  </si>
  <si>
    <t>Процессы</t>
  </si>
  <si>
    <t>Обучение и база знаний</t>
  </si>
  <si>
    <t>P-EDU-AWR</t>
  </si>
  <si>
    <t>Обучение специалистов</t>
  </si>
  <si>
    <t>P-EDU-KB</t>
  </si>
  <si>
    <t>Управление базой знаний DSO</t>
  </si>
  <si>
    <t>Контроль и формирование требований ИБ к ПО</t>
  </si>
  <si>
    <t>P-REQ-TM</t>
  </si>
  <si>
    <t>Оценка критичности приложений и моделирование угроз</t>
  </si>
  <si>
    <t>P-REQ-RD</t>
  </si>
  <si>
    <t>Определение требований ИБ, предъявляемых к ПО</t>
  </si>
  <si>
    <t>P-REQ-CR</t>
  </si>
  <si>
    <t>Контроль выполнения требований ИБ</t>
  </si>
  <si>
    <t>P-REQ-STDR-App</t>
  </si>
  <si>
    <t>Разработка стандартов конфигураций разрабатываемого ПО</t>
  </si>
  <si>
    <t>P-REQ-STDR-Infr</t>
  </si>
  <si>
    <t>Разработка стандартов конфигураций для компонентов инфраструктуры</t>
  </si>
  <si>
    <t>Управление ИБ дефектами</t>
  </si>
  <si>
    <t>P-DEFECT-MNG</t>
  </si>
  <si>
    <t>Обработка дефектов ИБ</t>
  </si>
  <si>
    <t>P-DEFECT-CNS</t>
  </si>
  <si>
    <t>Консолидация дефектов ИБ</t>
  </si>
  <si>
    <t>P-MET-SET</t>
  </si>
  <si>
    <t>Управление набором метрик ИБ</t>
  </si>
  <si>
    <t>P-MET-EX</t>
  </si>
  <si>
    <t>Контроль исполнения метрик</t>
  </si>
  <si>
    <t>Функциональные роли</t>
  </si>
  <si>
    <t>P-ROLE-SC</t>
  </si>
  <si>
    <t>Security Champions</t>
  </si>
  <si>
    <t>P-ROLE-RESP</t>
  </si>
  <si>
    <t>Разграничение ролей процесса DSO</t>
  </si>
  <si>
    <t>7. Космический</t>
  </si>
  <si>
    <t>T-CODE-SST-4</t>
  </si>
  <si>
    <t>T-PREPROD-DAST-4</t>
  </si>
  <si>
    <t>T-PROD-ACCESS-4</t>
  </si>
  <si>
    <t>T-PROD-VULN-4</t>
  </si>
  <si>
    <t>P-DEFECT-MNG-4</t>
  </si>
  <si>
    <t>P-ROLE-SC-4</t>
  </si>
  <si>
    <t>T-DEV-SM-4</t>
  </si>
  <si>
    <t>T-DEV-SCM-4</t>
  </si>
  <si>
    <t>T-DEV-SRC-4</t>
  </si>
  <si>
    <t>T-CODE-SC-4</t>
  </si>
  <si>
    <t>T-PREPROD-DAST-3</t>
  </si>
  <si>
    <t>T-PREPROD-SECTEST-3</t>
  </si>
  <si>
    <t>P-EDU-AWR-4</t>
  </si>
  <si>
    <t>P-REQ-CR-4</t>
  </si>
  <si>
    <t>P-DEFECT-CNS-4</t>
  </si>
  <si>
    <t>P-MET-EX-4</t>
  </si>
  <si>
    <t>5. Развитый</t>
  </si>
  <si>
    <t>T-DEV-BLD-3</t>
  </si>
  <si>
    <t>T-DEV-CICD-4</t>
  </si>
  <si>
    <t>T-CODE-SECDN-4</t>
  </si>
  <si>
    <t>T-PROD-SM-4</t>
  </si>
  <si>
    <t>T-PROD-VULN-3</t>
  </si>
  <si>
    <t>P-EDU-AWR-3</t>
  </si>
  <si>
    <t>P-EDU-KB-4</t>
  </si>
  <si>
    <t>P-REQ-TM-4</t>
  </si>
  <si>
    <t>P-REQ-CR-3</t>
  </si>
  <si>
    <t>P-REQ-STDR-Infr-4</t>
  </si>
  <si>
    <t>P-DEFECT-CNS-3</t>
  </si>
  <si>
    <t>4. Продвинутый</t>
  </si>
  <si>
    <t>T-ADI-DEP-3</t>
  </si>
  <si>
    <t>T-ADI-ART-3</t>
  </si>
  <si>
    <t>T-DEV-SCM-3</t>
  </si>
  <si>
    <t>T-DEV-SRC-3</t>
  </si>
  <si>
    <t>T-DEV-CICD-3</t>
  </si>
  <si>
    <t>T-CODE-SST-3</t>
  </si>
  <si>
    <t>T-CODE-SC-3</t>
  </si>
  <si>
    <t>T-CODE-IMG-4</t>
  </si>
  <si>
    <t>T-PREPROD-DAST-2</t>
  </si>
  <si>
    <t>T-PROD-ACCESS-3</t>
  </si>
  <si>
    <t>T-PROD-RUN-3</t>
  </si>
  <si>
    <t>P-EDU-KB-3</t>
  </si>
  <si>
    <t>P-REQ-TM-3</t>
  </si>
  <si>
    <t>P-REQ-RD-3</t>
  </si>
  <si>
    <t>P-DEFECT-MNG-3</t>
  </si>
  <si>
    <t>P-DEFECT-CNS-2</t>
  </si>
  <si>
    <t>P-MET-SET-3</t>
  </si>
  <si>
    <t>P-MET-EX-3</t>
  </si>
  <si>
    <t>P-ROLE-SC-3</t>
  </si>
  <si>
    <t>P-ROLE-RESP-3</t>
  </si>
  <si>
    <t>3. Повышенный</t>
  </si>
  <si>
    <t>T-ADI-DEP-2</t>
  </si>
  <si>
    <t>T-ADI-ART-2</t>
  </si>
  <si>
    <t>T-DEV-SM-3</t>
  </si>
  <si>
    <t>T-DEV-BLD-2</t>
  </si>
  <si>
    <t>T-DEV-SCM-2</t>
  </si>
  <si>
    <t>T-DEV-SRC-2</t>
  </si>
  <si>
    <t>T-DEV-CICD-2</t>
  </si>
  <si>
    <t>T-CODE-SST-2</t>
  </si>
  <si>
    <t>T-CODE-IMG-3</t>
  </si>
  <si>
    <t>T-CODE-SECDN-3</t>
  </si>
  <si>
    <t>T-PREPROD-DAST-1</t>
  </si>
  <si>
    <t>T-PREPROD-MANSEC-2</t>
  </si>
  <si>
    <t>T-PROD-SM-3</t>
  </si>
  <si>
    <t>T-PROD-PENTEST-2</t>
  </si>
  <si>
    <t>T-PROD-ACCESS-2</t>
  </si>
  <si>
    <t>T-PROD-NETWORK-3</t>
  </si>
  <si>
    <t>T-PROD-VULN-2</t>
  </si>
  <si>
    <t>T-PROD-EVENTS-3</t>
  </si>
  <si>
    <t>P-EDU-AWR-2</t>
  </si>
  <si>
    <t>P-EDU-KB-2</t>
  </si>
  <si>
    <t>P-REQ-TM-2</t>
  </si>
  <si>
    <t>P-REQ-STDR-Infr-3</t>
  </si>
  <si>
    <t>P-DEFECT-MNG-2</t>
  </si>
  <si>
    <t>P-DEFECT-CNS-1</t>
  </si>
  <si>
    <t>P-MET-SET-2</t>
  </si>
  <si>
    <t>P-MET-EX-2</t>
  </si>
  <si>
    <t>P-ROLE-SC-2</t>
  </si>
  <si>
    <t>P-ROLE-RESP-2</t>
  </si>
  <si>
    <t>2. Базовый</t>
  </si>
  <si>
    <t>T-ADI-DEP-1</t>
  </si>
  <si>
    <t>T-DEV-COMP-2</t>
  </si>
  <si>
    <t>T-DEV-SM-2</t>
  </si>
  <si>
    <t>T-DEV-BLD-1</t>
  </si>
  <si>
    <t>T-DEV-SCM-1</t>
  </si>
  <si>
    <t>T-CODE-SST-1</t>
  </si>
  <si>
    <t>T-CODE-SC-2</t>
  </si>
  <si>
    <t>T-CODE-IMG-2</t>
  </si>
  <si>
    <t>T-CODE-SECDN-2</t>
  </si>
  <si>
    <t>T-CODE-DOCKERFS-2</t>
  </si>
  <si>
    <t>T-PREPROD-PENTEST-2</t>
  </si>
  <si>
    <t>T-PREPROD-SECTEST-2</t>
  </si>
  <si>
    <t>T-PREPROD-MANSEC-1</t>
  </si>
  <si>
    <t>T-PROD-SM-2</t>
  </si>
  <si>
    <t>T-PROD-PENTEST-1</t>
  </si>
  <si>
    <t>T-PROD-NETWORK-2</t>
  </si>
  <si>
    <t>T-PROD-RUN-2</t>
  </si>
  <si>
    <t>T-PROD-VULN-1</t>
  </si>
  <si>
    <t>T-PROD-EVENTS-2</t>
  </si>
  <si>
    <t>P-REQ-TM-1</t>
  </si>
  <si>
    <t>P-REQ-RD-2</t>
  </si>
  <si>
    <t>P-REQ-CR-2</t>
  </si>
  <si>
    <t>P-REQ-STDR-Infr-2</t>
  </si>
  <si>
    <t>P-DEFECT-MNG-1</t>
  </si>
  <si>
    <t>1. Минимальный</t>
  </si>
  <si>
    <t>T-ADI-ART-1</t>
  </si>
  <si>
    <t>T-DEV-COMP-1</t>
  </si>
  <si>
    <t>T-DEV-SM-1</t>
  </si>
  <si>
    <t>T-DEV-SRC-1</t>
  </si>
  <si>
    <t>T-DEV-CICD-1</t>
  </si>
  <si>
    <t>T-CODE-SC-1</t>
  </si>
  <si>
    <t>T-CODE-IMG-1</t>
  </si>
  <si>
    <t>T-CODE-SECDN-1</t>
  </si>
  <si>
    <t>T-CODE-DOCKERFS-1</t>
  </si>
  <si>
    <t>T-PREPROD-PENTEST-1</t>
  </si>
  <si>
    <t>T-PREPROD-SECTEST-1</t>
  </si>
  <si>
    <t>T-PROD-SM-1</t>
  </si>
  <si>
    <t>T-PROD-ACCESS-1</t>
  </si>
  <si>
    <t>T-PROD-NETWORK-1</t>
  </si>
  <si>
    <t>P-EDU-AWR-1</t>
  </si>
  <si>
    <t>P-EDU-KB-1</t>
  </si>
  <si>
    <t>P-REQ-RD-1</t>
  </si>
  <si>
    <t>P-REQ-CR-1</t>
  </si>
  <si>
    <t>P-REQ-STDR-Infr-1</t>
  </si>
  <si>
    <t>P-ROLE-SC-1</t>
  </si>
  <si>
    <t>P-ROLE-RESP-1</t>
  </si>
  <si>
    <t>0. Хаос</t>
  </si>
  <si>
    <t>T-ADI-DEP-0</t>
  </si>
  <si>
    <t>T-ADI-ART-0</t>
  </si>
  <si>
    <t>T-DEV-COMP-0</t>
  </si>
  <si>
    <t>T-DEV-SM-0</t>
  </si>
  <si>
    <t>T-DEV-BLD-0</t>
  </si>
  <si>
    <t>T-DEV-SCM-0</t>
  </si>
  <si>
    <t>T-DEV-SRC-0</t>
  </si>
  <si>
    <t>T-DEV-CICD-0</t>
  </si>
  <si>
    <t>T-CODE-SST-0</t>
  </si>
  <si>
    <t>T-CODE-SC-0</t>
  </si>
  <si>
    <t>T-CODE-IMG-0</t>
  </si>
  <si>
    <t>T-CODE-SECDN-0</t>
  </si>
  <si>
    <t>T-CODE-DOCKERFS-0</t>
  </si>
  <si>
    <t>T-PREPROD-DAST-0</t>
  </si>
  <si>
    <t>T-PREPROD-PENTEST-0</t>
  </si>
  <si>
    <t>T-PREPROD-SECTEST-0</t>
  </si>
  <si>
    <t>T-PREPROD-MANSEC-0</t>
  </si>
  <si>
    <t>T-PROD-SM-0</t>
  </si>
  <si>
    <t>T-PROD-PENTEST-0</t>
  </si>
  <si>
    <t>T-PROD-ACCESS-0</t>
  </si>
  <si>
    <t>T-PROD-NETWORK-0</t>
  </si>
  <si>
    <t>T-PROD-RUN-0</t>
  </si>
  <si>
    <t>T-PROD-VULN-0</t>
  </si>
  <si>
    <t>T-PROD-EVENTS-0</t>
  </si>
  <si>
    <t>P-EDU-AWR-0</t>
  </si>
  <si>
    <t>P-EDU-KB-0</t>
  </si>
  <si>
    <t>P-REQ-TM-0</t>
  </si>
  <si>
    <t>P-REQ-RD-0</t>
  </si>
  <si>
    <t>P-REQ-CR-0</t>
  </si>
  <si>
    <t>P-REQ-STDR-App-0</t>
  </si>
  <si>
    <t>P-REQ-STDR-Infr-0</t>
  </si>
  <si>
    <t>P-DEFECT-MNG-0</t>
  </si>
  <si>
    <t>P-DEFECT-CNS-0</t>
  </si>
  <si>
    <t>P-MET-SET-0</t>
  </si>
  <si>
    <t>P-MET-EX-0</t>
  </si>
  <si>
    <t>P-ROLE-SC-0</t>
  </si>
  <si>
    <t>P-ROLE-RESP-0</t>
  </si>
  <si>
    <t>T-ADI-DEP-4</t>
  </si>
  <si>
    <t>T-ADI-ART-4</t>
  </si>
  <si>
    <t>T-DEV-BLD-4</t>
  </si>
  <si>
    <t>T-PREPROD-PENTEST-4</t>
  </si>
  <si>
    <t>T-PREPROD-VULN-0</t>
  </si>
  <si>
    <t>T-PREPROD-VULN-1</t>
  </si>
  <si>
    <t>T-PREPROD-VULN-2</t>
  </si>
  <si>
    <t>T-PREPROD-VULN-3</t>
  </si>
  <si>
    <t>T-PREPROD-VULN-4</t>
  </si>
  <si>
    <t>T-PROD-DAST-0</t>
  </si>
  <si>
    <t>T-PROD-DAST-1</t>
  </si>
  <si>
    <t>T-PROD-DAST-2</t>
  </si>
  <si>
    <t>T-PROD-DAST-3</t>
  </si>
  <si>
    <t>T-PROD-DAST-4</t>
  </si>
  <si>
    <t>T-PROD-PENTEST-3</t>
  </si>
  <si>
    <t>T-PROD-PENTEST-4</t>
  </si>
  <si>
    <t>T-PROD-RUN-1</t>
  </si>
  <si>
    <t>P-REQ-STDR-App-1</t>
  </si>
  <si>
    <t>P-REQ-STDR-App-2</t>
  </si>
  <si>
    <t>P-REQ-STDR-App-3</t>
  </si>
  <si>
    <t>P-REQ-STDR-App-4</t>
  </si>
  <si>
    <t>Итого</t>
  </si>
  <si>
    <t>Практика</t>
  </si>
  <si>
    <t>Q1</t>
  </si>
  <si>
    <t>Q2</t>
  </si>
  <si>
    <t>Q3</t>
  </si>
  <si>
    <t>Q4</t>
  </si>
  <si>
    <t>Внедрение решения OSA\SCA</t>
  </si>
  <si>
    <t>Внедрение и настройка решения класса XDR</t>
  </si>
  <si>
    <t>Харденинг SCM</t>
  </si>
  <si>
    <t>Внедрение решения SAST</t>
  </si>
  <si>
    <t>Формализация и проведение тестирований на проникновение при приемочных испытаниях ПО</t>
  </si>
  <si>
    <t>Внедрить практики автотестов, выполняющих проверки по ИБ</t>
  </si>
  <si>
    <t>Выполнить сегментацию сети, настроить минимальные сетевые доступы к k8s</t>
  </si>
  <si>
    <t xml:space="preserve">Внедрение решения Container security. </t>
  </si>
  <si>
    <t>Настройка admission policy</t>
  </si>
  <si>
    <t>Разработать методику моделирования угроз ИБ</t>
  </si>
  <si>
    <t>1.Разработать положение по безопасной разработке ПО
2.Разработать регламент безопасной разработки ПО</t>
  </si>
  <si>
    <t>Разработать регламент управления уязвимостями</t>
  </si>
  <si>
    <t>Внедрить ресурс хранения отчетов тестирований безопасности</t>
  </si>
  <si>
    <t>Для каждой команды определить специалиста с ролью Security Champion</t>
  </si>
  <si>
    <t>Внедрить решение Secret detection</t>
  </si>
  <si>
    <t>Название документа</t>
  </si>
  <si>
    <t>Предполагаемое содержания (разделы) документа</t>
  </si>
  <si>
    <t>Отчет по результатам проведения оценки зрелости процессов безопасной разработки по фреймворку DAF</t>
  </si>
  <si>
    <t>Описание текущих процессов разработки ПО;</t>
  </si>
  <si>
    <t>Перечень сильных/слабых сторон и возможностей для улучшения/развития;</t>
  </si>
  <si>
    <t>Рекомендации по встраиванию практик безопасной разработки на каждом из этапов разработки ПО.</t>
  </si>
  <si>
    <t>Проект документа «Положение по безопасной разработке программного обеспечения»</t>
  </si>
  <si>
    <t>1 Общие положения</t>
  </si>
  <si>
    <t>1.1 Назначение и область действия документа</t>
  </si>
  <si>
    <t>1.2 Нормативные документы, на основе которых составлен настоящий документ</t>
  </si>
  <si>
    <t>2 Описание процессов безопасной разработки ПО</t>
  </si>
  <si>
    <t>2.1 Основные принципы безопасной разработки ПО</t>
  </si>
  <si>
    <t>2.2 Описание жизненного цикла безопасной разработки ПО</t>
  </si>
  <si>
    <t>2.3 Функциональные роли участников безопасной разработки ПО</t>
  </si>
  <si>
    <t>3 Требования ИБ на различных этапах жизненного цикла разработки ПО</t>
  </si>
  <si>
    <t>3.1 Общие требования ИБ</t>
  </si>
  <si>
    <t>3.2 Требования к этапу планирования функционала ПО</t>
  </si>
  <si>
    <t>3.3 Требования к этапу проектирования ПО</t>
  </si>
  <si>
    <t>3.4 Требования к этапу разработки ПО</t>
  </si>
  <si>
    <t>3.5 Требования к этапу сборки ПО</t>
  </si>
  <si>
    <t>3.6 Требования к этапу тестирования ПО</t>
  </si>
  <si>
    <t>3.7 Требования к этапу выпуска и развертывания ПО</t>
  </si>
  <si>
    <t>3.8 Требования к этапу эксплуатации ПО</t>
  </si>
  <si>
    <t>3.9 Требования к этапу вывода из эксплуатации ПО</t>
  </si>
  <si>
    <t>4 Контроль и ответственность за выполнение требований настоящего документа</t>
  </si>
  <si>
    <t>Проект документа «Регламент процесса безопасной разработки ПО»</t>
  </si>
  <si>
    <t>2 Функциональные роли процесса безопасной разработки ПО</t>
  </si>
  <si>
    <t>2.1 Перечень функциональных ролей, участвующих в безопасной разработки ПО</t>
  </si>
  <si>
    <t>2.2 Описание и задачи функциональных ролей, участвующих в безопасной разработки ПО</t>
  </si>
  <si>
    <t>3 Жизненный цикл безопасной разработки ПО</t>
  </si>
  <si>
    <t>3.1 Полный жизненный цикл безопасной разработки ПО</t>
  </si>
  <si>
    <t>3.2 Изменение/доработка ПО с точки зрения информационной безопасности</t>
  </si>
  <si>
    <t>4 Процессы безопасной разработки ПО</t>
  </si>
  <si>
    <t>4.1 Обучение работников в части безопасной разработки ПО</t>
  </si>
  <si>
    <t>4.2 Анализ применимости базовых требований ИБ к ПО</t>
  </si>
  <si>
    <t>4.3 Процесс формирования дополнительных требований ИБ к ПО</t>
  </si>
  <si>
    <t>4.4 Процесс проведения композиционного анализа ПО</t>
  </si>
  <si>
    <t>4.5 Обеспечение безопасности при управлении версионностью ПО</t>
  </si>
  <si>
    <t>4.6 Обеспечение безопасности используемых секретов</t>
  </si>
  <si>
    <t>4.7 Процесс проведения статического анализа кода</t>
  </si>
  <si>
    <t>4.8 Процесс обеспечения безопасности среды сборки ПО</t>
  </si>
  <si>
    <t>4.9 Процесс обеспечения безопасности файлов конфигурации</t>
  </si>
  <si>
    <t>4.10 Процесс проведения динамического анализа исполняемого кода</t>
  </si>
  <si>
    <t>4.11 Процесс проведения фаззинг-тестирования</t>
  </si>
  <si>
    <t>4.12 Процесс проведения функционального тестирования ИБ</t>
  </si>
  <si>
    <t>4.13 Процесс проведения тестирования на проникновение</t>
  </si>
  <si>
    <t>4.14 Процесс управления ИБ дефектами</t>
  </si>
  <si>
    <t>4.15 Процесс обеспечения безопасной доставки</t>
  </si>
  <si>
    <t>4.16 Процесс обеспечения безопасности конфигурации ПО</t>
  </si>
  <si>
    <t>4.17 Процесс обеспечения безопасности продуктивной среды</t>
  </si>
  <si>
    <t>4.18 Процесс обеспечения безопасности ПО на этапе вывода из эксплуатации</t>
  </si>
  <si>
    <t>Проект документа «Регламент управления дефектами, идентифицированными в процессе разработки ПО»</t>
  </si>
  <si>
    <t>2 Общие положения</t>
  </si>
  <si>
    <t>2.1 Сроки и правила устранения выявленных уязвимостей в разрабатываемом ПО</t>
  </si>
  <si>
    <t>3 Обязанности и ответственность участников процесса управления дефектами, идентифицированными в процессе разработки ПО</t>
  </si>
  <si>
    <t>4 Общая схема процесса управления дефектами ИБ в разрабатываемом ПО</t>
  </si>
  <si>
    <t>Приложение 1. Матрица разграничения обязанностей (RACI-матрица) для общего процесса управления дефектами в разрабатываемом ПО</t>
  </si>
  <si>
    <t>Проект документа «Использования контрольных точек информационной безопасности (Quality Gates) в процессе разработки ПО»</t>
  </si>
  <si>
    <t>1. Определение QUALITY GATES (QG)</t>
  </si>
  <si>
    <t>2. Цели и задачи применения QG</t>
  </si>
  <si>
    <t>3. Этапы и среды, которые предполагают использование QG</t>
  </si>
  <si>
    <t>4. Описание встраивания QG в процессы разработки ПО</t>
  </si>
  <si>
    <t>4.1. Этапы внедрения QG в процесс безопасной разработки  ПО</t>
  </si>
  <si>
    <t>4.2. Описание QG</t>
  </si>
  <si>
    <t>4.3. Встраивание QG (внедрение)</t>
  </si>
  <si>
    <t>4.3.1. Требования к конвейеру</t>
  </si>
  <si>
    <t>4.3.2. План встраивания нового QG</t>
  </si>
  <si>
    <t>4.3.3. Точки встраивания (этапы и среды) QG</t>
  </si>
  <si>
    <t>4.3.4. Генерация метрик для функционировани QG</t>
  </si>
  <si>
    <t>4.3.5. Оценка и учет результатов работы QG</t>
  </si>
  <si>
    <t>4.3.6. Мониторинг работы QG</t>
  </si>
  <si>
    <t>5. Условия прохождения QG</t>
  </si>
  <si>
    <t>5.1. Оцениваемые критерии прохождения QG</t>
  </si>
  <si>
    <t>5.2. Принудительные решения и исключения для прохождения QG</t>
  </si>
  <si>
    <t>6. Критерии успешного прохождения QG</t>
  </si>
  <si>
    <t>6.1. Классификация метрик</t>
  </si>
  <si>
    <t>6.2. Пороговые значения по умолчанию</t>
  </si>
  <si>
    <t>6.3. Пороговые значения QG</t>
  </si>
  <si>
    <t xml:space="preserve">6.3.1. Метрики композиционного анализа (SCA) </t>
  </si>
  <si>
    <t>6.3.2. Метрики статического анализа кода (SAST)</t>
  </si>
  <si>
    <t>6.3.3. Метрики анализа образов контейнеров (Container security)</t>
  </si>
  <si>
    <t>Проект документа «Стандарт информационной безопасности средств контейнеризации и сред контейнерной оркестрации»</t>
  </si>
  <si>
    <t>2. Защита элементов ИТ-инфраструктуры, используемой для запуска контейнеров без использования оркестратора</t>
  </si>
  <si>
    <t>2.2. Требования по ИБ к среде контейнеризации</t>
  </si>
  <si>
    <t>Проект документа «Стандарт по безопасной разработке ПО»</t>
  </si>
  <si>
    <t>2.Основные принципы DevSecOps</t>
  </si>
  <si>
    <t>3.Проектирование и разработка (design and code)</t>
  </si>
  <si>
    <t>3.1.Общие требования ИБ к разрабатываемому ПО</t>
  </si>
  <si>
    <t>3.1.1.Аутентификация</t>
  </si>
  <si>
    <t>3.1.2.Контроль доступа</t>
  </si>
  <si>
    <t>3.1.3.Контроль потоков данных</t>
  </si>
  <si>
    <t>3.1.4.Защита данных при хранении, использовании и передаче</t>
  </si>
  <si>
    <t>3.1.5.Контроль ввода-вывода данных</t>
  </si>
  <si>
    <t>3.1.6.Контроль загружаемых файлов</t>
  </si>
  <si>
    <t>3.1.7.Журналирование</t>
  </si>
  <si>
    <t>3.2.Дополнительные требования ИБ к мобильным приложениям</t>
  </si>
  <si>
    <t>3.2.1.Защита данных при хранении, использовании и передаче</t>
  </si>
  <si>
    <t>3.2.2.Аутентификация</t>
  </si>
  <si>
    <t>3.2.3.Взаимодействие компонент мобильного приложения</t>
  </si>
  <si>
    <t>3.2.4.Защита от reverse engineering</t>
  </si>
  <si>
    <t>3.3.Дополнительные требования ИБ к переводам денежных средств</t>
  </si>
  <si>
    <t>3.3.1.Архитектура</t>
  </si>
  <si>
    <t>3.3.2.Аутентификация</t>
  </si>
  <si>
    <t>3.3.3.Уровни доверия к программному обеспечению</t>
  </si>
  <si>
    <t>3.4.Дополнительные требования ИБ к обработке данных держателей платежных карт</t>
  </si>
  <si>
    <t>3.4.1.Архитектура</t>
  </si>
  <si>
    <t>3.4.2.Защита данных при хранении, использовании и передаче</t>
  </si>
  <si>
    <t>3.5.Дополнительные требования ИБ к API</t>
  </si>
  <si>
    <t>3.5.1.Документация</t>
  </si>
  <si>
    <t>3.5.2.Архитектура</t>
  </si>
  <si>
    <t>3.5.3.Аутентификация и авторизация</t>
  </si>
  <si>
    <t>3.5.4.Защита от раскрытия API</t>
  </si>
  <si>
    <t>3.5.5.Защита данных при передаче</t>
  </si>
  <si>
    <t>3.5.6.Контроль доступа</t>
  </si>
  <si>
    <t>3.5.7.Контроль ввода–вывода данных</t>
  </si>
  <si>
    <t>3.6.Дополнительные требования ИБ к среде контейнеризации</t>
  </si>
  <si>
    <t>3.7.Практики безопасного программирования</t>
  </si>
  <si>
    <t>4.Проверка кода и сборка (Check-in and build)</t>
  </si>
  <si>
    <t>4.1.Управление исходным кодом и контроль версий</t>
  </si>
  <si>
    <t>4.1.1.Управление исходным кодом</t>
  </si>
  <si>
    <t>4.1.2.Контроль версий</t>
  </si>
  <si>
    <t>4.2.Управление секретами (SM)</t>
  </si>
  <si>
    <t>4.3.Проверка кода</t>
  </si>
  <si>
    <t>4.3.1.Общие требования</t>
  </si>
  <si>
    <t>4.3.2.Анализ компонент open source software (OSA)</t>
  </si>
  <si>
    <t>4.3.3.Анализ зависимостей (SCA)</t>
  </si>
  <si>
    <t>4.3.4.Статический анализ кода (SAST)</t>
  </si>
  <si>
    <t>4.4.Качество кода и параметры сборки приложения</t>
  </si>
  <si>
    <t>4.5.Требования к сборке образа контейнера</t>
  </si>
  <si>
    <t>4.5.1.Общие требования к сборке образа контейнера</t>
  </si>
  <si>
    <t>4.5.2.Использование базовых образов контейнеров</t>
  </si>
  <si>
    <t>4.5.3.Проверка конфигураций и сканирование образов контейнеров (CA)</t>
  </si>
  <si>
    <t>4.6.Управление дефектами и уязвимостями в коде</t>
  </si>
  <si>
    <t>4.7.Обфускация</t>
  </si>
  <si>
    <t>4.8.Поставка программного обеспечения</t>
  </si>
  <si>
    <t>5.Тестирование (TEST)</t>
  </si>
  <si>
    <t>5.1.Общие требования к процедурам проверки безопасности</t>
  </si>
  <si>
    <t>5.2.Динамическое тестирование безопасности приложения (DAST)</t>
  </si>
  <si>
    <t>5.3.Управление уязвимостями ПО</t>
  </si>
  <si>
    <t>6.Выпуск и Развертывание (release and deploy)</t>
  </si>
  <si>
    <t>6.1.Управление релизами</t>
  </si>
  <si>
    <t>6.2.Продуктивный релиз</t>
  </si>
  <si>
    <t>7.Оценка эффективности</t>
  </si>
  <si>
    <t>7.1.Метрики оценки эффективности</t>
  </si>
  <si>
    <t>Проект документа «Регламент управления компонентами с открытым исходным кодом»</t>
  </si>
  <si>
    <t>2 Контроль и ответственность</t>
  </si>
  <si>
    <t>3 Процесс управления компонентами с открытым исходным кодом</t>
  </si>
  <si>
    <t>3.1 Общее описание процесса управления компонентами с открытым исходным кодом</t>
  </si>
  <si>
    <t>3.2 Участники процесса управления компонентами с открытым исходным кодом</t>
  </si>
  <si>
    <t>3.3 Процедуры управления компонентами с открытым исходным кодом</t>
  </si>
  <si>
    <t>3.3.1.1 Процедура добавления компонента во внутренний репозиторий</t>
  </si>
  <si>
    <t>3.3.1.2 Процедура модификации доступа к внутреннему репозиторию</t>
  </si>
  <si>
    <t>3.3.1.3 Процедура обновления используемых компонентов</t>
  </si>
  <si>
    <t>Проект документа «Регламент управления секретами»</t>
  </si>
  <si>
    <t>2. Обязанности и ответственность участников процесса управления секретами</t>
  </si>
  <si>
    <t>3. Описание процесса взаимодействия команд разработки при эксплуатации Hashicorp vault</t>
  </si>
  <si>
    <t>4. Заключительные положения</t>
  </si>
  <si>
    <t>Приложение № 2. Графическая схема процесса запроса доступа к Hashicorp vault</t>
  </si>
  <si>
    <t>Приложение № 3. Графическая схема процесса запроса на создание AppRole</t>
  </si>
  <si>
    <t>Приложение № 4. Графическая схема процесса создания заявки на создание k8s role</t>
  </si>
  <si>
    <t>Приложение № 5. Графическая схема процесса подключения k8s кластера к Hashicorp vault</t>
  </si>
  <si>
    <t>Проект документа «Метрики эффективности процесса безопасной разработки ПО»</t>
  </si>
  <si>
    <t>2 Метрики оценки безопасной разработки</t>
  </si>
  <si>
    <t>2.1 Общее описание процесса управления метриками безопасной разработки ПО</t>
  </si>
  <si>
    <t>3 Структура метрик</t>
  </si>
  <si>
    <t>3.1 Бизнес метрики безопасной разработки (применительно ко всем командам разработки)</t>
  </si>
  <si>
    <t>3.2 Метрики безопасной разработки применительно ко всем командам разработки</t>
  </si>
  <si>
    <t>3.3 Метрики безопасной разработки применительно к каждой команде разработки в отдельности</t>
  </si>
  <si>
    <t>4 Структура описания метрик</t>
  </si>
  <si>
    <t>5 Описание бизнес метрик безопасной разработки: применительно к командам разработки, в общем</t>
  </si>
  <si>
    <t>6 Описание метрик безопасной разработки: применительно к командам разработки, в общем</t>
  </si>
  <si>
    <t>7 Описание метрик безопасной разработки: применительно к каждой команде разработки в отдельности</t>
  </si>
  <si>
    <t xml:space="preserve">Регламент управления уязвимостями разрабатываемого ПО </t>
  </si>
  <si>
    <t>Регламент проведения пентестов</t>
  </si>
  <si>
    <t>Стандарт конфигурации инфраструктуры</t>
  </si>
  <si>
    <t>Стандарт конфигурации разрабатываемого ПО</t>
  </si>
  <si>
    <t>На конфлюенс для каждого ПО отдельно</t>
  </si>
  <si>
    <t>Стандарт написания документации</t>
  </si>
  <si>
    <t>Методика моделирования угроз</t>
  </si>
  <si>
    <t>Регламент повышения осведомленности в области безопасной разработки</t>
  </si>
  <si>
    <t>Описание программы Bug Bounty</t>
  </si>
  <si>
    <t>Опционально</t>
  </si>
  <si>
    <t>Governance</t>
  </si>
  <si>
    <t>Design</t>
  </si>
  <si>
    <t>Implementation</t>
  </si>
  <si>
    <t>Verification</t>
  </si>
  <si>
    <t>Operations</t>
  </si>
  <si>
    <t>Эксплуатация</t>
  </si>
  <si>
    <t>Threat Assessment</t>
  </si>
  <si>
    <t>Secure Build</t>
  </si>
  <si>
    <t>Policy &amp; Compliance</t>
  </si>
  <si>
    <t>Secure Deployment</t>
  </si>
  <si>
    <t>Defect Management</t>
  </si>
  <si>
    <t>Security Testing</t>
  </si>
  <si>
    <t>Оценка эффективности процессов</t>
  </si>
  <si>
    <t>SR1.5</t>
  </si>
  <si>
    <t>SR1.5
SE3.6</t>
  </si>
  <si>
    <t>CMVM1.1</t>
  </si>
  <si>
    <t>SM3.4</t>
  </si>
  <si>
    <t>SM3.5</t>
  </si>
  <si>
    <t>CR3.2</t>
  </si>
  <si>
    <t>CMVM3.4</t>
  </si>
  <si>
    <t>PT3.1
CMVM3.3</t>
  </si>
  <si>
    <t>CMVM3.5</t>
  </si>
  <si>
    <t>SE3.3
CMVM1.1</t>
  </si>
  <si>
    <t>T1.1
T2.9</t>
  </si>
  <si>
    <t>T2.12</t>
  </si>
  <si>
    <t>SR1.1
SR1.2</t>
  </si>
  <si>
    <t>AA1.4</t>
  </si>
  <si>
    <t>AA1.1</t>
  </si>
  <si>
    <t>AM2.1</t>
  </si>
  <si>
    <t>SFD1.2</t>
  </si>
  <si>
    <t>CP2.3</t>
  </si>
  <si>
    <t>SM1.4
SM2.2</t>
  </si>
  <si>
    <t>SM1.4</t>
  </si>
  <si>
    <t>PT1.2
CMVM1.3
CMVM3.1</t>
  </si>
  <si>
    <t>SM3.1</t>
  </si>
  <si>
    <t>SM3.1
CR2.8</t>
  </si>
  <si>
    <t>Т1.8</t>
  </si>
  <si>
    <t>Осуществляется регулярная замена устаревшего неподдерживаемого производителями ПО для компонентов инфраструктуры PREPROD (среды тестирования и разработки ПО)</t>
  </si>
  <si>
    <t>OM-B-2</t>
  </si>
  <si>
    <t>SB-B-3</t>
  </si>
  <si>
    <t>SB-A-2</t>
  </si>
  <si>
    <t>SB-A-3</t>
  </si>
  <si>
    <t>SD-B-1</t>
  </si>
  <si>
    <t>SD-B-3</t>
  </si>
  <si>
    <t>SB-A-1
SB-A-2</t>
  </si>
  <si>
    <t>ST-A-1</t>
  </si>
  <si>
    <t>ST-A-3</t>
  </si>
  <si>
    <t>ST-A-2</t>
  </si>
  <si>
    <t>6. Экспертный</t>
  </si>
  <si>
    <t>IM-A-2</t>
  </si>
  <si>
    <t>IM-B-2</t>
  </si>
  <si>
    <t>SD-B-2</t>
  </si>
  <si>
    <t>ST-B-2</t>
  </si>
  <si>
    <t>ST-B-1</t>
  </si>
  <si>
    <t>RT-A-1</t>
  </si>
  <si>
    <t>RT-B-2</t>
  </si>
  <si>
    <t>Проводится анализ безопасности инструментов безопасной разработки (анализируются, например, инструменты SAST или OSA\SCA на предмет наличия в них уязвимостей или дефектов - можно ли без авторизации "украсть" отчеты, конфиги и пр)</t>
  </si>
  <si>
    <t>Производится установка обновлений на элементы инфраструктуры, в т.ч. устранение выявленных уязвимостей</t>
  </si>
  <si>
    <t>Проводятся Red Team \ Purple Team учения с привлечением разработчиков</t>
  </si>
  <si>
    <t>Используются средства контроля Runtime для сред контейнеризации (Kyverno, OPA gatekeeper, pod security admission, другие валидаторы) со стандартными настройками</t>
  </si>
  <si>
    <t>ПРИМЕР!</t>
  </si>
  <si>
    <t>1. Контроль корректности текущих настроек и конфигурации</t>
  </si>
  <si>
    <t>12. Актуализация и анализ сетевых политик</t>
  </si>
  <si>
    <t>11. Актуализация прав доступа настроенных в кластерах Kubernetes (RBAC)</t>
  </si>
  <si>
    <t xml:space="preserve">10. Контроль резервного копирования </t>
  </si>
  <si>
    <t>9. Масштабирование решения</t>
  </si>
  <si>
    <t>8. Обновление ПО</t>
  </si>
  <si>
    <t>7. Контроль соответствия узлов кластера лучшим практикам CIS</t>
  </si>
  <si>
    <t>6. Подготовка отчетов</t>
  </si>
  <si>
    <t>5. Анализ событий аудита</t>
  </si>
  <si>
    <t>3. Настройка подписки на события в кластере Kubernetes</t>
  </si>
  <si>
    <t>KeyCloak</t>
  </si>
  <si>
    <t>2. Предоставление доступа к ресурсам кластера  Kubernetes</t>
  </si>
  <si>
    <t>3. Контроль резервного копирования</t>
  </si>
  <si>
    <t>4. Создание отчетов</t>
  </si>
  <si>
    <t>5. Обновление ПО</t>
  </si>
  <si>
    <t>6. Анализ событий аудита</t>
  </si>
  <si>
    <t>7. Масштабирование системы</t>
  </si>
  <si>
    <t>Kyverno</t>
  </si>
  <si>
    <t>2. Проверка корректности резервного копирования</t>
  </si>
  <si>
    <t>3. Создание отчетов</t>
  </si>
  <si>
    <t>4. Настройка политик</t>
  </si>
  <si>
    <t>5. Масштабирование</t>
  </si>
  <si>
    <t>6. Обновление ПО</t>
  </si>
  <si>
    <t>7. Контроль целостности контейнеров</t>
  </si>
  <si>
    <t>Cilium</t>
  </si>
  <si>
    <t>3. Внесение изменений в настройки политик</t>
  </si>
  <si>
    <t>4. Масштабирование</t>
  </si>
  <si>
    <t>Политики аудита Kubernetes</t>
  </si>
  <si>
    <t>Falco</t>
  </si>
  <si>
    <t>2. Внесение изменений в настройки политик</t>
  </si>
  <si>
    <t>3. Проверка корректности резервного копирования</t>
  </si>
  <si>
    <t>5. Обновление</t>
  </si>
  <si>
    <t>7. Подготовка отчетов</t>
  </si>
  <si>
    <t>OPA</t>
  </si>
  <si>
    <t>2. Проверка корректности резервного  копирования</t>
  </si>
  <si>
    <t>DCT</t>
  </si>
  <si>
    <t>1. Выполнение и отзыв электронных подписей</t>
  </si>
  <si>
    <t>2. Контроль коррректности текущих настроек и конфигурации</t>
  </si>
  <si>
    <t>3. Масштабирование</t>
  </si>
  <si>
    <t>Котроль безопасных настроек Docker</t>
  </si>
  <si>
    <t>2. Проверка коррректности резервного копирования Ansible playbook</t>
  </si>
  <si>
    <t>Часов для одного FTE в год</t>
  </si>
  <si>
    <t>Итого FTE нужно</t>
  </si>
  <si>
    <t>Всегда нужно округлять в бОльшую сторону</t>
  </si>
  <si>
    <t>Выполняется верификация цифровой подписи SBOM перед использованием зависимостей в сборке.
Это может быть реализовано с помощью SCA решения</t>
  </si>
  <si>
    <t>Удаленный доступ к инструментам разработки возможен либо с корпоративных устройств с использованием MDM, либо через промежуточные\проксирующие системы, например, VDI или PAM.</t>
  </si>
  <si>
    <t>Секреты всех сред и инструментов (за исключением рабочих станций разработчиков и подобных adhoc сред) хранятся в SM (например, Vault), количество hardcoded секретов минимально. Случаи использования hardcoded секретов известны команде ИБ и запланирован отказ от их использования</t>
  </si>
  <si>
    <t>Проводятся пентесты Preprod среды методом "черный ящик" (пентестер не знает ничего об атакуемой Preprod среде, кроме базовой информации о ней - доменные имена, ip-адреса)</t>
  </si>
  <si>
    <t>Проводятся пентесты методом "серый ящик" (пентестер знает все об атакуемой Preprod среде - архитектуру среды и анализируемого ПО, их версии, имеет доступ к исходному коду ПО и пр.)</t>
  </si>
  <si>
    <t>Более 20 % тестов функций ИБ-тестирования автоматизированы</t>
  </si>
  <si>
    <t>Проводятся пентесты Prod среды методом "черный ящик" (пентестер не знает ничего об атакуемой Prod среде, кроме базовой информации о ней - доменные имена, ip-адреса)</t>
  </si>
  <si>
    <t>Проводятся пентесты методом "серый ящик" (пентестер знает все об атакуемой Prod среде - архитектуру среды и анализируемого ПО, их версии, имеет доступ к исходному коду ПО и пр.)</t>
  </si>
  <si>
    <t>Security Champion участвует в разработке PoC и тестировании новых инструментов ИБ</t>
  </si>
  <si>
    <t>Проводится анализ кода на наличие аномалий, релевантных организации (например, commit содержит слишком значительные изменения объемов кода или в commit'ов слишком много в определенный промежуток времени)</t>
  </si>
  <si>
    <t>Выполняется шифрование всех артефактов в registry</t>
  </si>
  <si>
    <t>Комментарий</t>
  </si>
  <si>
    <t>Secret Management</t>
  </si>
  <si>
    <t xml:space="preserve">Коэффициент расчета FTE </t>
  </si>
  <si>
    <t>Отпуски, болезни и прочее</t>
  </si>
  <si>
    <t>247 рабочих дней в году</t>
  </si>
  <si>
    <t>Язык разработки</t>
  </si>
  <si>
    <t>Коэффициент сложности</t>
  </si>
  <si>
    <t xml:space="preserve">Тип приложения </t>
  </si>
  <si>
    <t>Коэффициент сложности приложения</t>
  </si>
  <si>
    <t>Частота релизов (кол-во раз в год)</t>
  </si>
  <si>
    <t>Это приложение сканирует SAST?</t>
  </si>
  <si>
    <t>Это приложение сканирует DAST?</t>
  </si>
  <si>
    <t>Это приложение сканирует OSA\SCA?</t>
  </si>
  <si>
    <t>Образы контейнеров этого приложения анализируются?</t>
  </si>
  <si>
    <t>Есть и используется ли в компании ASOC?</t>
  </si>
  <si>
    <t>Да</t>
  </si>
  <si>
    <t>Приложение 1</t>
  </si>
  <si>
    <t>веб-приложение</t>
  </si>
  <si>
    <t>Нет</t>
  </si>
  <si>
    <t>C#</t>
  </si>
  <si>
    <t>мобильное приложение</t>
  </si>
  <si>
    <t>Kotlin</t>
  </si>
  <si>
    <t>Количество рабочих часов в году</t>
  </si>
  <si>
    <t>Приложение 4</t>
  </si>
  <si>
    <t>Python</t>
  </si>
  <si>
    <t>Коэффициент расчета FTE (отпуски, болезни и прочее)</t>
  </si>
  <si>
    <t>Приложение 5</t>
  </si>
  <si>
    <t>Приложение 6</t>
  </si>
  <si>
    <t>Приложение 7</t>
  </si>
  <si>
    <t>Приложение 8</t>
  </si>
  <si>
    <t>Ограничения</t>
  </si>
  <si>
    <t>Приложение 9</t>
  </si>
  <si>
    <t>СРЕДНЕЕ время обработки 1-го найденного дефекта\уязвимости, часов</t>
  </si>
  <si>
    <t>Приложение 10</t>
  </si>
  <si>
    <t>SAST. СРЕДНЕЕ количество дефектов на 1000 строк кода</t>
  </si>
  <si>
    <t>Приложение 11</t>
  </si>
  <si>
    <t>DAST. СРЕДНЕЕ количество дефектов на 1000 строк кода</t>
  </si>
  <si>
    <t>Приложение 12</t>
  </si>
  <si>
    <t>Приложение 13</t>
  </si>
  <si>
    <t>Приложение 14</t>
  </si>
  <si>
    <t>Приложение 15</t>
  </si>
  <si>
    <t>Тип приложения</t>
  </si>
  <si>
    <t>Сложность динамического анализа (от 1 до 2)</t>
  </si>
  <si>
    <t>Приложение 16</t>
  </si>
  <si>
    <t>Приложение 17</t>
  </si>
  <si>
    <t>Приложение 18</t>
  </si>
  <si>
    <t>толстое приложение</t>
  </si>
  <si>
    <t>Приложение 19</t>
  </si>
  <si>
    <t>Приложение 20</t>
  </si>
  <si>
    <t>Приложение 21</t>
  </si>
  <si>
    <t>Приложение 22</t>
  </si>
  <si>
    <t>ЯП</t>
  </si>
  <si>
    <t>коэф. Сложности (от 1 до 2)</t>
  </si>
  <si>
    <t>Приложение 23</t>
  </si>
  <si>
    <t>ABAP</t>
  </si>
  <si>
    <t>Приложение 24</t>
  </si>
  <si>
    <t>Apex</t>
  </si>
  <si>
    <t>Приложение 25</t>
  </si>
  <si>
    <t>Приложение 26</t>
  </si>
  <si>
    <t>C/C++</t>
  </si>
  <si>
    <t>Приложение 27</t>
  </si>
  <si>
    <t>COBOL</t>
  </si>
  <si>
    <t>Приложение 28</t>
  </si>
  <si>
    <t>Dart</t>
  </si>
  <si>
    <t>Приложение 29</t>
  </si>
  <si>
    <t>Delphi</t>
  </si>
  <si>
    <t>Приложение 30</t>
  </si>
  <si>
    <t>Groovy</t>
  </si>
  <si>
    <t>Приложение 31</t>
  </si>
  <si>
    <t>HTML</t>
  </si>
  <si>
    <t>Приложение 32</t>
  </si>
  <si>
    <t>Приложение 33</t>
  </si>
  <si>
    <t>Java</t>
  </si>
  <si>
    <t>Приложение 34</t>
  </si>
  <si>
    <t>JavaScript</t>
  </si>
  <si>
    <t>Приложение 35</t>
  </si>
  <si>
    <t>LotusScript</t>
  </si>
  <si>
    <t>Приложение 36</t>
  </si>
  <si>
    <t>Objective-C</t>
  </si>
  <si>
    <t>Приложение 37</t>
  </si>
  <si>
    <t>Pascal</t>
  </si>
  <si>
    <t>Приложение 38</t>
  </si>
  <si>
    <t>PHP</t>
  </si>
  <si>
    <t>Приложение 39</t>
  </si>
  <si>
    <t>PL/SQL</t>
  </si>
  <si>
    <t>Приложение 40</t>
  </si>
  <si>
    <t>Perl</t>
  </si>
  <si>
    <t>Приложение 41</t>
  </si>
  <si>
    <t>Ruby</t>
  </si>
  <si>
    <t>Приложение 42</t>
  </si>
  <si>
    <t>Rust</t>
  </si>
  <si>
    <t>Приложение 43</t>
  </si>
  <si>
    <t>Scala</t>
  </si>
  <si>
    <t>Приложение 44</t>
  </si>
  <si>
    <t>Solidity</t>
  </si>
  <si>
    <t>Приложение 45</t>
  </si>
  <si>
    <t>Swift</t>
  </si>
  <si>
    <t>Приложение 46</t>
  </si>
  <si>
    <t>T-SQL</t>
  </si>
  <si>
    <t>Приложение 47</t>
  </si>
  <si>
    <t>TypeScript</t>
  </si>
  <si>
    <t>Приложение 48</t>
  </si>
  <si>
    <t>VB.NET</t>
  </si>
  <si>
    <t>Приложение 49</t>
  </si>
  <si>
    <t>VBA</t>
  </si>
  <si>
    <t>Приложение 50</t>
  </si>
  <si>
    <t>VBScript</t>
  </si>
  <si>
    <t>Приложение 51</t>
  </si>
  <si>
    <t>Visual Basic 6</t>
  </si>
  <si>
    <t>Приложение 52</t>
  </si>
  <si>
    <t>Vyper</t>
  </si>
  <si>
    <t>Приложение 53</t>
  </si>
  <si>
    <t>1C</t>
  </si>
  <si>
    <t>Приложение 54</t>
  </si>
  <si>
    <t>react</t>
  </si>
  <si>
    <t>Приложение 55</t>
  </si>
  <si>
    <t>Golang</t>
  </si>
  <si>
    <t>Приложение 56</t>
  </si>
  <si>
    <t>Приложение 57</t>
  </si>
  <si>
    <t>Приложение 58</t>
  </si>
  <si>
    <t>Приложение 59</t>
  </si>
  <si>
    <t>Приложение 60</t>
  </si>
  <si>
    <t>Приложение 61</t>
  </si>
  <si>
    <t>Приложение 62</t>
  </si>
  <si>
    <t>Приложение 63</t>
  </si>
  <si>
    <t>Приложение 64</t>
  </si>
  <si>
    <t>Приложение 65</t>
  </si>
  <si>
    <t>Приложение 66</t>
  </si>
  <si>
    <t>Приложение 67</t>
  </si>
  <si>
    <t>Приложение 68</t>
  </si>
  <si>
    <t>Приложение 69</t>
  </si>
  <si>
    <t>Приложение 70</t>
  </si>
  <si>
    <t>Приложение 71</t>
  </si>
  <si>
    <t>Приложение 72</t>
  </si>
  <si>
    <t>Приложение 73</t>
  </si>
  <si>
    <t>Приложение 74</t>
  </si>
  <si>
    <t>Приложение 75</t>
  </si>
  <si>
    <t>Приложение 76</t>
  </si>
  <si>
    <t>Приложение 77</t>
  </si>
  <si>
    <t>Приложение 78</t>
  </si>
  <si>
    <t>Приложение 79</t>
  </si>
  <si>
    <t>Приложение 80</t>
  </si>
  <si>
    <t>Приложение 81</t>
  </si>
  <si>
    <t>Приложение 82</t>
  </si>
  <si>
    <t>Приложение 83</t>
  </si>
  <si>
    <t>Приложение 84</t>
  </si>
  <si>
    <t>Приложение 85</t>
  </si>
  <si>
    <t>Приложение 86</t>
  </si>
  <si>
    <t>Приложение 87</t>
  </si>
  <si>
    <t>Приложение 88</t>
  </si>
  <si>
    <t>Приложение 89</t>
  </si>
  <si>
    <t>Приложение 90</t>
  </si>
  <si>
    <t>Приложение 91</t>
  </si>
  <si>
    <t>Приложение 92</t>
  </si>
  <si>
    <t>Приложение 93</t>
  </si>
  <si>
    <t>Приложение 94</t>
  </si>
  <si>
    <t>Приложение 95</t>
  </si>
  <si>
    <t>Приложение 96</t>
  </si>
  <si>
    <t>Приложение 97</t>
  </si>
  <si>
    <t>Приложение 98</t>
  </si>
  <si>
    <t>Приложение 99</t>
  </si>
  <si>
    <t>Приложение 100</t>
  </si>
  <si>
    <t>Приложение 101</t>
  </si>
  <si>
    <t>Приложение 102</t>
  </si>
  <si>
    <t>Приложение 103</t>
  </si>
  <si>
    <t>Приложение 104</t>
  </si>
  <si>
    <t>Приложение 105</t>
  </si>
  <si>
    <t>Приложение 106</t>
  </si>
  <si>
    <t>Приложение 107</t>
  </si>
  <si>
    <t>Приложение 108</t>
  </si>
  <si>
    <t>Приложение 109</t>
  </si>
  <si>
    <t>Приложение 110</t>
  </si>
  <si>
    <t>Приложение 111</t>
  </si>
  <si>
    <t>Приложение 112</t>
  </si>
  <si>
    <t>Приложение 113</t>
  </si>
  <si>
    <t>Приложение 114</t>
  </si>
  <si>
    <t>Приложение 115</t>
  </si>
  <si>
    <t>Приложение 116</t>
  </si>
  <si>
    <t>Приложение 117</t>
  </si>
  <si>
    <t>Приложение 118</t>
  </si>
  <si>
    <t>Приложение 119</t>
  </si>
  <si>
    <t>Приложение 120</t>
  </si>
  <si>
    <t>Приложение 121</t>
  </si>
  <si>
    <t>Приложение 122</t>
  </si>
  <si>
    <t>Приложение 123</t>
  </si>
  <si>
    <t>Приложение 124</t>
  </si>
  <si>
    <t>Приложение 125</t>
  </si>
  <si>
    <t>Приложение 126</t>
  </si>
  <si>
    <t>Приложение 127</t>
  </si>
  <si>
    <t>Приложение 128</t>
  </si>
  <si>
    <t>Приложение 129</t>
  </si>
  <si>
    <t>Приложение 130</t>
  </si>
  <si>
    <t>Приложение 131</t>
  </si>
  <si>
    <t>Приложение 132</t>
  </si>
  <si>
    <t>Приложение 133</t>
  </si>
  <si>
    <t>Приложение 134</t>
  </si>
  <si>
    <t>Приложение 135</t>
  </si>
  <si>
    <t>Приложение 136</t>
  </si>
  <si>
    <t>Приложение 137</t>
  </si>
  <si>
    <t>Приложение 138</t>
  </si>
  <si>
    <t>Приложение 139</t>
  </si>
  <si>
    <t>Приложение 140</t>
  </si>
  <si>
    <t>Приложение 141</t>
  </si>
  <si>
    <t>Приложение 142</t>
  </si>
  <si>
    <t>Приложение 143</t>
  </si>
  <si>
    <t>Приложение 144</t>
  </si>
  <si>
    <t>Приложение 145</t>
  </si>
  <si>
    <t>Приложение 146</t>
  </si>
  <si>
    <t>Приложение 147</t>
  </si>
  <si>
    <t>Приложение 148</t>
  </si>
  <si>
    <t>Приложение 149</t>
  </si>
  <si>
    <t>Приложение 150</t>
  </si>
  <si>
    <t>Приложение 151</t>
  </si>
  <si>
    <t>Приложение 152</t>
  </si>
  <si>
    <t>Приложение 153</t>
  </si>
  <si>
    <t>Приложение 154</t>
  </si>
  <si>
    <t>Приложение 155</t>
  </si>
  <si>
    <t>Приложение 156</t>
  </si>
  <si>
    <t>Приложение 157</t>
  </si>
  <si>
    <t>Приложение 158</t>
  </si>
  <si>
    <t>Приложение 159</t>
  </si>
  <si>
    <t>Приложение 160</t>
  </si>
  <si>
    <t>Приложение 161</t>
  </si>
  <si>
    <t>Приложение 162</t>
  </si>
  <si>
    <t>Приложение 163</t>
  </si>
  <si>
    <t>Приложение 164</t>
  </si>
  <si>
    <t>Приложение 165</t>
  </si>
  <si>
    <t>Приложение 166</t>
  </si>
  <si>
    <t>Приложение 167</t>
  </si>
  <si>
    <t>Приложение 168</t>
  </si>
  <si>
    <t>Приложение 169</t>
  </si>
  <si>
    <t>Приложение 170</t>
  </si>
  <si>
    <t>Приложение 171</t>
  </si>
  <si>
    <t>Приложение 172</t>
  </si>
  <si>
    <t>Приложение 173</t>
  </si>
  <si>
    <t>Приложение 174</t>
  </si>
  <si>
    <t>Приложение 175</t>
  </si>
  <si>
    <t>Приложение 176</t>
  </si>
  <si>
    <t>Приложение 177</t>
  </si>
  <si>
    <t>Приложение 178</t>
  </si>
  <si>
    <t>Приложение 179</t>
  </si>
  <si>
    <t>Приложение 180</t>
  </si>
  <si>
    <t>Приложение 181</t>
  </si>
  <si>
    <t>Приложение 182</t>
  </si>
  <si>
    <t>Приложение 183</t>
  </si>
  <si>
    <t>Приложение 184</t>
  </si>
  <si>
    <t>Приложение 185</t>
  </si>
  <si>
    <t>Приложение 186</t>
  </si>
  <si>
    <t>Приложение 187</t>
  </si>
  <si>
    <t>Приложение 188</t>
  </si>
  <si>
    <t>Приложение 189</t>
  </si>
  <si>
    <t>Приложение 190</t>
  </si>
  <si>
    <t>Приложение 191</t>
  </si>
  <si>
    <t>Приложение 192</t>
  </si>
  <si>
    <t>Приложение 193</t>
  </si>
  <si>
    <t>Приложение 194</t>
  </si>
  <si>
    <t>Приложение 195</t>
  </si>
  <si>
    <t>Приложение 196</t>
  </si>
  <si>
    <t>Приложение 197</t>
  </si>
  <si>
    <t>Приложение 198</t>
  </si>
  <si>
    <t>Приложение 199</t>
  </si>
  <si>
    <t>Приложение 200</t>
  </si>
  <si>
    <t>Приложение 201</t>
  </si>
  <si>
    <t>Приложение 202</t>
  </si>
  <si>
    <t>Приложение 203</t>
  </si>
  <si>
    <t>Приложение 204</t>
  </si>
  <si>
    <t>Приложение 205</t>
  </si>
  <si>
    <t>Приложение 206</t>
  </si>
  <si>
    <t>Приложение 207</t>
  </si>
  <si>
    <t>Приложение 208</t>
  </si>
  <si>
    <t>Приложение 209</t>
  </si>
  <si>
    <t>Приложение 210</t>
  </si>
  <si>
    <t>Приложение 211</t>
  </si>
  <si>
    <t>Приложение 212</t>
  </si>
  <si>
    <t>Приложение 213</t>
  </si>
  <si>
    <t>Приложение 214</t>
  </si>
  <si>
    <t>Приложение 215</t>
  </si>
  <si>
    <t>Приложение 216</t>
  </si>
  <si>
    <t>Приложение 217</t>
  </si>
  <si>
    <t>Приложение 218</t>
  </si>
  <si>
    <t>Приложение 219</t>
  </si>
  <si>
    <t>Приложение 220</t>
  </si>
  <si>
    <t>Приложение 221</t>
  </si>
  <si>
    <t>Приложение 222</t>
  </si>
  <si>
    <t>Приложение 223</t>
  </si>
  <si>
    <t>Приложение 224</t>
  </si>
  <si>
    <t>Приложение 225</t>
  </si>
  <si>
    <t>Приложение 226</t>
  </si>
  <si>
    <t>Приложение 227</t>
  </si>
  <si>
    <t>Приложение 228</t>
  </si>
  <si>
    <t>Приложение 229</t>
  </si>
  <si>
    <t>Приложение 230</t>
  </si>
  <si>
    <t>Приложение 231</t>
  </si>
  <si>
    <t>Приложение 232</t>
  </si>
  <si>
    <t>Приложение 233</t>
  </si>
  <si>
    <t>Приложение 234</t>
  </si>
  <si>
    <t>Приложение 235</t>
  </si>
  <si>
    <t>Приложение 236</t>
  </si>
  <si>
    <t>Приложение 237</t>
  </si>
  <si>
    <t>Приложение 238</t>
  </si>
  <si>
    <t>Приложение 239</t>
  </si>
  <si>
    <t>Приложение 240</t>
  </si>
  <si>
    <t>Приложение 241</t>
  </si>
  <si>
    <t>Приложение 242</t>
  </si>
  <si>
    <t>Приложение 243</t>
  </si>
  <si>
    <t>Приложение 244</t>
  </si>
  <si>
    <t>Приложение 245</t>
  </si>
  <si>
    <t>Приложение 246</t>
  </si>
  <si>
    <t>Приложение 247</t>
  </si>
  <si>
    <t>Приложение 248</t>
  </si>
  <si>
    <t>Приложение 249</t>
  </si>
  <si>
    <t>Приложение 250</t>
  </si>
  <si>
    <t>Приложение 251</t>
  </si>
  <si>
    <t>Приложение 252</t>
  </si>
  <si>
    <t>Приложение 253</t>
  </si>
  <si>
    <t>Приложение 254</t>
  </si>
  <si>
    <t>Приложение 255</t>
  </si>
  <si>
    <t>Приложение 256</t>
  </si>
  <si>
    <t>Приложение 257</t>
  </si>
  <si>
    <t>Приложение 258</t>
  </si>
  <si>
    <t>Приложение 259</t>
  </si>
  <si>
    <t>Приложение 260</t>
  </si>
  <si>
    <t>Приложение 261</t>
  </si>
  <si>
    <t>Приложение 262</t>
  </si>
  <si>
    <t>Приложение 263</t>
  </si>
  <si>
    <t>Приложение 264</t>
  </si>
  <si>
    <t>Приложение 265</t>
  </si>
  <si>
    <t>Приложение 266</t>
  </si>
  <si>
    <t>Приложение 267</t>
  </si>
  <si>
    <t>Приложение 268</t>
  </si>
  <si>
    <t>Приложение 269</t>
  </si>
  <si>
    <t>Приложение 270</t>
  </si>
  <si>
    <t>Приложение 271</t>
  </si>
  <si>
    <t>Приложение 272</t>
  </si>
  <si>
    <t>Приложение 273</t>
  </si>
  <si>
    <t>Приложение 274</t>
  </si>
  <si>
    <t>Приложение 275</t>
  </si>
  <si>
    <t>Приложение 276</t>
  </si>
  <si>
    <t>Приложение 277</t>
  </si>
  <si>
    <t>Приложение 278</t>
  </si>
  <si>
    <t>Приложение 279</t>
  </si>
  <si>
    <t>Приложение 280</t>
  </si>
  <si>
    <t>Приложение 281</t>
  </si>
  <si>
    <t>Приложение 282</t>
  </si>
  <si>
    <t>Приложение 283</t>
  </si>
  <si>
    <t>Приложение 284</t>
  </si>
  <si>
    <t>Приложение 285</t>
  </si>
  <si>
    <t>Приложение 286</t>
  </si>
  <si>
    <t>Приложение 287</t>
  </si>
  <si>
    <t>Приложение 288</t>
  </si>
  <si>
    <t>Приложение 289</t>
  </si>
  <si>
    <t>Приложение 290</t>
  </si>
  <si>
    <t>Приложение 291</t>
  </si>
  <si>
    <t>Приложение 292</t>
  </si>
  <si>
    <t>Приложение 293</t>
  </si>
  <si>
    <t>Приложение 294</t>
  </si>
  <si>
    <t>Приложение 295</t>
  </si>
  <si>
    <t>Приложение 296</t>
  </si>
  <si>
    <t>Приложение 297</t>
  </si>
  <si>
    <t>Приложение 298</t>
  </si>
  <si>
    <t>Приложение 299</t>
  </si>
  <si>
    <t>Приложение 300</t>
  </si>
  <si>
    <t>ГОСТ Р 56939</t>
  </si>
  <si>
    <t>AppSec Table Top (Positive)</t>
  </si>
  <si>
    <t>Используемый фреймворк</t>
  </si>
  <si>
    <t>Группы знаний</t>
  </si>
  <si>
    <t>2 или 3</t>
  </si>
  <si>
    <t>2 - бэкенд, 3 - тоже бэкенд</t>
  </si>
  <si>
    <t>1 - компилируемые языки</t>
  </si>
  <si>
    <t>1 или 4</t>
  </si>
  <si>
    <t>5 - мутные языки</t>
  </si>
  <si>
    <t>4 - мобильная разработка</t>
  </si>
  <si>
    <t>SCA. СРЕДНЕЕ количество open source проектов, используемых в разработке</t>
  </si>
  <si>
    <t>Container Analisys. СРЕДНЕЕ количество дефектов на 1 анализируемый образ</t>
  </si>
  <si>
    <t>Консультации команд разработки силами AppSec-инженера по верифицированным уязвимостям, часов</t>
  </si>
  <si>
    <t>Постановка и контроль задач на устранения найденных в приложениях уязвимостях силами AppSec-инеженера, часов</t>
  </si>
  <si>
    <t xml:space="preserve">SB-B-2 </t>
  </si>
  <si>
    <t>EM-A-1</t>
  </si>
  <si>
    <t>SB-A-1</t>
  </si>
  <si>
    <t xml:space="preserve">IM-A-2 </t>
  </si>
  <si>
    <t>OM-B-1</t>
  </si>
  <si>
    <t>RT-A-3</t>
  </si>
  <si>
    <t>DM-A-2</t>
  </si>
  <si>
    <t xml:space="preserve">ST-B-2 </t>
  </si>
  <si>
    <t>EM-B-2</t>
  </si>
  <si>
    <t>EM-B-3</t>
  </si>
  <si>
    <t>OM-B-3</t>
  </si>
  <si>
    <t>EM-A-3</t>
  </si>
  <si>
    <t>EG-A-2</t>
  </si>
  <si>
    <t>EG-A-1</t>
  </si>
  <si>
    <t>EG-A-3</t>
  </si>
  <si>
    <t>EG-B-3</t>
  </si>
  <si>
    <t>TA-B-3</t>
  </si>
  <si>
    <t xml:space="preserve">RT-B-2 </t>
  </si>
  <si>
    <t xml:space="preserve">SR-A-2 </t>
  </si>
  <si>
    <r>
      <t xml:space="preserve">SR-A-2 </t>
    </r>
    <r>
      <rPr>
        <sz val="11"/>
        <color rgb="FFFF0000"/>
        <rFont val="Calibri"/>
        <family val="2"/>
        <charset val="204"/>
        <scheme val="minor"/>
      </rPr>
      <t/>
    </r>
  </si>
  <si>
    <t>AA-A-1</t>
  </si>
  <si>
    <t>EM-A-2</t>
  </si>
  <si>
    <t>DM-A-3</t>
  </si>
  <si>
    <t>EG-B-1</t>
  </si>
  <si>
    <t xml:space="preserve">EG-B-1 </t>
  </si>
  <si>
    <t>EG-B-2</t>
  </si>
  <si>
    <t>T-CODE-SPC-0-1</t>
  </si>
  <si>
    <t>T-CODE-SPC-1-1</t>
  </si>
  <si>
    <t>T-CODE-SPC-1-2</t>
  </si>
  <si>
    <t>T-CODE-SPC-2-1</t>
  </si>
  <si>
    <t>T-CODE-SPC-2-2</t>
  </si>
  <si>
    <t>T-CODE-SPC-2-3</t>
  </si>
  <si>
    <t>T-CODE-SPC-3-1</t>
  </si>
  <si>
    <t>T-CODE-SPC-3-2</t>
  </si>
  <si>
    <t>T-CODE-SPC-2-4</t>
  </si>
  <si>
    <t>T-CODE-SPC-3-3</t>
  </si>
  <si>
    <t>T-CODE-SPC-4-1</t>
  </si>
  <si>
    <t>TP2</t>
  </si>
  <si>
    <t>MI4</t>
  </si>
  <si>
    <t>CNFG1</t>
  </si>
  <si>
    <t>SCA5</t>
  </si>
  <si>
    <t>IA3</t>
  </si>
  <si>
    <t>SCS1
IA3</t>
  </si>
  <si>
    <t>OSS2</t>
  </si>
  <si>
    <t>AC2</t>
  </si>
  <si>
    <t>AC2
CNFG1</t>
  </si>
  <si>
    <t>CNFG1
MI1</t>
  </si>
  <si>
    <t>AC2
MI1</t>
  </si>
  <si>
    <t>MI1</t>
  </si>
  <si>
    <t>IA2</t>
  </si>
  <si>
    <t>CNFG1
SCS2</t>
  </si>
  <si>
    <t>AC1
MI1</t>
  </si>
  <si>
    <t>SCS2</t>
  </si>
  <si>
    <t>TP3</t>
  </si>
  <si>
    <t>AC1</t>
  </si>
  <si>
    <t>GF1</t>
  </si>
  <si>
    <t>SPA3</t>
  </si>
  <si>
    <t>QA5</t>
  </si>
  <si>
    <t>SPA4</t>
  </si>
  <si>
    <t>SPA5</t>
  </si>
  <si>
    <t>SPA4
VM2</t>
  </si>
  <si>
    <t>OSS1
SCA1</t>
  </si>
  <si>
    <t>SCA1</t>
  </si>
  <si>
    <t>SCA1
SCA3</t>
  </si>
  <si>
    <t>OSS4</t>
  </si>
  <si>
    <t>OSS3</t>
  </si>
  <si>
    <t>SPA7</t>
  </si>
  <si>
    <t>SPA7
VM2</t>
  </si>
  <si>
    <t>DPA2</t>
  </si>
  <si>
    <t>DPA3</t>
  </si>
  <si>
    <t>DPA4</t>
  </si>
  <si>
    <t>VM2</t>
  </si>
  <si>
    <t>DPA3
VM2</t>
  </si>
  <si>
    <t>QA3
DPA1</t>
  </si>
  <si>
    <t>ISA3
ESA3</t>
  </si>
  <si>
    <t>QA1</t>
  </si>
  <si>
    <t>QA2
QA5</t>
  </si>
  <si>
    <t>ISA1</t>
  </si>
  <si>
    <t>SPA1</t>
  </si>
  <si>
    <t>TS2
ESA1</t>
  </si>
  <si>
    <t>MI1
MI2</t>
  </si>
  <si>
    <t>ISA1
ESA3</t>
  </si>
  <si>
    <t>ET2</t>
  </si>
  <si>
    <t>ET1</t>
  </si>
  <si>
    <t>TAS1</t>
  </si>
  <si>
    <t>ET4</t>
  </si>
  <si>
    <t>ET2
TAS2</t>
  </si>
  <si>
    <t>ET2
ET4</t>
  </si>
  <si>
    <t>SP1
SC2</t>
  </si>
  <si>
    <t>SP3</t>
  </si>
  <si>
    <t>SP1</t>
  </si>
  <si>
    <t>SP2</t>
  </si>
  <si>
    <t>SC2</t>
  </si>
  <si>
    <t>TMR1
TMR2</t>
  </si>
  <si>
    <t>TMR3</t>
  </si>
  <si>
    <t>OAD2</t>
  </si>
  <si>
    <t>TMR2</t>
  </si>
  <si>
    <t>TMR4</t>
  </si>
  <si>
    <t>TMR6</t>
  </si>
  <si>
    <t>TMR5
RM2</t>
  </si>
  <si>
    <t>TP4</t>
  </si>
  <si>
    <t>VC2
ISA2</t>
  </si>
  <si>
    <t>VC1</t>
  </si>
  <si>
    <t>IA1</t>
  </si>
  <si>
    <t>CNFG2</t>
  </si>
  <si>
    <t>PA1</t>
  </si>
  <si>
    <t>VM1</t>
  </si>
  <si>
    <t>VM1
VM3</t>
  </si>
  <si>
    <t>SPA5
VC1
PA3</t>
  </si>
  <si>
    <t>CNFG2
VM1</t>
  </si>
  <si>
    <t>SPA6</t>
  </si>
  <si>
    <t>RM1</t>
  </si>
  <si>
    <t>RM3</t>
  </si>
  <si>
    <t>RM4</t>
  </si>
  <si>
    <t>OAD5</t>
  </si>
  <si>
    <t>TAS4</t>
  </si>
  <si>
    <t>SC2
SPA2</t>
  </si>
  <si>
    <t>OAD3
SC2</t>
  </si>
  <si>
    <t>SSDL1</t>
  </si>
  <si>
    <t>SSDL2</t>
  </si>
  <si>
    <t>SSDL3</t>
  </si>
  <si>
    <t>SSDL4</t>
  </si>
  <si>
    <t>SSDL5</t>
  </si>
  <si>
    <t>OAD1</t>
  </si>
  <si>
    <t>OAD4</t>
  </si>
  <si>
    <t>TP1</t>
  </si>
  <si>
    <t>SC1</t>
  </si>
  <si>
    <t>SC3</t>
  </si>
  <si>
    <t>GF2</t>
  </si>
  <si>
    <t>SCA4</t>
  </si>
  <si>
    <t>QA4</t>
  </si>
  <si>
    <t>DPA5</t>
  </si>
  <si>
    <t>PA2</t>
  </si>
  <si>
    <t>MI3</t>
  </si>
  <si>
    <t>MI5</t>
  </si>
  <si>
    <t>TS1</t>
  </si>
  <si>
    <t>TS2</t>
  </si>
  <si>
    <t>ESA2</t>
  </si>
  <si>
    <t>ET3</t>
  </si>
  <si>
    <t>TAS2</t>
  </si>
  <si>
    <t>TAS3</t>
  </si>
  <si>
    <t>Определение текущего и целевого состояния</t>
  </si>
  <si>
    <t>Определение перечня внедряемых практик</t>
  </si>
  <si>
    <t>Разработка дорожной карты</t>
  </si>
  <si>
    <t>Тиражирование практик безопасной разработки</t>
  </si>
  <si>
    <t>Политика безопасной разработки</t>
  </si>
  <si>
    <t>Документирование процесса</t>
  </si>
  <si>
    <t>Определение технологического стека</t>
  </si>
  <si>
    <t>Контроль ТЗ</t>
  </si>
  <si>
    <t>Рефакторинг</t>
  </si>
  <si>
    <t>Оркестрация SAST</t>
  </si>
  <si>
    <t>Организация распределенного рабочего процесса</t>
  </si>
  <si>
    <t>Оркестрация SCA</t>
  </si>
  <si>
    <t>Тестирование API</t>
  </si>
  <si>
    <t>Оркестрация DAST</t>
  </si>
  <si>
    <t>Выход обновлений</t>
  </si>
  <si>
    <t>SOC</t>
  </si>
  <si>
    <t>Плейбук реагирования</t>
  </si>
  <si>
    <t>Техподдержка</t>
  </si>
  <si>
    <t>Обратная связь</t>
  </si>
  <si>
    <t>Аудиты</t>
  </si>
  <si>
    <t>Проведение тестирования</t>
  </si>
  <si>
    <t>Митапы внутри компании</t>
  </si>
  <si>
    <t>Участие во внешних конференциях</t>
  </si>
  <si>
    <t>T-CODE-SPC-3-4</t>
  </si>
  <si>
    <t>Безопасность заказной разработки</t>
  </si>
  <si>
    <t>T-CODE-SPC-3-5</t>
  </si>
  <si>
    <t>T-CODE-SPC-1</t>
  </si>
  <si>
    <t>T-CODE-SPC-0</t>
  </si>
  <si>
    <t>T-CODE-SPC-2</t>
  </si>
  <si>
    <t>T-CODE-SPC-3</t>
  </si>
  <si>
    <t>T-CODE-SPC-4</t>
  </si>
  <si>
    <t>T-CODE-SPC</t>
  </si>
  <si>
    <t>Предъявляются требования к подрядчикам в части заказной разработки</t>
  </si>
  <si>
    <t>Предъявляются базовые функциональные требования по ИБ к разрабатываемому подрядчиками ПО</t>
  </si>
  <si>
    <t>При выборе подрядчика, осуществлющего заказную разработку, учитываются его возможности, опыт, существующие у подрядчика мероприятия, связанные с безопасной разработкой ПО.</t>
  </si>
  <si>
    <t>В контракты на разработку подрядчиком ПО включаются формулировки, требующие предоставление компании-заказчику спецификаций программного обеспечения (Software Bill of Materials, SBOM) для каждой версии ПО. Определены механизмы получения SBOM.</t>
  </si>
  <si>
    <t>Внутри компании-заказчика проводится композиционный анализ разработанного подрядчиками на заказ ПО</t>
  </si>
  <si>
    <t>Все предоставляемые подрядчиком (разработчиком ПО) артефакты (включая SBOM) подписываются электронной подписью. В компании-заказчике внедрен процесс проверки подписей предоставляемых артефактов</t>
  </si>
  <si>
    <t>В контракты на разработку подрядчиком ПО включаются формулировки, требующие предоставление всего исходного кода разрабатываемого ПО.</t>
  </si>
  <si>
    <t>Проводится статический анализ исходного кода для разработанного поставщиком ПО, выполняется анализ полученных результатов</t>
  </si>
  <si>
    <t>Вся заказная разработка ПО ведется подрядчиками (разработчиками ПО) в инфраструктуре компании-заказчика, с использованием всех инструментов безопасной разработки (SAST, DAST, OSA\SCA, Container security и др.) и в соответстии с процессами компании-заказчика</t>
  </si>
  <si>
    <t>Container security</t>
  </si>
  <si>
    <t>Итого (Ч) для Container security:</t>
  </si>
  <si>
    <t>Итого (Ч-Д) для Container security:</t>
  </si>
  <si>
    <t>Итого (FTE) для Container security:</t>
  </si>
  <si>
    <t xml:space="preserve">2. Предоставление доступа к Container security </t>
  </si>
  <si>
    <t>4. Настройка параметров обучения политики</t>
  </si>
  <si>
    <t>Стадия</t>
  </si>
  <si>
    <t>Процесс</t>
  </si>
  <si>
    <t>Требования из DAF</t>
  </si>
  <si>
    <t>Выполнение по DAF</t>
  </si>
  <si>
    <t>PreStageSDL</t>
  </si>
  <si>
    <t>Планирование</t>
  </si>
  <si>
    <t>Стратегия SSDL</t>
  </si>
  <si>
    <t>Корректировка стратегии SSDL</t>
  </si>
  <si>
    <t>Организационно-распорядительная документация</t>
  </si>
  <si>
    <t>Категоризация ИС</t>
  </si>
  <si>
    <t>Регламент безопасной разработки</t>
  </si>
  <si>
    <t>OAD3</t>
  </si>
  <si>
    <t>Контроль соблюдения правил ОРД</t>
  </si>
  <si>
    <t>Проектирование архитектуры</t>
  </si>
  <si>
    <t>Модель угроз и требования</t>
  </si>
  <si>
    <t>Общая модель угроз</t>
  </si>
  <si>
    <t>TMR1</t>
  </si>
  <si>
    <t>Моделирование угроз в ЖЦ ПО</t>
  </si>
  <si>
    <t>Чек-лист внешних регуляторных требований</t>
  </si>
  <si>
    <t>Требования к инфраструктуре и ПО</t>
  </si>
  <si>
    <t>Меры митигации</t>
  </si>
  <si>
    <t>TMR5</t>
  </si>
  <si>
    <t>Периодический пересмотр требований</t>
  </si>
  <si>
    <t>Риски и метрики</t>
  </si>
  <si>
    <t>Выбор метрик</t>
  </si>
  <si>
    <t>Оценка рисков</t>
  </si>
  <si>
    <t>RM2</t>
  </si>
  <si>
    <t>Определение подходов к сбору метрик</t>
  </si>
  <si>
    <t>Анализ метрик</t>
  </si>
  <si>
    <t>Технический проект</t>
  </si>
  <si>
    <t>Порядок контроля используемого ПО</t>
  </si>
  <si>
    <t>Определение CI/CD-конвейера</t>
  </si>
  <si>
    <t>Формирование безопасной архитектуры</t>
  </si>
  <si>
    <t>Безопасность инфраструктуры</t>
  </si>
  <si>
    <t>Разграничение доступа</t>
  </si>
  <si>
    <t>Сегментация сети</t>
  </si>
  <si>
    <t>Ролевая модель</t>
  </si>
  <si>
    <t>Безопасность конфигураций</t>
  </si>
  <si>
    <t>Харденинг</t>
  </si>
  <si>
    <t>Учёт рисков при настройке инфраструктуры</t>
  </si>
  <si>
    <t>MainStageSDL</t>
  </si>
  <si>
    <t>Разработка</t>
  </si>
  <si>
    <t>Безопасное программирование</t>
  </si>
  <si>
    <t>Регламент безопасного кодирования</t>
  </si>
  <si>
    <t>Использование безопасных компонент</t>
  </si>
  <si>
    <t>Использование инструментов OSA</t>
  </si>
  <si>
    <t>OSS1</t>
  </si>
  <si>
    <t>Хранилище доверенных артефактов</t>
  </si>
  <si>
    <t xml:space="preserve">Анализ образов </t>
  </si>
  <si>
    <t>Проверка лицензионной чистоты</t>
  </si>
  <si>
    <t>Статический анализ кода</t>
  </si>
  <si>
    <t>Линтеры</t>
  </si>
  <si>
    <t>Код-ревью</t>
  </si>
  <si>
    <t>SPA2</t>
  </si>
  <si>
    <t>Использование инструментов SAST</t>
  </si>
  <si>
    <t>Кастомные правила SAST</t>
  </si>
  <si>
    <t>SAST в пайплайне</t>
  </si>
  <si>
    <t>Детектирование секретов</t>
  </si>
  <si>
    <t>Управление изменениями</t>
  </si>
  <si>
    <t>Система контроля версий</t>
  </si>
  <si>
    <t>Сборка</t>
  </si>
  <si>
    <t>Компонентный анализ</t>
  </si>
  <si>
    <t>Использование инструментов SCA</t>
  </si>
  <si>
    <t>Кастомные правила SCA</t>
  </si>
  <si>
    <t>SCA2</t>
  </si>
  <si>
    <t>SCA в пайплайне</t>
  </si>
  <si>
    <t>SCA3</t>
  </si>
  <si>
    <t xml:space="preserve">Требования к инвентаризации </t>
  </si>
  <si>
    <t>Безопасность сборки</t>
  </si>
  <si>
    <t>Подпись артефактов</t>
  </si>
  <si>
    <t>SCS1</t>
  </si>
  <si>
    <t>Настройка платформы сборки</t>
  </si>
  <si>
    <t>Тестирование</t>
  </si>
  <si>
    <t>Инженерные практики QA</t>
  </si>
  <si>
    <t>Функциональное тестирование</t>
  </si>
  <si>
    <t>Использование автотестов</t>
  </si>
  <si>
    <t>QA2</t>
  </si>
  <si>
    <t>Граничное тестирование</t>
  </si>
  <si>
    <t>QA3</t>
  </si>
  <si>
    <t>Покрытие кода</t>
  </si>
  <si>
    <t>Динамический анализ</t>
  </si>
  <si>
    <t>Фаззинг</t>
  </si>
  <si>
    <t>DPA1</t>
  </si>
  <si>
    <t>Использование инструментов DAST</t>
  </si>
  <si>
    <t>Правила сканирования</t>
  </si>
  <si>
    <t>DAST в пайплайне</t>
  </si>
  <si>
    <t>Проверка соответствия требованиям ИБ</t>
  </si>
  <si>
    <t>Quality Gates</t>
  </si>
  <si>
    <t>Соответствие требованиям ИБ</t>
  </si>
  <si>
    <t>VC2</t>
  </si>
  <si>
    <t>Релиз и развёртывание</t>
  </si>
  <si>
    <t>Автоматизация процесса развёртывания</t>
  </si>
  <si>
    <t>Настройка параметров развёртывания</t>
  </si>
  <si>
    <t>Комплексность выполнения конвеера</t>
  </si>
  <si>
    <t>PA3</t>
  </si>
  <si>
    <t>Обеспечение безопасности выпускаемого ПО</t>
  </si>
  <si>
    <t>Эксплуатационная документация</t>
  </si>
  <si>
    <t>Проверка подписи артефактов</t>
  </si>
  <si>
    <t>PostStageSDL</t>
  </si>
  <si>
    <t>Мониторинг и инциденты</t>
  </si>
  <si>
    <t>Сетевая безопасность</t>
  </si>
  <si>
    <t>Инструменты WAF</t>
  </si>
  <si>
    <t>MI2</t>
  </si>
  <si>
    <t>Анализ инцидентов</t>
  </si>
  <si>
    <t>Управление уязвимостями</t>
  </si>
  <si>
    <t>Порядок работы с дефектами</t>
  </si>
  <si>
    <t>Кастомизация инструментов анализа</t>
  </si>
  <si>
    <t>Оценка критичности дефектов</t>
  </si>
  <si>
    <t>VM3</t>
  </si>
  <si>
    <t>Периодический анализ и тестирование</t>
  </si>
  <si>
    <t>Внутренние исследования</t>
  </si>
  <si>
    <t>Анализ защищённости</t>
  </si>
  <si>
    <t>ISA2</t>
  </si>
  <si>
    <t>Внутренние пентесты</t>
  </si>
  <si>
    <t>ISA3</t>
  </si>
  <si>
    <t>Внешние исследования</t>
  </si>
  <si>
    <t>Баг-баунти</t>
  </si>
  <si>
    <t>ESA1</t>
  </si>
  <si>
    <t>Внешние аудиты</t>
  </si>
  <si>
    <t>Внешние пентесты</t>
  </si>
  <si>
    <t>ESA3</t>
  </si>
  <si>
    <t>Повышение экспертизы</t>
  </si>
  <si>
    <t>Обучение рядовых сотрудников в ИБ</t>
  </si>
  <si>
    <t>Обучение базовой ИБ-гигиене</t>
  </si>
  <si>
    <t>Обучение разработчиков безопасному программированию</t>
  </si>
  <si>
    <t>Регулярное повышение компетенций</t>
  </si>
  <si>
    <t>Повышение экспертизы в области AppSec</t>
  </si>
  <si>
    <t>Обучение AppSec-специалистов</t>
  </si>
  <si>
    <t>Внутренний портал</t>
  </si>
  <si>
    <t>Создание внутренего портала</t>
  </si>
  <si>
    <t>Наполнение внутренего портала</t>
  </si>
  <si>
    <t>Дополнение информации о приложениях</t>
  </si>
  <si>
    <t>Всего требований</t>
  </si>
  <si>
    <t>Замаплено</t>
  </si>
  <si>
    <t>% Маппинга на DAF</t>
  </si>
  <si>
    <t>В инструментах идентификации секретов используются кастомизированные настройки и правила поиска секретов</t>
  </si>
  <si>
    <t>Домен "Инструментальный анализ на наличие дефектов ИБ"</t>
  </si>
  <si>
    <t>Инструментальный анализ на наличие дефектов ИБ</t>
  </si>
  <si>
    <t>Разработана и применяется политика аудита в PROD инфраструктуре  (например, Kubernetes Audit policy) 
Логи собираются, но не обрабатываются (например, хранятся внутри кластера Kubernetes) </t>
  </si>
  <si>
    <t>202х</t>
  </si>
  <si>
    <t>202х+1</t>
  </si>
  <si>
    <t>202х+2</t>
  </si>
  <si>
    <t>Все логи PROD инфраструктуры (например, Kubernetes) обрабатываются в SIEM, созданы правила корреляции в SIEM для идентификации инцидентов</t>
  </si>
  <si>
    <t>СККИ разработаны и применяются для всех систем</t>
  </si>
  <si>
    <t>Создаются стандарты конфигурирования компонентов инфраструктуры (СККИ)</t>
  </si>
  <si>
    <t>Приложение 2</t>
  </si>
  <si>
    <t>Приложение 3</t>
  </si>
  <si>
    <t>Разработка ЕЖЕМЕСЯЧНЫХ отчетов по анализу ВСЕХ приложений (часов в год)</t>
  </si>
  <si>
    <t>Используется защита тегов (protected tags)</t>
  </si>
  <si>
    <t>T-DEV-CICD-1-4</t>
  </si>
  <si>
    <t>T-DEV-CICD-1-5</t>
  </si>
  <si>
    <t>Запрет использования обхода запуска пайплайна на коммит [skip ci] pre-commit хуками</t>
  </si>
  <si>
    <t>T-DEV-SRC-3-6</t>
  </si>
  <si>
    <t>T-DEV-SCM-4-3</t>
  </si>
  <si>
    <t>T-PROD-SM-4-3</t>
  </si>
  <si>
    <t>P-EDU-KB-3-3</t>
  </si>
  <si>
    <t>База знаний наполняется реальными примерами, которые были найдены на пентестах, багбаунти, триажа AppSec`ами с сложными кейсами (н/р нарушения бизнес-логики)</t>
  </si>
  <si>
    <t>P-EDU-KB-4-2</t>
  </si>
  <si>
    <t>В базе знаний подробно описаны кейсы с техническими подробностями и копией стенда (CTF like) для возможности тренинга</t>
  </si>
  <si>
    <t>Все фичи проходят согласование через подразделение ИБ на этапе планирования</t>
  </si>
  <si>
    <t>P-REQ-RD-4-1</t>
  </si>
  <si>
    <t>P-ROLE-RESP-3-2</t>
  </si>
  <si>
    <t>Разработаны и учитываются при выборе подрядчика детальные критерии в части безопасной разработки:
- Требования к наличию и использованию анализаторов кода и компонентов при разработке ПО;
- Требования к предоставлению отчетов об отсутствии и\или исправлении уязвимостей в разрабатываемом ПО;
и др.</t>
  </si>
  <si>
    <t>В Компании разработаны и применяются процедуры для выявления и контроля устранения выявленных уязвимостей в разрабатываемом подрядчиком ПО</t>
  </si>
  <si>
    <t>Используется подход IaC для контроля конфигурации компонентов инфраструктуры</t>
  </si>
  <si>
    <t>Использование подхода IaC для контроля конфигурации разрабатываемого ПО</t>
  </si>
  <si>
    <t xml:space="preserve">Неактивные (ненужные) приложения (applications, плагины или дополнения) удаляются из SCM системы </t>
  </si>
  <si>
    <t>Level</t>
  </si>
  <si>
    <t>Требование</t>
  </si>
  <si>
    <t>Strategy&amp;Metrics</t>
  </si>
  <si>
    <t>Create and Promote</t>
  </si>
  <si>
    <t>Do you understand the enterprise-wide risk appetite for your applications?</t>
  </si>
  <si>
    <t>Do you have a strategic plan for application security and use it to make decisions?</t>
  </si>
  <si>
    <t>Do you regularly review and update the Strategic Plan for Application Security?</t>
  </si>
  <si>
    <t>Measure and Improve</t>
  </si>
  <si>
    <t>Do you use a set of metrics to measure the effectiveness and efficiency of the application security program across applications?</t>
  </si>
  <si>
    <t>Did you define Key Performance Indicators (KPI) from available application security metrics?</t>
  </si>
  <si>
    <t>Do you update the Application Security strategy and roadmap based on application security metrics and KPIs?</t>
  </si>
  <si>
    <t>Policy and Standards</t>
  </si>
  <si>
    <t>Do you have and apply a common set of policies and standards throughout your organization?</t>
  </si>
  <si>
    <t>Do you publish the organization's policies as test scripts or run-books for easy interpretation by development teams?</t>
  </si>
  <si>
    <t>Do you regularly report on policy and standard compliance, and use that information to guide compliance improvement efforts?</t>
  </si>
  <si>
    <t>Compliance Management</t>
  </si>
  <si>
    <t>Do you have a complete picture of your external compliance obligations?</t>
  </si>
  <si>
    <t>Do you have a standard set of security requirements and verification procedures addressing the organization's external compliance obligations?</t>
  </si>
  <si>
    <t>Do you regularly report on adherence to external compliance obligations and use that information to guide efforts to close compliance gaps?</t>
  </si>
  <si>
    <t>Education &amp; Guidance</t>
  </si>
  <si>
    <t>Training and Awareness</t>
  </si>
  <si>
    <t>Do you require employees involved with application development to take SDLC training?</t>
  </si>
  <si>
    <t>Is training customized for individual roles such as developers, testers, or security champions?</t>
  </si>
  <si>
    <t>Have you implemented a Learning Management System or equivalent to track employee training and certification processes?</t>
  </si>
  <si>
    <t>Organization and Culture</t>
  </si>
  <si>
    <t>Have you identified a Security Champion for each development team?</t>
  </si>
  <si>
    <t>Does the organization have a Secure Software Center of Excellence (SSCE)?</t>
  </si>
  <si>
    <t>Is there a centralized portal where developers and application security professionals from different teams and business units are able to communicate and share information?</t>
  </si>
  <si>
    <t>Application Risk Profile</t>
  </si>
  <si>
    <t>Do you classify applications according to business risk based on a simple and predefined set of questions?</t>
  </si>
  <si>
    <t>Do you use centralized and quantified application risk profiles to evaluate business risk?</t>
  </si>
  <si>
    <t>Do you regularly review and update the risk profiles for your applications?</t>
  </si>
  <si>
    <t>Threat Modeling</t>
  </si>
  <si>
    <t>Do you identify and manage architectural design flaws with threat modeling?</t>
  </si>
  <si>
    <t>Do you use a standard methodology, aligned with your application risk levels?</t>
  </si>
  <si>
    <t>Do you regularly review and update the threat modeling methodology for your applications?</t>
  </si>
  <si>
    <t>Security Requirements</t>
  </si>
  <si>
    <t>Software Requirements</t>
  </si>
  <si>
    <t>Do project teams specify security requirements during development?</t>
  </si>
  <si>
    <t>Do you define, structure, and include prioritization in the artifacts of the security requirements gathering process?</t>
  </si>
  <si>
    <t>Do you use a standard requirements framework to streamline the elicitation of security requirements?</t>
  </si>
  <si>
    <t>Supplier Security</t>
  </si>
  <si>
    <t>Do stakeholders review vendor collaborations for security requirements and methodology?</t>
  </si>
  <si>
    <t>Do vendors meet the security responsibilities and quality measures of service level agreements defined by the organization?</t>
  </si>
  <si>
    <t>Are vendors aligned with standard security controls and software development tools and processes that the organization utilizes?</t>
  </si>
  <si>
    <t>Secure Architecture</t>
  </si>
  <si>
    <t>Architecture Design</t>
  </si>
  <si>
    <t>Do teams use security principles during design?</t>
  </si>
  <si>
    <t>Do you use shared security services during design?</t>
  </si>
  <si>
    <t>Do you base your design on available reference architectures?</t>
  </si>
  <si>
    <t>Technology Management</t>
  </si>
  <si>
    <t>Do you evaluate the security quality of important technologies used for development?</t>
  </si>
  <si>
    <t>Do you have a list of recommended technologies for the organization?</t>
  </si>
  <si>
    <t>Do you enforce the use of recommended technologies within the organization?</t>
  </si>
  <si>
    <t>Is the build process fully automated?</t>
  </si>
  <si>
    <t>Do you enforce automated security checks in your build processes?</t>
  </si>
  <si>
    <t>Software Dependencies</t>
  </si>
  <si>
    <t>Do you have solid knowledge about dependencies you're relying on?</t>
  </si>
  <si>
    <t>Do you handle 3rd party dependency risk by a formal process?</t>
  </si>
  <si>
    <t>Do you prevent build of software if it's affected by vulnerabilities in dependencies?</t>
  </si>
  <si>
    <t>Deployment Process</t>
  </si>
  <si>
    <t>Do you use repeatable deployment processes?</t>
  </si>
  <si>
    <t>Are deployment processes automated and employing security checks?</t>
  </si>
  <si>
    <t>Do you consistently validate the integrity of deployed artifacts?</t>
  </si>
  <si>
    <t>Do you limit access to application secrets according to the least privilege principle?</t>
  </si>
  <si>
    <t>Do you inject production secrets into configuration files during deployment?</t>
  </si>
  <si>
    <t>Do you practice proper lifecycle management for application secrets?</t>
  </si>
  <si>
    <t>Defect Tracking</t>
  </si>
  <si>
    <t>Do you track all known security defects in accessible locations?</t>
  </si>
  <si>
    <t>Do you keep an overview of the state of security defects across the organization?</t>
  </si>
  <si>
    <t>Do you enforce SLAs for fixing security defects?</t>
  </si>
  <si>
    <t>Metrics and Feedback</t>
  </si>
  <si>
    <t>Do you use basic metrics about recorded security defects to carry out quick win improvement activities?</t>
  </si>
  <si>
    <t>Do you improve your security assurance program upon standardized metrics?</t>
  </si>
  <si>
    <t>Do you regularly evaluate the effectiveness of your security metrics so that its input helps drive your security strategy?</t>
  </si>
  <si>
    <t>Architecture Assessment</t>
  </si>
  <si>
    <t>Architecture Validation</t>
  </si>
  <si>
    <t>Do you review the application architecture for key security objectives on an ad-hoc basis?</t>
  </si>
  <si>
    <t>Do you regularly review the security mechanisms of your architecture?</t>
  </si>
  <si>
    <t>Do you regularly review the effectiveness of the security controls?</t>
  </si>
  <si>
    <t>Architecture Mitigation</t>
  </si>
  <si>
    <t>Do you review the application architecture for mitigations of typical threats on an ad-hoc basis?</t>
  </si>
  <si>
    <t>Do you regularly evaluate the threats to your architecture?</t>
  </si>
  <si>
    <t>Do you regularly update your reference architectures based on architecture assessment findings?</t>
  </si>
  <si>
    <t>Requirements Testing</t>
  </si>
  <si>
    <t>Control Verification</t>
  </si>
  <si>
    <t>Do you test applications for the correct functioning of standard security controls?</t>
  </si>
  <si>
    <t>Do you consistently write and execute test scripts to verify the functionality of security requirements?</t>
  </si>
  <si>
    <t>Do you automatically test applications for security regressions?</t>
  </si>
  <si>
    <t>Misuse/Abuse Testing</t>
  </si>
  <si>
    <t>Do you test applications using randomization or fuzzing techniques?</t>
  </si>
  <si>
    <t>Do you create abuse cases from functional requirements and use them to drive security tests?</t>
  </si>
  <si>
    <t>Do you perform denial of service and security stress testing?</t>
  </si>
  <si>
    <t>Scalable Baseline</t>
  </si>
  <si>
    <t>Do you scan applications with automated security testing tools?</t>
  </si>
  <si>
    <t>Do you customize the automated security tools to your applications and technology stacks?</t>
  </si>
  <si>
    <t>Do you integrate automated security testing into the build and deploy process?</t>
  </si>
  <si>
    <t>Deep Understanding</t>
  </si>
  <si>
    <t>Do you manually review the security quality of selected high-risk components?</t>
  </si>
  <si>
    <t>Do you perform penetration testing for your applications at regular intervals?</t>
  </si>
  <si>
    <t>Do you use the results of security testing to improve the development lifecycle?</t>
  </si>
  <si>
    <t>Incident Management</t>
  </si>
  <si>
    <t>Incident Detection</t>
  </si>
  <si>
    <t>Do you analyze log data for security incidents periodically?</t>
  </si>
  <si>
    <t>Do you follow a documented process for incident detection?</t>
  </si>
  <si>
    <t>Do you review and update the incident detection process regularly?</t>
  </si>
  <si>
    <t>Incident Response</t>
  </si>
  <si>
    <t>Do you respond to detected incidents?</t>
  </si>
  <si>
    <t>Do you use a repeatable process for incident handling?</t>
  </si>
  <si>
    <t>Do you have a dedicated incident response team available?</t>
  </si>
  <si>
    <t>Environment Management</t>
  </si>
  <si>
    <t>Configuration Hardening</t>
  </si>
  <si>
    <t>Do you harden configurations for key components of your technology stacks?</t>
  </si>
  <si>
    <t>Do you have hardening baselines for your components?</t>
  </si>
  <si>
    <t>Do you monitor and enforce conformity with hardening baselines?</t>
  </si>
  <si>
    <t>Patching and Updating</t>
  </si>
  <si>
    <t>Do you identify and patch vulnerable components?</t>
  </si>
  <si>
    <t>Do you follow an established process for updating components of your technology stacks?</t>
  </si>
  <si>
    <t>Do you regularly evaluate components and review patch level status?</t>
  </si>
  <si>
    <t>Operational Management</t>
  </si>
  <si>
    <t>Data Protection</t>
  </si>
  <si>
    <t>Do you protect and handle information according to protection requirements for data stored and processed on each application?</t>
  </si>
  <si>
    <t>Do you maintain a data catalog, including types, sensitivity levels, and processing and storage locations?</t>
  </si>
  <si>
    <t>Do you regularly review and update the data catalog and your data protection policies and procedures?</t>
  </si>
  <si>
    <t>System Decommissioning / Legacy Management</t>
  </si>
  <si>
    <t>Do you identify and remove systems, applications, application dependencies, or services that are no longer used, have reached end of life, or are no longer actively developed or supported?</t>
  </si>
  <si>
    <t>Do you follow an established process for removing all associated resources, as part of decommissioning of unused systems, applications, application dependencies, or services?</t>
  </si>
  <si>
    <t>Do you regularly evaluate the lifecycle state and support status of every software asset and underlying infrastructure component, and estimate their end of life?</t>
  </si>
  <si>
    <t>Комментарии</t>
  </si>
  <si>
    <t>Подсчет требований</t>
  </si>
  <si>
    <t>Разработаны метрики процессов DSO</t>
  </si>
  <si>
    <t>Определены, описаны и отслеживаются метрики процессов DSO</t>
  </si>
  <si>
    <t>T-CODE-SECDN-3-3</t>
  </si>
  <si>
    <t>Осуществляется регулярный мониторинг общедоступных баз, систем, информационных каналов и других источников в Интернете (и даркнете) на наличие утекших секретов Компании</t>
  </si>
  <si>
    <t>Регламентирована и осуществляется автоматизированная ротация всех секретов (как по расписанию, так и по событию\запросу).</t>
  </si>
  <si>
    <t>OWASP SAMMv2</t>
  </si>
  <si>
    <t>BSIMM v14</t>
  </si>
  <si>
    <t>5.1.2.3, 5.1.2.4</t>
  </si>
  <si>
    <t>5.2.2.3</t>
  </si>
  <si>
    <t>5.2.2.3,
5.2.2.6</t>
  </si>
  <si>
    <t>К разрабатываемым приложениям предъявляются требования по ИБ</t>
  </si>
  <si>
    <t>5.3.2.2</t>
  </si>
  <si>
    <t>Домен. Оценка эффективности процессов</t>
  </si>
  <si>
    <t>5.4.2.3</t>
  </si>
  <si>
    <t>5.5.2.5</t>
  </si>
  <si>
    <t>Существует перечень ответственных за работу с дефектами ИБ, описаны пути эскалаций устранения дефектов ИБ</t>
  </si>
  <si>
    <t>Количество администраторов SCM ограничено и регулярно проверяется</t>
  </si>
  <si>
    <t>Для добавления нового пользователя в SCM используются только корпоративные email</t>
  </si>
  <si>
    <t>5.6.2.1</t>
  </si>
  <si>
    <t>5.7.2.2</t>
  </si>
  <si>
    <t>5.7.2.1</t>
  </si>
  <si>
    <t>5.7.2.4</t>
  </si>
  <si>
    <t>5.10.2.4</t>
  </si>
  <si>
    <t>5.11.2.5</t>
  </si>
  <si>
    <t>5.11.2.7</t>
  </si>
  <si>
    <t>5.13.2.2</t>
  </si>
  <si>
    <t>5.13.2.5</t>
  </si>
  <si>
    <t>5.13.2.4</t>
  </si>
  <si>
    <t>5.13.2.7</t>
  </si>
  <si>
    <t>5.13.2.8</t>
  </si>
  <si>
    <t>5.14.2.2</t>
  </si>
  <si>
    <t>5.14.2.3</t>
  </si>
  <si>
    <t>Разработчики и инженеры обмениваются секретами с помощью инструмента Secret Management, например, Hashicorp Vault</t>
  </si>
  <si>
    <t>5.15.2.2</t>
  </si>
  <si>
    <t>5.15.2.4</t>
  </si>
  <si>
    <t>5.15.2.1</t>
  </si>
  <si>
    <t>5.15.2.3</t>
  </si>
  <si>
    <t>5.16.2.2</t>
  </si>
  <si>
    <t>5.16.2.4</t>
  </si>
  <si>
    <t>5.17.2.5</t>
  </si>
  <si>
    <t>5.17.2.4</t>
  </si>
  <si>
    <t>5.18.2.1</t>
  </si>
  <si>
    <t>5.18.2.2</t>
  </si>
  <si>
    <t>5.19.2.2</t>
  </si>
  <si>
    <t>5.19.2.2,
5.24.2.1</t>
  </si>
  <si>
    <t>5.24.2.3</t>
  </si>
  <si>
    <t>5.24.2.2</t>
  </si>
  <si>
    <t>5.11.2.5,
5.24.2.3</t>
  </si>
  <si>
    <t>5.1.2.1</t>
  </si>
  <si>
    <t>5.1.2.2</t>
  </si>
  <si>
    <t>5.2.2.1</t>
  </si>
  <si>
    <t>5.2.2.2</t>
  </si>
  <si>
    <t>5.2.2.4</t>
  </si>
  <si>
    <t>5.2.2.5</t>
  </si>
  <si>
    <t>5.3.2.1</t>
  </si>
  <si>
    <t>5.3.2.3</t>
  </si>
  <si>
    <t>5.3.2.4</t>
  </si>
  <si>
    <t>5.4.2.1</t>
  </si>
  <si>
    <t>5.4.2.2</t>
  </si>
  <si>
    <t>5.5.2.1</t>
  </si>
  <si>
    <t>5.5.2.2</t>
  </si>
  <si>
    <t>5.6.2.2</t>
  </si>
  <si>
    <t>5.6.2.3</t>
  </si>
  <si>
    <t>5.6.2.4</t>
  </si>
  <si>
    <t>5.7.2.3</t>
  </si>
  <si>
    <t>5.7.2.5</t>
  </si>
  <si>
    <t>5.7.2.6</t>
  </si>
  <si>
    <t>5.7.2.7</t>
  </si>
  <si>
    <t>5.8.2.1</t>
  </si>
  <si>
    <t>Принять и использовать в процессе разработки кода ПО регламент оформления исходного кода и безопасного кодирования для используемых разработчиком языков программирования.</t>
  </si>
  <si>
    <t>5.8.2.2</t>
  </si>
  <si>
    <t>5.8.2.3</t>
  </si>
  <si>
    <t>5.8.2.4</t>
  </si>
  <si>
    <t>5.9.2.1</t>
  </si>
  <si>
    <t>5.9.2.3</t>
  </si>
  <si>
    <t>5.10.2.1</t>
  </si>
  <si>
    <t>5.10.2.2</t>
  </si>
  <si>
    <t>5.10.2.3</t>
  </si>
  <si>
    <t>5.11.2.1</t>
  </si>
  <si>
    <t>5.11.2.2</t>
  </si>
  <si>
    <t>5.11.2.3</t>
  </si>
  <si>
    <t>5.11.2.4</t>
  </si>
  <si>
    <t>5.11.2.8</t>
  </si>
  <si>
    <t>5.12.2.1</t>
  </si>
  <si>
    <t>5.12.2.2</t>
  </si>
  <si>
    <t>5.12.2.3</t>
  </si>
  <si>
    <t>5.13.2.1</t>
  </si>
  <si>
    <t>5.13.2.3</t>
  </si>
  <si>
    <t>5.13.2.6</t>
  </si>
  <si>
    <t>5.14.2.1</t>
  </si>
  <si>
    <t>5.16.2.1</t>
  </si>
  <si>
    <t>5.16.2.3</t>
  </si>
  <si>
    <t>5.17.2.2</t>
  </si>
  <si>
    <t>5.17.2.3</t>
  </si>
  <si>
    <t>5.18.2.3</t>
  </si>
  <si>
    <t>5.18.2.4</t>
  </si>
  <si>
    <t>5.19.2.5</t>
  </si>
  <si>
    <t>5.20.2.1</t>
  </si>
  <si>
    <t>5.20.2.3</t>
  </si>
  <si>
    <t>5.20.2.4</t>
  </si>
  <si>
    <t>5.21.2.1</t>
  </si>
  <si>
    <t>5.21.2.2</t>
  </si>
  <si>
    <t>5.21.2.3</t>
  </si>
  <si>
    <t>5.21.2.4</t>
  </si>
  <si>
    <t>5.22.2.1</t>
  </si>
  <si>
    <t>5.22.2.2</t>
  </si>
  <si>
    <t>5.22.2.3</t>
  </si>
  <si>
    <t>5.22.2.4</t>
  </si>
  <si>
    <t>5.22.2.5</t>
  </si>
  <si>
    <t>5.23.2.1</t>
  </si>
  <si>
    <t>5.23.2.2</t>
  </si>
  <si>
    <t>5.23.2.3</t>
  </si>
  <si>
    <t>5.23.2.4</t>
  </si>
  <si>
    <t>5.23.2.5</t>
  </si>
  <si>
    <t>5.25.2.1</t>
  </si>
  <si>
    <t>5.25.2.2</t>
  </si>
  <si>
    <t>PC-B-1</t>
  </si>
  <si>
    <t>PC-B-2</t>
  </si>
  <si>
    <t>PC-B-3</t>
  </si>
  <si>
    <t>TA-A-3</t>
  </si>
  <si>
    <t>DM-A-1</t>
  </si>
  <si>
    <t>DM-B-1</t>
  </si>
  <si>
    <t>DM-B-2</t>
  </si>
  <si>
    <t>DM-B-3</t>
  </si>
  <si>
    <t>AA-A-2</t>
  </si>
  <si>
    <t>AA-A-3</t>
  </si>
  <si>
    <t>AA-B-1</t>
  </si>
  <si>
    <t>AA-B-2</t>
  </si>
  <si>
    <t>AA-B-3</t>
  </si>
  <si>
    <t>OM-A-3</t>
  </si>
  <si>
    <t>OM-A-2</t>
  </si>
  <si>
    <t>OM-A-1</t>
  </si>
  <si>
    <t>EM-B-1</t>
  </si>
  <si>
    <t>IM-A-1</t>
  </si>
  <si>
    <t>IM-A-3</t>
  </si>
  <si>
    <t>IM-B-1</t>
  </si>
  <si>
    <t>IM-B-3</t>
  </si>
  <si>
    <t>ST-B-3</t>
  </si>
  <si>
    <t>RT-A-2</t>
  </si>
  <si>
    <t>RT-B-1</t>
  </si>
  <si>
    <t>RT-B-3</t>
  </si>
  <si>
    <t>OM-B-1
OM-B-2
SB-B-2</t>
  </si>
  <si>
    <t>RT-B-2
ST-B-2</t>
  </si>
  <si>
    <t>SD-A-2
SB-A-3</t>
  </si>
  <si>
    <t>Dimension</t>
  </si>
  <si>
    <t>Sub Dimension</t>
  </si>
  <si>
    <t>Activity</t>
  </si>
  <si>
    <t>UUID</t>
  </si>
  <si>
    <t>Build and Deployment</t>
  </si>
  <si>
    <t>Build</t>
  </si>
  <si>
    <t>Building and testing of artifacts in virtual environments</t>
  </si>
  <si>
    <t>a340f46b-6360-4cb8-847b-a0d3483d09d3</t>
  </si>
  <si>
    <t>Pinning of artifacts</t>
  </si>
  <si>
    <t>f3c4971e-9f4d-4e59-8ed0-f0bdb6262477</t>
  </si>
  <si>
    <t>Defined build process</t>
  </si>
  <si>
    <t>f6f7737f-25a9-4317-8de2-09bf59f29b5b</t>
  </si>
  <si>
    <t>SBOM of components</t>
  </si>
  <si>
    <t>2858ac12-0179-40d9-9acf-1b839c030473</t>
  </si>
  <si>
    <t>Signing of artifacts</t>
  </si>
  <si>
    <t>5786959d-0c6f-46a6-8e1c-a32ff1a50222</t>
  </si>
  <si>
    <t>Signing of code</t>
  </si>
  <si>
    <t>9f107927-61e9-4574-85ad-3f2b4bca8665</t>
  </si>
  <si>
    <t>Deployment</t>
  </si>
  <si>
    <t>Environment depending configuration parameters (secrets)</t>
  </si>
  <si>
    <t>df428c9d-efa0-4226-9f47-a15bb53f822b</t>
  </si>
  <si>
    <t>Evaluation of the trust of used components</t>
  </si>
  <si>
    <t>0de465a6-55a7-4343-af79-948bb5ff10ba</t>
  </si>
  <si>
    <t>Patch Management</t>
  </si>
  <si>
    <t>A patch policy is defined</t>
  </si>
  <si>
    <t>99415139-6b50-441b-89e1-0aa59accd43d</t>
  </si>
  <si>
    <t>Automated PRs for patches</t>
  </si>
  <si>
    <t>8ae0b92c-10e0-4602-ba22-7524d6aed488</t>
  </si>
  <si>
    <t>Rolling update on deployment</t>
  </si>
  <si>
    <t>85d52588-f542-4225-a338-20dc22a5508d</t>
  </si>
  <si>
    <t>Reduction of the attack surface</t>
  </si>
  <si>
    <t>16e39c8f-5336-4001-88ed-a552d2447531</t>
  </si>
  <si>
    <t>Handover of confidential parameters</t>
  </si>
  <si>
    <t>94a96f79-8bd6-4904-97c0-994ff88f176a</t>
  </si>
  <si>
    <t>Automated deployment of automated PRs</t>
  </si>
  <si>
    <t>08f27c26-2c6a-47fe-9458-5e88f188085d</t>
  </si>
  <si>
    <t>Automated merge of automated PRs</t>
  </si>
  <si>
    <t>f2594f8f-1cd6-45f9-af29-eaf3315698eb</t>
  </si>
  <si>
    <t>Nightly build of images (base images)</t>
  </si>
  <si>
    <t>34869eaf-f2e1-4926-b0bd-28c43402f057</t>
  </si>
  <si>
    <t>Usage of a maximum lifetime for images</t>
  </si>
  <si>
    <t>485a3383-7f2e-4dba-bb84-479377070904</t>
  </si>
  <si>
    <t>Usage of a short maximum lifetime for images</t>
  </si>
  <si>
    <t>6b96e5a0-ce34-4ea4-a88f-469d3b84546e</t>
  </si>
  <si>
    <t>Same artifact for environments</t>
  </si>
  <si>
    <t>a854b48d-83bd-4f8d-8621-a0bdd470837f</t>
  </si>
  <si>
    <t>Usage of feature toggles</t>
  </si>
  <si>
    <t>a511799b-045e-4b96-9843-7d63d8c1e2ad</t>
  </si>
  <si>
    <t>Blue/Green Deployment</t>
  </si>
  <si>
    <t>0cb2626b-fb0d-4a0f-9688-57f787310d97</t>
  </si>
  <si>
    <t>Defined deployment process</t>
  </si>
  <si>
    <t>74938a3f-1269-49b9-9d0f-c43a79a1985a</t>
  </si>
  <si>
    <t>Defined decommissioning process</t>
  </si>
  <si>
    <t>da4ff665-dcb9-4e93-9d20-48cdedc50fc2</t>
  </si>
  <si>
    <t>Inventory of production artifacts</t>
  </si>
  <si>
    <t>83057028-0b77-4d2e-8135-40969768ae88</t>
  </si>
  <si>
    <t>Inventory of production components</t>
  </si>
  <si>
    <t>2a44b708-734f-4463-b0cb-86dc46344b2f</t>
  </si>
  <si>
    <t>Inventory of production dependencies</t>
  </si>
  <si>
    <t>13e9757e-58e2-4277-bc0f-eadc674891e6</t>
  </si>
  <si>
    <t>Culture and Organization</t>
  </si>
  <si>
    <t>Conduction of simple threat modeling on technical level</t>
  </si>
  <si>
    <t>47419324-e263-415b-815d-e7161b6b905e</t>
  </si>
  <si>
    <t>Creation of advanced abuse stories</t>
  </si>
  <si>
    <t>0a929c3e-ab9a-4206-8761-adf84b74622e</t>
  </si>
  <si>
    <t>Creation of simple abuse stories</t>
  </si>
  <si>
    <t>bacf85b6-5bc0-405d-b5ba-a5d971467cc1</t>
  </si>
  <si>
    <t>Creation of threat modeling processes and standards</t>
  </si>
  <si>
    <t>dd5ed7c1-bdbf-400f-b75f-6d3953a1a04e</t>
  </si>
  <si>
    <t>Education and Guidance</t>
  </si>
  <si>
    <t>Conduction of collaborative security checks with developers and system administrators</t>
  </si>
  <si>
    <t>95caef96-36ed-458c-a087-5c35d4f9dec2</t>
  </si>
  <si>
    <t>Security code review</t>
  </si>
  <si>
    <t>7121b0c7-6ace-4d6b-95d0-94535dbccb57</t>
  </si>
  <si>
    <t>Ad-Hoc Security trainings for software developers</t>
  </si>
  <si>
    <t>12c90cc6-3d58-4d9b-82ff-d469d2a0c298</t>
  </si>
  <si>
    <t>Conduction of build-it, break-it, fix-it contests</t>
  </si>
  <si>
    <t>bfdb576e-a416-4ec6-96fe-a078d58b2ff8</t>
  </si>
  <si>
    <t>Office Hours</t>
  </si>
  <si>
    <t>185d5a74-19dc-4422-be07-44ea35226783</t>
  </si>
  <si>
    <t>Regular security training for all</t>
  </si>
  <si>
    <t>9768f154-357a-4c06-af6f-d66570677c9b</t>
  </si>
  <si>
    <t>Regular security training for externals</t>
  </si>
  <si>
    <t>31833d56-35af-4ef3-9300-f23d27646ce7</t>
  </si>
  <si>
    <t>Information security targets are communicated</t>
  </si>
  <si>
    <t>1b9281b9-48e2-4c01-9ac6-9db9931c4885</t>
  </si>
  <si>
    <t>Aligning security in teams</t>
  </si>
  <si>
    <t>f994a55d-71bb-45a4-a887-0a213d72c504</t>
  </si>
  <si>
    <t>Conduction of simple threat modeling on business level</t>
  </si>
  <si>
    <t>48f97f31-931c-46eb-9b3e-e2fec0cd0426</t>
  </si>
  <si>
    <t>Conduction of advanced threat modeling</t>
  </si>
  <si>
    <t>ae22dafd-bcd6-41ee-ba01-8b7fe6fc1ad9</t>
  </si>
  <si>
    <t>Simple mob hacking</t>
  </si>
  <si>
    <t>535f301a-e8e8-4eda-ad77-a08b035c92de</t>
  </si>
  <si>
    <t>Security Coaching</t>
  </si>
  <si>
    <t>f7b215dc-73a4-4c61-9e49-b3a3af1c9ac3</t>
  </si>
  <si>
    <t>Process</t>
  </si>
  <si>
    <t>Definition of simple BCDR practices for critical components</t>
  </si>
  <si>
    <t>c72da779-86cc-45b1-a339-190ce5093171</t>
  </si>
  <si>
    <t>Security-Lessoned-Learned</t>
  </si>
  <si>
    <t>58c46807-fee9-448b-b6dd-8050c464ab52</t>
  </si>
  <si>
    <t>Definition of a change management process</t>
  </si>
  <si>
    <t>b4193d32-3948-47e2-a326-3748c48019a1</t>
  </si>
  <si>
    <t>Conduction of collaborative team security checks</t>
  </si>
  <si>
    <t>35446784-7610-40d9-af9e-d43f3173bf8c</t>
  </si>
  <si>
    <t>Conduction of war games</t>
  </si>
  <si>
    <t>534f60bf-0995-4314-bb9c-f0f2bf204694</t>
  </si>
  <si>
    <t>Reward of good communication</t>
  </si>
  <si>
    <t>91b6f75b-9f4a-4d77-95a2-af7ad3222c7c</t>
  </si>
  <si>
    <t>Each team has a security champion</t>
  </si>
  <si>
    <t>6217fe11-5ed7-4cf4-9de4-555bcfa6fe87</t>
  </si>
  <si>
    <t>Regular security training of security champions</t>
  </si>
  <si>
    <t>f88d1b17-3d7d-4c3d-8139-ad44fc4942d4</t>
  </si>
  <si>
    <t>Approval by reviewing any new version</t>
  </si>
  <si>
    <t>3f63bdbc-c75f-4780-a941-e6ad42e894e1</t>
  </si>
  <si>
    <t>Security consulting on request</t>
  </si>
  <si>
    <t>0b28367b-75a0-4bae-a926-3725c1bf9bb0</t>
  </si>
  <si>
    <t>Infrastructure Hardening</t>
  </si>
  <si>
    <t>Limitation of system events</t>
  </si>
  <si>
    <t>e5386abf-9154-4752-a1a8-c3a8900f732d</t>
  </si>
  <si>
    <t>Microservice-architecture</t>
  </si>
  <si>
    <t>118b869b-3850-456e-98d9-1abdb85cbc5a</t>
  </si>
  <si>
    <t>Hardening of the Environment</t>
  </si>
  <si>
    <t>dcf9601b-b4f2-4e25-9143-e39af75f7c33</t>
  </si>
  <si>
    <t>Role based authentication and authorization</t>
  </si>
  <si>
    <t>070bb14b-e04a-4f3d-896a-a08eba7a35f9</t>
  </si>
  <si>
    <t>Simple access control for systems</t>
  </si>
  <si>
    <t>82e499d1-f463-4a4b-be90-68812a874af6</t>
  </si>
  <si>
    <t>MFA</t>
  </si>
  <si>
    <t>598e9f13-1ac8-4a01-b85e-8fab93ee81de</t>
  </si>
  <si>
    <t>MFA for admins</t>
  </si>
  <si>
    <t>8098e416-e1ed-4ae4-a561-83efbe76bf57</t>
  </si>
  <si>
    <t>Development and Source Control</t>
  </si>
  <si>
    <t>Local development linting &amp; style checks performed</t>
  </si>
  <si>
    <t>517b0957-4981-4ac0-b4c7-0d8d1934c474</t>
  </si>
  <si>
    <t>WAF Advanced</t>
  </si>
  <si>
    <t>f0e01814-3b88-4bd0-a3a9-f91db001d20b-advanced</t>
  </si>
  <si>
    <t>Block force pushes</t>
  </si>
  <si>
    <t>c7d99b18-c3e1-4d22-b2e3-9aa9146c0b17</t>
  </si>
  <si>
    <t>Dismiss stale PR approvals</t>
  </si>
  <si>
    <t>ea6f69f7-54a5-4922-ac15-a77ff0c16162</t>
  </si>
  <si>
    <t>Require a PR before merging</t>
  </si>
  <si>
    <t>e7598ac4-b082-4e56-b7df-e2c6b426a5e2</t>
  </si>
  <si>
    <t>Production near environments are used by developers</t>
  </si>
  <si>
    <t>e14de741-94b3-447c-8b07-eea947d82e61</t>
  </si>
  <si>
    <t>.gitignore</t>
  </si>
  <si>
    <t>363a3eea-baf9-4010-88ca-bb8186a2989d</t>
  </si>
  <si>
    <t>Require status checks to pass</t>
  </si>
  <si>
    <t>ac8730a2-ccc0-465c-9550-d91edae9d5ee</t>
  </si>
  <si>
    <t>Application Hardening</t>
  </si>
  <si>
    <t>App. Hardening Level 1</t>
  </si>
  <si>
    <t>cf819225-30cb-4702-8e32-60225eedc33d</t>
  </si>
  <si>
    <t>App. Hardening Level 1 (50%)</t>
  </si>
  <si>
    <t>b597928e-54d6-48a5-a806-8003dcd56aab</t>
  </si>
  <si>
    <t>App. Hardening Level 2</t>
  </si>
  <si>
    <t>ffe86caf-2fec-4630-b514-2db83983984d</t>
  </si>
  <si>
    <t>App. Hardening Level 2 (75%)</t>
  </si>
  <si>
    <t>03643ca2-03c2-472b-8e19-956bf02fe9b7</t>
  </si>
  <si>
    <t>App. Hardening Level 3</t>
  </si>
  <si>
    <t>4cae98c2-4163-44ed-bb88-3c67c569533a</t>
  </si>
  <si>
    <t>Containers are running as non-root</t>
  </si>
  <si>
    <t>a86c1fbc-28fd-4610-89a3-a7f73acfe45f</t>
  </si>
  <si>
    <t>Context-aware output encoding</t>
  </si>
  <si>
    <t>e1f37abb-d848-4a3a-b3df-65e91a89dcb7</t>
  </si>
  <si>
    <t>Parametrization</t>
  </si>
  <si>
    <t>00e91a8a-3972-4692-8679-674ab8547486</t>
  </si>
  <si>
    <t>Secure headers</t>
  </si>
  <si>
    <t>29318d60-18ce-4526-80ea-f5928e49f639</t>
  </si>
  <si>
    <t>Applications are running in virtualized environments</t>
  </si>
  <si>
    <t>3a94d55e-fd82-4996-9eb3-20d23ff2a873</t>
  </si>
  <si>
    <t>Versioning</t>
  </si>
  <si>
    <t>066084c6-1135-4635-9cc5-9e75c7c5459f</t>
  </si>
  <si>
    <t>Backup</t>
  </si>
  <si>
    <t>5c61fd6b-8106-4c68-ac28-a8a42f1c67dc</t>
  </si>
  <si>
    <t>Immutable infrastructure</t>
  </si>
  <si>
    <t>48e92bb1-fdba-40e8-b6c2-35de0d431833</t>
  </si>
  <si>
    <t>Usage of a chaos monkey</t>
  </si>
  <si>
    <t>f8e80f18-2503-4e3e-b3bc-7f67bb28defe</t>
  </si>
  <si>
    <t>Baseline Hardening of the environment</t>
  </si>
  <si>
    <t>5992c38c-8597-4035-89db-d15820d81c3a</t>
  </si>
  <si>
    <t>Filter outgoing traffic</t>
  </si>
  <si>
    <t>6df508ef-86fc-4c22-bd9f-646c3127ce7d</t>
  </si>
  <si>
    <t>Isolated networks for virtual environments</t>
  </si>
  <si>
    <t>4ce24abd-8ba6-494c-828d-4d193e28e4a1</t>
  </si>
  <si>
    <t>Infrastructure as Code</t>
  </si>
  <si>
    <t>8b994601-575e-4ea5-b228-accb18c8e514</t>
  </si>
  <si>
    <t>Usage of an security account</t>
  </si>
  <si>
    <t>746025a6-dbfb-4087-a000-e46acab64ee1</t>
  </si>
  <si>
    <t>Usage of edge encryption at transit</t>
  </si>
  <si>
    <t>ad23be9c-5661-4f1f-81a3-5a5dc7061629</t>
  </si>
  <si>
    <t>Usage of encryption at rest</t>
  </si>
  <si>
    <t>0ff45fb8-7eef-46ed-9b3a-84c955cd7060</t>
  </si>
  <si>
    <t>Usage of internal encryption at transit</t>
  </si>
  <si>
    <t>ecb0184c-6bc9-45da-bbbb-a983797ffc93</t>
  </si>
  <si>
    <t>Usage of security by default for components</t>
  </si>
  <si>
    <t>11b3848e-e931-4146-a35d-35409ada24ee</t>
  </si>
  <si>
    <t>Virtual environments are limited</t>
  </si>
  <si>
    <t>760f1056-b0ee-4f22-a35b-f65446f944ca</t>
  </si>
  <si>
    <t>WAF baseline</t>
  </si>
  <si>
    <t>f0e01814-3b88-4bd0-a3a9-f91db001d20b</t>
  </si>
  <si>
    <t>WAF medium</t>
  </si>
  <si>
    <t>f0e01814-3b88-4bd0-a3a9-f91db001d20b-medium</t>
  </si>
  <si>
    <t>Usage of test and production environments</t>
  </si>
  <si>
    <t>bfdacb52-1e3f-431d-ae72-d844a5e86415</t>
  </si>
  <si>
    <t>Information Gathering</t>
  </si>
  <si>
    <t>Monitoring</t>
  </si>
  <si>
    <t>Coverage and control metrics</t>
  </si>
  <si>
    <t>d0d681e7-d6de-4829-ac64-a9eb2546aa0d</t>
  </si>
  <si>
    <t>Metrics are combined with tests</t>
  </si>
  <si>
    <t>71699daf-b2a4-466b-a0b2-89f7dbb18506</t>
  </si>
  <si>
    <t>Alerting</t>
  </si>
  <si>
    <t>8a442d8e-0eb1-4793-a513-571aef982edd</t>
  </si>
  <si>
    <t>Test KPI</t>
  </si>
  <si>
    <t>Patching mean time to resolution via production</t>
  </si>
  <si>
    <t>86d490b9-d798-4a5b-a011-ab9688014c46</t>
  </si>
  <si>
    <t>Advanced app. metrics</t>
  </si>
  <si>
    <t>d03bc410-74a7-4e92-82cb-d01a020cb6bf</t>
  </si>
  <si>
    <t>Audit of system events</t>
  </si>
  <si>
    <t>1cd5e4b8-be36-4726-adc7-d8f843f47ac8</t>
  </si>
  <si>
    <t>Screens with metric visualization</t>
  </si>
  <si>
    <t>8746647c-638c-473f-8e17-82c068e4c311</t>
  </si>
  <si>
    <t>Targeted alerting</t>
  </si>
  <si>
    <t>d6f06ae8-401a-4f44-85df-1079247fa030</t>
  </si>
  <si>
    <t>Generation of response statistics</t>
  </si>
  <si>
    <t>c922981b-65ed-40f3-a947-96fee9a0125f</t>
  </si>
  <si>
    <t>Logging</t>
  </si>
  <si>
    <t>Centralized application logging</t>
  </si>
  <si>
    <t>fe875e17-ae4a-45f8-a359-244aa4fcbc04</t>
  </si>
  <si>
    <t>Centralized system logging</t>
  </si>
  <si>
    <t>4eced38a-7904-4c45-adb0-50b663065540</t>
  </si>
  <si>
    <t>Correlation of security events</t>
  </si>
  <si>
    <t>ccf4561d-253f-4762-adcb-bc4622fd6fc5</t>
  </si>
  <si>
    <t>Logging of security events</t>
  </si>
  <si>
    <t>ccfdd0a8-991e-4269-ad77-c0a54ca655cb</t>
  </si>
  <si>
    <t>PII logging concept</t>
  </si>
  <si>
    <t>613a73dc-4f60-49db-a6ce-4fb7bf8519f9</t>
  </si>
  <si>
    <t>Visualized logging</t>
  </si>
  <si>
    <t>7c735089-6a83-419f-8b27-c1e676cedea1</t>
  </si>
  <si>
    <t>Defense metrics</t>
  </si>
  <si>
    <t>e808028c-351c-42f1-bcd9-fba738d1fc55</t>
  </si>
  <si>
    <t>Simple application metrics</t>
  </si>
  <si>
    <t>e9a6d403-a467-445e-b98a-74f0c29da0b1</t>
  </si>
  <si>
    <t>Advanced availability and stability metrics</t>
  </si>
  <si>
    <t>ed715b38-c34b-40cd-83fd-ce807f306fc1</t>
  </si>
  <si>
    <t>Deactivation of unused metrics</t>
  </si>
  <si>
    <t>7f36b9ba-bc05-4fd6-9a2a-73344c249722</t>
  </si>
  <si>
    <t>Grouping of metrics</t>
  </si>
  <si>
    <t>42170a71-d4c8-47af-bd71-bf36875fd05b</t>
  </si>
  <si>
    <t>Monitoring of costs</t>
  </si>
  <si>
    <t>10e23a8c-22ff-4487-a706-87ccc9d0798e</t>
  </si>
  <si>
    <t>Simple budget metrics</t>
  </si>
  <si>
    <t>f08a3219-6941-43ec-8762-4aff739f4664</t>
  </si>
  <si>
    <t>Simple system metrics</t>
  </si>
  <si>
    <t>3d1f4c3b-f713-46d9-933a-54a014a26c03</t>
  </si>
  <si>
    <t>Visualized metrics</t>
  </si>
  <si>
    <t>ded39bcf-4eaa-4c5f-9c94-09acde0a4734</t>
  </si>
  <si>
    <t>Number of vulnerabilities/severity</t>
  </si>
  <si>
    <t>bc548cba-cb82-4f76-bd4b-325d9d256279</t>
  </si>
  <si>
    <t>Number of vulnerabilities/severity/layer</t>
  </si>
  <si>
    <t>0ec92899-a5cb-4649-984b-2fb1d6c784ad</t>
  </si>
  <si>
    <t>Test and Verification</t>
  </si>
  <si>
    <t>Dynamic depth for applications</t>
  </si>
  <si>
    <t>Coverage analysis</t>
  </si>
  <si>
    <t>d0ba0be5-c573-405f-b905-b7a8f87a9cc7</t>
  </si>
  <si>
    <t>Coverage of hidden endpoints</t>
  </si>
  <si>
    <t>6a9cb303-0f98-48a8-bdcd-56d41c0012b8</t>
  </si>
  <si>
    <t>Coverage of more input vectors</t>
  </si>
  <si>
    <t>5e0ff85b-ec89-4ef0-96b1-5695fa0025dc</t>
  </si>
  <si>
    <t>Static depth for infrastructure</t>
  </si>
  <si>
    <t>Analyze logs</t>
  </si>
  <si>
    <t>b217c8bb-5d61-4b41-a675-1083993f83b1</t>
  </si>
  <si>
    <t>Test of virtualized environments</t>
  </si>
  <si>
    <t>58825d22-1ce6-4748-af81-0ec9956e4129</t>
  </si>
  <si>
    <t>Static depth for applications</t>
  </si>
  <si>
    <t>Local development security checks performed</t>
  </si>
  <si>
    <t>6e180abc-7c98-4265-b4e9-852cb91b067b</t>
  </si>
  <si>
    <t>Dynamic depth for infrastructure</t>
  </si>
  <si>
    <t>Weak password test</t>
  </si>
  <si>
    <t>61e10f9c-e126-4ffa-af12-fdbe0d0a831f</t>
  </si>
  <si>
    <t>Coverage of sequential operations</t>
  </si>
  <si>
    <t>845f06ec-148c-4c67-9755-7041911dcca5</t>
  </si>
  <si>
    <t>Coverage of service to service communication</t>
  </si>
  <si>
    <t>22aab0ef-76ce-4b8c-979c-3699784330db</t>
  </si>
  <si>
    <t>Test for stored secrets</t>
  </si>
  <si>
    <t>c6e3c812-56e2-41b0-ae01-b7afc41a004c</t>
  </si>
  <si>
    <t>Consolidation</t>
  </si>
  <si>
    <t>Reproducible defect tickets</t>
  </si>
  <si>
    <t>27337442-e4b1-4e87-8dc9-ce86fbb79a39</t>
  </si>
  <si>
    <t>Simple visualization of defects</t>
  </si>
  <si>
    <t>55f4c916-3a34-474d-ad96-9a9f7a4f6a83</t>
  </si>
  <si>
    <t>Integration of vulnerability issues into the development process</t>
  </si>
  <si>
    <t>ce970c9b-da94-41cf-bd78-8c15357b7e8e</t>
  </si>
  <si>
    <t>Simple false positive treatment</t>
  </si>
  <si>
    <t>c1acc8af-312e-4503-a817-a26220c993a0</t>
  </si>
  <si>
    <t>Coverage of client side dynamic components</t>
  </si>
  <si>
    <t>9711f871-f79d-4573-8d4f-d2c98fd0d18e</t>
  </si>
  <si>
    <t>Usage of multiple scanners</t>
  </si>
  <si>
    <t>5b5a1eb2-113f-41fb-a3d6-06af4fdc9cea</t>
  </si>
  <si>
    <t>Advanced visualization of defects</t>
  </si>
  <si>
    <t>7a82020c-94d1-471c-bbd3-5f7fe7df4876</t>
  </si>
  <si>
    <t>Fix based on accessibility</t>
  </si>
  <si>
    <t>0c10a7f7-f78f-49f2-943d-19fdef248fed</t>
  </si>
  <si>
    <t>Usage of a vulnerability management system</t>
  </si>
  <si>
    <t>85ba5623-84be-4219-8892-808837be582d</t>
  </si>
  <si>
    <t>Usage of different roles</t>
  </si>
  <si>
    <t>65a2d7d9-5441-46bf-a4e3-f76919857750</t>
  </si>
  <si>
    <t>Test of the configuration of cloud environments</t>
  </si>
  <si>
    <t>7bb70764-9392-4462-935d-e55b2e148199</t>
  </si>
  <si>
    <t>Test cluster deployment resources</t>
  </si>
  <si>
    <t>621fb6a5-5c0a-4408-826a-068868bb031b</t>
  </si>
  <si>
    <t>Test-Intensity</t>
  </si>
  <si>
    <t>Regular automated tests</t>
  </si>
  <si>
    <t>598897a2-358e-441f-984c-e12ec4f6110a</t>
  </si>
  <si>
    <t>Dead code elimination</t>
  </si>
  <si>
    <t>a8d7d1f1-fc24-49ab-8fb6-f3a03da9c61d</t>
  </si>
  <si>
    <t>Test for Patch Deployment Time</t>
  </si>
  <si>
    <t>0cb2c39a-3cec-4353-b3ab-8d70daf4c9d2</t>
  </si>
  <si>
    <t>Test for Time to Patch</t>
  </si>
  <si>
    <t>13af1227-3dd1-4d4f-a9e9-53deb793c18f</t>
  </si>
  <si>
    <t>Application tests</t>
  </si>
  <si>
    <t>High coverage of security related module and integration tests</t>
  </si>
  <si>
    <t>67667c97-c33e-4306-a4e5-e7b1d8e10c5a</t>
  </si>
  <si>
    <t>Security integration tests for important components</t>
  </si>
  <si>
    <t>f57d55f2-dc05-4b34-9d1f-f8ce5bfb0715</t>
  </si>
  <si>
    <t>Security unit tests for important components</t>
  </si>
  <si>
    <t>eb2c7f9d-d0bd-4253-a2ba-cff2ace4a075</t>
  </si>
  <si>
    <t>Smoke Test</t>
  </si>
  <si>
    <t>73aaae0b-5d68-4953-9fa4-fd25bf665f2a</t>
  </si>
  <si>
    <t>Simple Scan</t>
  </si>
  <si>
    <t>07796811-37f9-467c-9ff2-48f346e77ff3</t>
  </si>
  <si>
    <t>Load tests</t>
  </si>
  <si>
    <t>ab5725aa-4d53-47b9-96df-c14b3fa93bcd</t>
  </si>
  <si>
    <t>Test for exposed services</t>
  </si>
  <si>
    <t>a6c4cefb-a0b7-4787-8cc7-a0f96b4b00d8</t>
  </si>
  <si>
    <t>Test for unused Resources</t>
  </si>
  <si>
    <t>6532c1fe-9d23-4228-8722-558ddabca7d4</t>
  </si>
  <si>
    <t>Test network segmentation</t>
  </si>
  <si>
    <t>6d2c3ac6-8afc-4af6-a5e9-6188341aca01</t>
  </si>
  <si>
    <t>Test the cloud configuration</t>
  </si>
  <si>
    <t>46d6a2a8-f9dc-4c15-9fc8-1723cfecbddc</t>
  </si>
  <si>
    <t>API design validation</t>
  </si>
  <si>
    <t>017d9e26-42b5-49a4-b945-9f59b308fb99</t>
  </si>
  <si>
    <t>Exclusion of source code duplicates</t>
  </si>
  <si>
    <t>d17dbff0-1f10-492a-b4c7-17bb59a0a711</t>
  </si>
  <si>
    <t>Test libyear</t>
  </si>
  <si>
    <t>87b54313-fafd-4860-930f-5ef132b3e4ad</t>
  </si>
  <si>
    <t>Usage of multiple analyzers</t>
  </si>
  <si>
    <t>297be001-8d94-41ee-ab29-207020d423c0</t>
  </si>
  <si>
    <t>Correlate known vulnerabilities in infrastructure with new image versions</t>
  </si>
  <si>
    <t>7de0ae33-6538-45cd-8222-a1475647ba58</t>
  </si>
  <si>
    <t>Creation and application of a testing concept</t>
  </si>
  <si>
    <t>79ef8103-e1ed-4055-8df8-fd2b2015bebe</t>
  </si>
  <si>
    <t>Deactivating of unneeded tests</t>
  </si>
  <si>
    <t>1bd78cdd-ef11-4bb5-9b58-5af2e25fe1c5</t>
  </si>
  <si>
    <t>Default settings for intensity</t>
  </si>
  <si>
    <t>ab0a4b51-3b18-43f1-a6fc-a98e4b28453d</t>
  </si>
  <si>
    <t>High test intensity</t>
  </si>
  <si>
    <t>2ebfc421-8c76-415c-a3b0-fa518915bd10</t>
  </si>
  <si>
    <t>Treatment of all defects</t>
  </si>
  <si>
    <t>b2f77606-3e6c-41e9-b72d-7c0b1d3d581d</t>
  </si>
  <si>
    <t>Treatment of defects with severity high or higher</t>
  </si>
  <si>
    <t>44f2c8a9-4aaa-4c72-942d-63f78b89f385</t>
  </si>
  <si>
    <t>Treatment of defects with severity middle</t>
  </si>
  <si>
    <t>9cac3341-fe83-4079-bef2-bfc4279eb594</t>
  </si>
  <si>
    <t>Exploit likelihood estimation</t>
  </si>
  <si>
    <t>f2f0f274-c1a0-4501-92fe-7fc4452bc8ad</t>
  </si>
  <si>
    <t>Software Composition Analysis (client side)</t>
  </si>
  <si>
    <t>07fe8c4f-ae33-4409-b1b2-cf64cfccea86</t>
  </si>
  <si>
    <t>Software Composition Analysis (server side)</t>
  </si>
  <si>
    <t>d918cd44-a972-43e9-a974-eff3f4a5dcfe</t>
  </si>
  <si>
    <t>Static analysis for all components/libraries</t>
  </si>
  <si>
    <t>f4ff841d-3b2a-45d9-853e-5ec7ecbcb054</t>
  </si>
  <si>
    <t>Static analysis for all self written components</t>
  </si>
  <si>
    <t>ee68331f-9b1d-4f61-844b-b2ea04753a84</t>
  </si>
  <si>
    <t>Static analysis for important client side components</t>
  </si>
  <si>
    <t>e237176b-bec5-447d-a926-e37d6dd60e4b</t>
  </si>
  <si>
    <t>Static analysis for important server side components</t>
  </si>
  <si>
    <t>6c05c837-8c99-46e2-828b-7c903e27dba4</t>
  </si>
  <si>
    <t>Stylistic analysis</t>
  </si>
  <si>
    <t>efa52cc8-6c5c-4ba2-a3d2-7164b0402f34</t>
  </si>
  <si>
    <t>Software Composition Analysis</t>
  </si>
  <si>
    <t>26e1c6d5-5632-4ec7-80d2-e564b98732ad</t>
  </si>
  <si>
    <t>Test for image lifetime</t>
  </si>
  <si>
    <t>ddfe7c3c-b7a4-4cba-9041-b044d4a34e5b</t>
  </si>
  <si>
    <t>Test for new image version</t>
  </si>
  <si>
    <t>cb6321aa-0fbf-4996-9e08-05ab26ef4c1e</t>
  </si>
  <si>
    <t>Test of infrastructure components for known vulnerabilities</t>
  </si>
  <si>
    <t>13367d8f-e37f-4197-a610-9ffca4fde261</t>
  </si>
  <si>
    <t>Test the definition of virtualized environments</t>
  </si>
  <si>
    <t>8fc3de67-7b8d-420b-8d24-f35928cfed6e</t>
  </si>
  <si>
    <t>Test for unauthorized installation</t>
  </si>
  <si>
    <t>dccf1949-b9a8-4ce8-b992-6a4a7f3a623a</t>
  </si>
  <si>
    <t>Test for malware</t>
  </si>
  <si>
    <t>837f8f90-adc2-4e6b-9ebb-60c2ee29494d</t>
  </si>
  <si>
    <t>Integration in development process</t>
  </si>
  <si>
    <t>aaffa73f-59f6-4267-b0ab-732f3d13e90d</t>
  </si>
  <si>
    <t>DAF</t>
  </si>
  <si>
    <t>Статус выполнения</t>
  </si>
  <si>
    <t>4</t>
  </si>
  <si>
    <t>83
91
56</t>
  </si>
  <si>
    <t>60
58
57</t>
  </si>
  <si>
    <t>60
59</t>
  </si>
  <si>
    <t>108
106
101</t>
  </si>
  <si>
    <t>7</t>
  </si>
  <si>
    <t>83
56</t>
  </si>
  <si>
    <t>57
58</t>
  </si>
  <si>
    <t>3</t>
  </si>
  <si>
    <t>57</t>
  </si>
  <si>
    <t>59
60</t>
  </si>
  <si>
    <t>79</t>
  </si>
  <si>
    <t>68</t>
  </si>
  <si>
    <t>65</t>
  </si>
  <si>
    <t>63</t>
  </si>
  <si>
    <t>175
176
174
161
173</t>
  </si>
  <si>
    <t>174
175
176</t>
  </si>
  <si>
    <t>173</t>
  </si>
  <si>
    <t>171
172
178</t>
  </si>
  <si>
    <t>161</t>
  </si>
  <si>
    <t>131</t>
  </si>
  <si>
    <t>152</t>
  </si>
  <si>
    <t>122
123</t>
  </si>
  <si>
    <t>123</t>
  </si>
  <si>
    <t>124</t>
  </si>
  <si>
    <t>122</t>
  </si>
  <si>
    <t>123
124</t>
  </si>
  <si>
    <t>137</t>
  </si>
  <si>
    <t>136</t>
  </si>
  <si>
    <t>127
149
150</t>
  </si>
  <si>
    <t>142
154
181
184</t>
  </si>
  <si>
    <t>86</t>
  </si>
  <si>
    <t>156</t>
  </si>
  <si>
    <t>154
142
181
184</t>
  </si>
  <si>
    <t>108</t>
  </si>
  <si>
    <t>101
108</t>
  </si>
  <si>
    <t>106</t>
  </si>
  <si>
    <t>36</t>
  </si>
  <si>
    <t>53</t>
  </si>
  <si>
    <t>51</t>
  </si>
  <si>
    <t>49</t>
  </si>
  <si>
    <t>27
40
30</t>
  </si>
  <si>
    <t>41</t>
  </si>
  <si>
    <t>28
29</t>
  </si>
  <si>
    <t>149
150</t>
  </si>
  <si>
    <t>151</t>
  </si>
  <si>
    <t>148</t>
  </si>
  <si>
    <t>135
168
133</t>
  </si>
  <si>
    <t>185
134</t>
  </si>
  <si>
    <t>167
169</t>
  </si>
  <si>
    <t>5.13.2</t>
  </si>
  <si>
    <t>5.5.2.3</t>
  </si>
  <si>
    <t>5.5.2.3,
5.5.2.5</t>
  </si>
  <si>
    <t xml:space="preserve"> 5.13.2.7</t>
  </si>
  <si>
    <t>5.17.2.4
5.17.2.5</t>
  </si>
  <si>
    <t>5.17.2.2
5.17.2.5</t>
  </si>
  <si>
    <t xml:space="preserve">5.24.2.3 </t>
  </si>
  <si>
    <t>5.16.2.5</t>
  </si>
  <si>
    <t>5.19.2.4</t>
  </si>
  <si>
    <t>5.19.2.4,
5.24.2.3</t>
  </si>
  <si>
    <t>5.11.2.7,
5.24.2.3</t>
  </si>
  <si>
    <t>5.3.2</t>
  </si>
  <si>
    <t>5.5.2.3,
5.10.2.6,
5.11.2.6,
5.11.2.9,
5.16.2.5,
5.18.2.5</t>
  </si>
  <si>
    <t>5.20.2.2</t>
  </si>
  <si>
    <t>Предполагаемый базовый перечень и состав документов</t>
  </si>
  <si>
    <t>Предполагаемый базовый перечень и состав документов согласно ГОСТ 56939-2024</t>
  </si>
  <si>
    <t>Необходимые документы</t>
  </si>
  <si>
    <t>Документ должен содержать:</t>
  </si>
  <si>
    <t>Наименование процесса БРПО</t>
  </si>
  <si>
    <t>План развития процессов разработки безопасного ПО</t>
  </si>
  <si>
    <t>порядок (очередность) внедрения процессов разработки безопасного ПО с учетом приоритетов разработчика и имеющихся ресурсов</t>
  </si>
  <si>
    <t>Планирование процессов разработки безопасного программного обеспечения</t>
  </si>
  <si>
    <t>планируемые изменения в организационно-штатной структуре разработчика</t>
  </si>
  <si>
    <t>планируемые закупки необходимых инструментов</t>
  </si>
  <si>
    <t xml:space="preserve">затраты на обучение </t>
  </si>
  <si>
    <t>План реализации процессов разработки безопасного ПО</t>
  </si>
  <si>
    <t>цели, сроки и этапы внедрения процессов разработки безопасного ПО</t>
  </si>
  <si>
    <t>перечень необходимых ресурсов</t>
  </si>
  <si>
    <t>информацию об ответственных за внедрение процессов сотрудниках</t>
  </si>
  <si>
    <t xml:space="preserve">Описание области применения процессов разработки безопасного ПО </t>
  </si>
  <si>
    <t>состав ПО (версии, модули, компоненты, функциональные подсистемы и т. п.),</t>
  </si>
  <si>
    <t>План обучения</t>
  </si>
  <si>
    <t>список сотрудников, направляемых на обучение;</t>
  </si>
  <si>
    <t>Обучение сотрудников</t>
  </si>
  <si>
    <t>сроки прохождения обучения</t>
  </si>
  <si>
    <t>ожидаемый результат обучения</t>
  </si>
  <si>
    <t xml:space="preserve">Регламент управления требованиями безопасности ПО </t>
  </si>
  <si>
    <t>порядок предъявления требований безопасности ПО</t>
  </si>
  <si>
    <t>Формирование и предъявление требований безопасности к программному обеспечению</t>
  </si>
  <si>
    <t>порядок предоставления требований безопасности ПО исполнителям</t>
  </si>
  <si>
    <t>порядок отслеживания процесса предоставления, получения и выполнения требований безопасности ПО</t>
  </si>
  <si>
    <t>критерии пересмотра требований безопасности ПО</t>
  </si>
  <si>
    <t xml:space="preserve">Набор требований безопасности ПО </t>
  </si>
  <si>
    <t>идентификатор требования безопасности ПО</t>
  </si>
  <si>
    <t>формулировку требования безопасности ПО</t>
  </si>
  <si>
    <t>дату предъявления требований безопасности ПО</t>
  </si>
  <si>
    <t>приоритет/важность требования безопасности ПО</t>
  </si>
  <si>
    <t>предполагаемые сроки реализации</t>
  </si>
  <si>
    <t>сведения о сотрудниках (подразделениях), предъявивших требования;</t>
  </si>
  <si>
    <t>сведения о сотрудниках (подразделениях), принявших требования к реализации.</t>
  </si>
  <si>
    <t xml:space="preserve">Регламент управления конфигурацией ПО </t>
  </si>
  <si>
    <t>Управление конфигурацией программного обеспечения</t>
  </si>
  <si>
    <t>порядок идентификации ПО (версий ПО, модулей ПО), документации для отслеживаемых элементов</t>
  </si>
  <si>
    <t>Перечень элементов конфигурации, подлежащих отслеживанию в рамках управления конфигурацией ПО</t>
  </si>
  <si>
    <t xml:space="preserve">Регламент управления недостатками ПО </t>
  </si>
  <si>
    <t>порядок идентификации недостатков ПО</t>
  </si>
  <si>
    <t>Управление недостатками и запросами на изменение программного обеспечения</t>
  </si>
  <si>
    <t>порядок управления недостатками ПО, включающий сведения о действиях, выполняемых при выявлении, устранении, тестировании, принятии решения об окончании работы с недостатком (закрытии недостатка)</t>
  </si>
  <si>
    <t>Регламент управления запросами на изменение ПО</t>
  </si>
  <si>
    <t>порядок идентификации запросов на изменение ПО</t>
  </si>
  <si>
    <t>порядок управления запросами на изменение ПО, включающий сведения о действиях, выполняемых при осуществлении запроса на изменение, тестировании, принятии решения о закрытии запроса на изменение</t>
  </si>
  <si>
    <t>Требования к принципам проектирования архитектуры ПО</t>
  </si>
  <si>
    <t>информацию, позволяющую на начальном этапе проектирования ПО получить представление о принятых подходах и принципах проектирования архитектуры ПО, в том числе с точки зрения безопасности</t>
  </si>
  <si>
    <t>Разработка, уточнение и анализ архитектуры программного обеспечения</t>
  </si>
  <si>
    <t xml:space="preserve">Описание архитектуры ПО </t>
  </si>
  <si>
    <t>назначение ПО и сценарии его использования;</t>
  </si>
  <si>
    <t>описание среды функционирования</t>
  </si>
  <si>
    <t>ограничения и указания по применению;</t>
  </si>
  <si>
    <t>проект ПО на уровне подсистем (модулей), включающий описание их назначения, структуры, особенностей реализации, применяемых языков программирования, взаимодействия друг с другом и другим ПО с указанием соответствующих интерфейсов, сетевых портов, протоколов.</t>
  </si>
  <si>
    <t>Критерии необходимости уточнения архитектуры ПО</t>
  </si>
  <si>
    <t>информацию о периодичности пересмотра (уточнения) архитектуры ПО в процессе разработки ПО или о событиях, при наступлении которых необходимо уточнять архитектуру ПО</t>
  </si>
  <si>
    <t>Модель угроз</t>
  </si>
  <si>
    <t>совокупность угроз безопасности, актуальных для разрабатываемого ПО.</t>
  </si>
  <si>
    <t>Моделирование угроз и разработка описания поверхности атаки</t>
  </si>
  <si>
    <t>Перечень мер по нейтрализации (снижению вероятности возникновения) угроз безопасности информации</t>
  </si>
  <si>
    <t>перечень необходимых действий (доработок ПО, иных мер), который должен быть приоритизирован с точки зрения критичности возможного ущерба от реализации угроз безопасности информации.</t>
  </si>
  <si>
    <t>Регламент оформления исходного кода и безопасного кодирования</t>
  </si>
  <si>
    <t>информацию о способах оформления исходного кода</t>
  </si>
  <si>
    <t>Формирование и поддержание в актуальном состоянии правил кодирования</t>
  </si>
  <si>
    <t>примеры опасных и безопасных конструкций для используемых языков программирования</t>
  </si>
  <si>
    <t>область применения правил кодирования</t>
  </si>
  <si>
    <t>порядок проверки выполнения правил кодирования для вносимых изменений в исходный код ПО</t>
  </si>
  <si>
    <t>рекомендации разработчиков языков программирования по использованию стандартов кодирования (языков программирования, в том числе собственной разработки), принятые разработчиком ПО</t>
  </si>
  <si>
    <t xml:space="preserve">Регламент проведения экспертизы исходного кода ПО </t>
  </si>
  <si>
    <t>обязанности сотрудников и их роли при проведении экспертизы исходного кода ПО;</t>
  </si>
  <si>
    <t>Экспертиза исходного кода</t>
  </si>
  <si>
    <t>базовые требования к экспертизе (количество участников; области кода, подлежащего экспертизе; используемые инструменты и т. д.)</t>
  </si>
  <si>
    <t>описание основных проверок (например, сценариев, шаблонов, чек-листов) проведения экспертизы исходного кода ПО</t>
  </si>
  <si>
    <t>Регламент проведения статического анализа исходного кода ПО</t>
  </si>
  <si>
    <t>обязанности сотрудников и их роли при проведении статического анализа</t>
  </si>
  <si>
    <t>Статический анализ исходного код</t>
  </si>
  <si>
    <t>критерии выбора инструментов статического анализа</t>
  </si>
  <si>
    <t>критерии выбора ПО (модулей ПО, компонентов ПО, функциональных подсистем ПО), подлежащих проведению статического анализа</t>
  </si>
  <si>
    <t>правила обработки срабатываний средств статического анализа</t>
  </si>
  <si>
    <t>типы и критичность ошибок (уязвимостей), выявляемых статическим анализатором, подлежащих устранению, и приоритеты устранения ошибок (уязвимостей)</t>
  </si>
  <si>
    <t>периодичность проведения статического анализа или события, при наступлении которых необходимо выполнять повторный статический анализ</t>
  </si>
  <si>
    <t>критерии пересмотра конфигурации и параметров настройки инструментов статического анализа</t>
  </si>
  <si>
    <t xml:space="preserve">Регламент проведения динамического анализа кода ПО </t>
  </si>
  <si>
    <t>обязанности сотрудников и их роли при проведении динамического анализа и фаззинг тестирования</t>
  </si>
  <si>
    <t>Динамический анализ кода программы</t>
  </si>
  <si>
    <t>критерии выбора инструментов динамического анализа, включая инструменты проведения фаззинг-тестирования</t>
  </si>
  <si>
    <t>критерии выбора методов и способов динамического анализа</t>
  </si>
  <si>
    <t>критерии выбора модулей (компонентов) ПО, которые необходимо подвергнуть динамическому анализу, включая фаззинг-тестирование</t>
  </si>
  <si>
    <t>процедуры устранения найденных средствами динамического анализа ошибок</t>
  </si>
  <si>
    <t>периодичность проведения динамического анализа или события, при наступлении которых необходимо выполнять повторный динамический анализ (критерии проведения повторного динамического анализа)</t>
  </si>
  <si>
    <t>периодичность проведения фаззинг-тестирования и критерии его завершения</t>
  </si>
  <si>
    <t>Перечень инструментов динамического анализа, включая инструменты проведения фаззинг-тестирования</t>
  </si>
  <si>
    <t>наименования инструментов динамического анализа, их версии и их соответствие исследуемым модулям (компонентам) ПО</t>
  </si>
  <si>
    <t>Регламент использования системы безопасной сборки ПО</t>
  </si>
  <si>
    <t>обязанности сотрудников и их роли при выполнении сборки ПО</t>
  </si>
  <si>
    <t>Использование безопасной системы сборки программного обеспечения</t>
  </si>
  <si>
    <t>критерии выбора инструментов сборки ПО</t>
  </si>
  <si>
    <t>критерии приемки результатов сборки</t>
  </si>
  <si>
    <t>порядок регистрации событий, генерируемых инструментами сборки ПО</t>
  </si>
  <si>
    <t>Регламент обеспечения безопасности сборочной среды</t>
  </si>
  <si>
    <t>обязанности сотрудников и их роли при проведении сборок ПО</t>
  </si>
  <si>
    <t>Обеспечение безопасности сборочной среды программного обеспечения</t>
  </si>
  <si>
    <t>порядок регистрации событий безопасности при реализации сборок ПО в журналах аудита</t>
  </si>
  <si>
    <t>сроки хранения журналов аудита</t>
  </si>
  <si>
    <t>описание мер безопасности, необходимых для реализации в сборочной среде</t>
  </si>
  <si>
    <t>Информация о безопасности сборочной среды</t>
  </si>
  <si>
    <t>описание ожидаемых результатов сборки ПО</t>
  </si>
  <si>
    <t>описание прав доступа к сборочной среде и хранилищу результатов сборки ПО, а также ролей пользователей, участвующих в процессе сборки ПО</t>
  </si>
  <si>
    <t xml:space="preserve">Регламент доступа к исходному коду ПО и обеспечения его целостности </t>
  </si>
  <si>
    <t>обязанности сотрудников, их права и роли при разработке ПО</t>
  </si>
  <si>
    <t>Управление доступом и контроль целостности кода при разработке программного обеспечения</t>
  </si>
  <si>
    <t>правила хранения исходного кода ПО, включая правила резервного копирования исходного кода ПО</t>
  </si>
  <si>
    <t>правила внесения изменений (модификации, добавления, удаления) в исходный код ПО</t>
  </si>
  <si>
    <t>критерии выбора способов и инструментов контроля целостности ПО</t>
  </si>
  <si>
    <t>критерии выбора модулей (компонентов) ПО, подлежащих контролю целостности;</t>
  </si>
  <si>
    <t>описание процедуры контроля целостности исходного кода ПО.</t>
  </si>
  <si>
    <t>Описание модели управления доступом к исходному коду ПО</t>
  </si>
  <si>
    <t>перечень сотрудников, их права и обязанности при разработке ПО</t>
  </si>
  <si>
    <t>описание выбранной модели управления доступом и используемых инструментов управления доступом</t>
  </si>
  <si>
    <t>Регламент использования секретов</t>
  </si>
  <si>
    <t>обязанности сотрудников и их роли при использовании секретов</t>
  </si>
  <si>
    <t>Обеспечение безопасности используемых секретов</t>
  </si>
  <si>
    <t>основные принципы использования секретов</t>
  </si>
  <si>
    <t>зоны ответственности подразделений и сотрудников в части использования секретов</t>
  </si>
  <si>
    <t>порядок предоставления доступа к секретам</t>
  </si>
  <si>
    <t>типы секретов, сроки их эксплуатации, действия при компрометации</t>
  </si>
  <si>
    <t>порядок формирования и хранения секретов</t>
  </si>
  <si>
    <t>порядок ротации секретов</t>
  </si>
  <si>
    <t>требования к системам хранения секретов.</t>
  </si>
  <si>
    <t>Описание реализации процедуры использования секретов</t>
  </si>
  <si>
    <t>порядок подписи исполняемого кода ПО</t>
  </si>
  <si>
    <t>порядок подписи исходного кода</t>
  </si>
  <si>
    <t xml:space="preserve">Регламент композиционного анализа </t>
  </si>
  <si>
    <t>обязанности сотрудников и их роли при проведении композиционного анализа</t>
  </si>
  <si>
    <t>Использование инструментов композиционного анализ</t>
  </si>
  <si>
    <t>правила отслеживания уязвимостей для заимствованных компонентов, участвующих в сборке ПО</t>
  </si>
  <si>
    <t>правила проведения анализа заимствованных компонентов на предмет наличия известных уязвимостей</t>
  </si>
  <si>
    <t>правила принятия компенсирующих и защитных мер по противодействию выявленным угрозам безопасности в цепочке поставки сторонних компонентов</t>
  </si>
  <si>
    <t>периодичность проведения композиционного анализа в соответствии с установленными практиками сборки ПО</t>
  </si>
  <si>
    <t>Перечень зависимостей ПО</t>
  </si>
  <si>
    <t>перечень модулей (компонентов) заимствованного ПО с указанием их версий;</t>
  </si>
  <si>
    <t>источник (поставщик) модулей (компонентов) заимствованного ПО</t>
  </si>
  <si>
    <t>Перечень процессов, компонентов инфраструктуры, частей разрабатываемого ПО, зависящих от сторонних поставщиков</t>
  </si>
  <si>
    <t>описание внутренних процессов, зависящих от сторонних поставщиков</t>
  </si>
  <si>
    <t>Проверка кода на предмет внедрения вредоносного программного обеспечения
через цепочки поставок</t>
  </si>
  <si>
    <t>описание компонентов инфраструктуры разработки ПО, зависящих от сторонних поставщиков;</t>
  </si>
  <si>
    <t>описание компонентов, являющихся частью разрабатываемого ПО, которые поставляются или заимствуются от сторонних поставщиков</t>
  </si>
  <si>
    <t xml:space="preserve">Сведения о договорных обязательствах со сторонними поставщиками </t>
  </si>
  <si>
    <t>перечень поставщиков с указанием поставляемых продуктов (услуг);</t>
  </si>
  <si>
    <t>сведения о заключенных договорах со сторонними поставщиками, включающие информацию о поставляемых продуктах (услугах), сроках начала и окончания договоров, иную информацию.</t>
  </si>
  <si>
    <t>перечень элементов инфраструктуры разработчика, воздействие на которые может повлиять на возникновение недекларированных возможностей в ПО</t>
  </si>
  <si>
    <t>информацию о поставщиках продуктов (услуг) для указанных в перечне элементов инфраструктуры разработчика</t>
  </si>
  <si>
    <t>План функционального тестирования</t>
  </si>
  <si>
    <t>обязанности сотрудников и их роли при проведении функционального тестирования;</t>
  </si>
  <si>
    <t>описание тестового стенда (тестовой среды)</t>
  </si>
  <si>
    <t>описание сценариев тестирования для каждой функциональной возможности ПО, включающее формулировку функциональных требований, выполняемые действия по оценке, ожидаемые результа ты тестирования и критерии успешного прохождения проверок;</t>
  </si>
  <si>
    <t>критерии выполнения повторного тестирования</t>
  </si>
  <si>
    <t>критерии завершения и остановки тестирования.</t>
  </si>
  <si>
    <t xml:space="preserve">Журналы функционального тестирования </t>
  </si>
  <si>
    <t>дату и время выполнения тестовых операций (запуск и завершение сценария тестирования)</t>
  </si>
  <si>
    <t>результат выполнения сценария тестирования;</t>
  </si>
  <si>
    <t>возникновение любых сбоев и ошибок</t>
  </si>
  <si>
    <t xml:space="preserve">Регламент нефункционального тестирования </t>
  </si>
  <si>
    <t>критерии выбора версий ПО (модулей ПО, компонентов ПО), подлежащих нефункциональному тестированию, и определения периодичности тестирования</t>
  </si>
  <si>
    <t>Нефункциональное тестирование</t>
  </si>
  <si>
    <t>перечень используемых для нефункционального тестирования методов и средств</t>
  </si>
  <si>
    <t>обязанности сотрудников и их роли при проведении нефункционального тестирования</t>
  </si>
  <si>
    <t>описание типовых сценариев тестирования</t>
  </si>
  <si>
    <t>описание возможностей и мотивации потенциального нарушителя в соответствии с результатами моделирования угроз разрабатываемого ПО</t>
  </si>
  <si>
    <t>описание типовых сценариев проведения компьютерных атак для основных сценариев работы ПО (модулей ПО, компонентов ПО).</t>
  </si>
  <si>
    <t>Регламент приемки ПО</t>
  </si>
  <si>
    <t>обязанности сотрудников и их роли при проведении приемки ПО</t>
  </si>
  <si>
    <t>Обеспечение безопасности при выпуске готовой к эксплуатации версии программного обеспечения</t>
  </si>
  <si>
    <t>описание типовых сценариев приемки ПО перед предоставлением его пользователям</t>
  </si>
  <si>
    <t>Регламент обеспечения целостности ПО, передаваемого пользователям</t>
  </si>
  <si>
    <t>перечень мер, реализуемых разработчиком ПО с целью обеспечения возможности проверки целостности ПО пользователями</t>
  </si>
  <si>
    <t>порядок применения мер по обеспечению возможности проверки целостности ПО пользователями</t>
  </si>
  <si>
    <t>порядок информирования пользователей ПО о механизмах проверки целостности ПО</t>
  </si>
  <si>
    <t>Регламент безопасной поставки ПО пользователям</t>
  </si>
  <si>
    <t>обязанности сотрудников и их роли при осуществлении безопасной доставки ПО</t>
  </si>
  <si>
    <t>Безопасная поставка программного обеспечения пользователям</t>
  </si>
  <si>
    <t>процедуры хранения копий версий поставляемого пользователям ПО</t>
  </si>
  <si>
    <t>процедуры снятия копий (тиражирования) поставляемого пользователям ПО</t>
  </si>
  <si>
    <t>процедуры поставки ПО (обновлений ПО, включая обновления безопасности, предназначенных для устранения недостатков, в том числе уязвимостей);</t>
  </si>
  <si>
    <t>процедуры проверки подлинности ПО (обновлений ПО) пользователем.</t>
  </si>
  <si>
    <t>Сведения о версии поставляемого пользователям ПО</t>
  </si>
  <si>
    <t>Сведения о поставляемой эксплуатационной документации на ПО</t>
  </si>
  <si>
    <t>Регламент технической поддержки</t>
  </si>
  <si>
    <t>обязанности сотрудников и их роли при оказании технической поддержки</t>
  </si>
  <si>
    <t>Обеспечение поддержки программного обеспечения при эксплуатации пользователями</t>
  </si>
  <si>
    <t>описание организации службы технической поддержки: режим работы, сроки оказания услуг по технической поддержке пользователей, иная информация об организации службы технической поддержки</t>
  </si>
  <si>
    <t>используемые инструменты</t>
  </si>
  <si>
    <t>описание процедур оповещения пользователей о выпуске обновлений (включая обновления безопасности) и необходимости их установки</t>
  </si>
  <si>
    <t>описание процедур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t>
  </si>
  <si>
    <t>информацию об обучении сотрудников службы технической поддержки</t>
  </si>
  <si>
    <t xml:space="preserve">Регламент реагирования на информацию об уязвимостях </t>
  </si>
  <si>
    <t>обязанности сотрудников и их роли при реагировании на информацию об уязвимостях ПО</t>
  </si>
  <si>
    <t>Реагирование на информацию об уязвимостях</t>
  </si>
  <si>
    <t>правила реагирования на информацию об уязвимостях</t>
  </si>
  <si>
    <t>правила оценки актуальности и критичности уязвимости с точки зрения безопасности ПО</t>
  </si>
  <si>
    <t>периодичность проведения поиска известных (подтвержденных) уязвимостей в общедоступных источниках информации об уязвимостях ПО</t>
  </si>
  <si>
    <t>Регламент поиска ошибок и уязвимостей в эксплуатирующемся ПО</t>
  </si>
  <si>
    <t>обязанности сотрудников и их роли при поиске ошибок и уязвимостей в эксплуатирующемся ПО</t>
  </si>
  <si>
    <t>Поиск уязвимостей в программном обеспечении при эксплуатации</t>
  </si>
  <si>
    <t>правила поиска известных (подтвержденных) уязвимостей в общедоступных источниках информации об уязвимостях ПО, его программных компонентов и сред его функционирования</t>
  </si>
  <si>
    <t>состав проводимых проверок и периодичность их проведения на протяжении всего срока действия технической поддержки ПО для каждой версии ПО</t>
  </si>
  <si>
    <t>Регламент вывода ПО из эксплуатации</t>
  </si>
  <si>
    <t>описание условий, при которых ПО (версию ПО) необходимо выводить из эксплуатации</t>
  </si>
  <si>
    <t>Обеспечение безопасности при выводе программного обеспечения из эксплуатации</t>
  </si>
  <si>
    <t>обязанности сотрудников и их роли при осуществлении вывода ПО из эксплуатации ПО</t>
  </si>
  <si>
    <t>порядок оповещения пользователей о планах прекращения технической поддержки ПО (версии ПО)</t>
  </si>
  <si>
    <t>Существует и согласована дорожная карта развития DevSecOps</t>
  </si>
  <si>
    <t>Постоянный пересмотр и актуализация дорожной карты DevSecOps с учетом бизнес-целей организации и внешних факторов</t>
  </si>
  <si>
    <t>P-ROLE-RESP-2-4</t>
  </si>
  <si>
    <t>P-REQ-RD-4</t>
  </si>
  <si>
    <t xml:space="preserve">Формирование Регламента приемки заказной разработки и настройка инструментов анализа SBOM </t>
  </si>
  <si>
    <t>Внедрить инструмент анализа dockerfile'ов</t>
  </si>
  <si>
    <t>Назначение ответственных за БЗ и регламентация процессов управления БЗ</t>
  </si>
  <si>
    <t>Разработка стандарта</t>
  </si>
  <si>
    <t>Разработка регламента с разграничением ролей</t>
  </si>
  <si>
    <t>T-CODE-IMG-4-2</t>
  </si>
  <si>
    <t>T-ADI-ART-4-2</t>
  </si>
  <si>
    <t>T-ADI-ART-4-3</t>
  </si>
  <si>
    <t>T-ADI-ART-4-4</t>
  </si>
  <si>
    <t>Уровни зрелости. Расположение групп практик</t>
  </si>
  <si>
    <t>Уровни зрелости. Процент выполнения групп практик и соответствие уровням зрелости Кирилламиды</t>
  </si>
  <si>
    <t>% соответствия уровню зрелости по Кирилламиде</t>
  </si>
  <si>
    <t>Уровни Кирилламиды</t>
  </si>
  <si>
    <t>Хаос</t>
  </si>
  <si>
    <t>Минимальный</t>
  </si>
  <si>
    <t>Базовый</t>
  </si>
  <si>
    <t>Повышенный</t>
  </si>
  <si>
    <t>Продвинутый</t>
  </si>
  <si>
    <t>Развитый</t>
  </si>
  <si>
    <t>Экспертный</t>
  </si>
  <si>
    <t>Космический</t>
  </si>
  <si>
    <r>
      <t xml:space="preserve">% выполнения </t>
    </r>
    <r>
      <rPr>
        <b/>
        <u/>
        <sz val="14"/>
        <color theme="1"/>
        <rFont val="Calibri"/>
        <family val="2"/>
        <charset val="204"/>
        <scheme val="minor"/>
      </rPr>
      <t>всех практик кажого ПОДдомена</t>
    </r>
    <r>
      <rPr>
        <b/>
        <sz val="14"/>
        <color theme="1"/>
        <rFont val="Calibri"/>
        <family val="2"/>
        <charset val="204"/>
        <scheme val="minor"/>
      </rPr>
      <t xml:space="preserve"> DAF</t>
    </r>
  </si>
  <si>
    <t>Is your full build process formally described?</t>
  </si>
  <si>
    <r>
      <t xml:space="preserve">% выполнения </t>
    </r>
    <r>
      <rPr>
        <b/>
        <u/>
        <sz val="14"/>
        <color theme="1"/>
        <rFont val="Calibri"/>
        <family val="2"/>
        <scheme val="minor"/>
      </rPr>
      <t>всех практик кажого домена</t>
    </r>
    <r>
      <rPr>
        <b/>
        <sz val="14"/>
        <color theme="1"/>
        <rFont val="Calibri"/>
        <family val="2"/>
        <scheme val="minor"/>
      </rPr>
      <t xml:space="preserve"> DAF</t>
    </r>
  </si>
  <si>
    <r>
      <t xml:space="preserve">% выполнения </t>
    </r>
    <r>
      <rPr>
        <b/>
        <u/>
        <sz val="14"/>
        <color theme="1"/>
        <rFont val="Calibri"/>
        <family val="2"/>
        <scheme val="minor"/>
      </rPr>
      <t>всех практик всего</t>
    </r>
    <r>
      <rPr>
        <b/>
        <sz val="14"/>
        <color theme="1"/>
        <rFont val="Calibri"/>
        <family val="2"/>
        <scheme val="minor"/>
      </rPr>
      <t xml:space="preserve"> DAF</t>
    </r>
  </si>
  <si>
    <t xml:space="preserve">Итоговый уровень зрелости Компании (из 7 возможных) по DAF </t>
  </si>
  <si>
    <t>Порог выполнения ("прохождения") уровня каждого уровня DAF</t>
  </si>
  <si>
    <t>При наличии в коде секретов commit'ы  блокируются по договоренности между ИБ и разработчиками</t>
  </si>
  <si>
    <t>Используются инструменты авто-валидации секретов</t>
  </si>
  <si>
    <t>Hardcoded секреты отсутствуют (при этом выполняется поиск секретов различными инструментами и за продолжительное время (например, полгода) не выявлен ни один hardcoded секрет)</t>
  </si>
  <si>
    <t>ПЗ ЦБ</t>
  </si>
  <si>
    <t>7.4.2.1</t>
  </si>
  <si>
    <t>7.4.2.1,
7.4.3.7 Табл. 5 - Анализ кода, компонентов на соответствие ИБ</t>
  </si>
  <si>
    <t>7.4.3.6 Табл. 4 - Проверка соответствия требованиям ИБ стороннего программного обеспечения</t>
  </si>
  <si>
    <t>7.4.3.7 Табл. 5 - Анализ кода, компонентов на соответствие ИБ</t>
  </si>
  <si>
    <t>7.4.3.7 Табл. 5 - Анализ коммерческих и открытых программных модулей на наличие уязвимостей</t>
  </si>
  <si>
    <t>7.4.3.3</t>
  </si>
  <si>
    <t>7.4.3.7 Табл. 5 - Обеспечение контроля целостности всего программного кода и размещение доступных механизмов для контроля в соответствующих средах</t>
  </si>
  <si>
    <t>7.4.3.2</t>
  </si>
  <si>
    <t>7.4.3.2,
7.4.3.3</t>
  </si>
  <si>
    <t>7.4.2.1,
7.4.3.7</t>
  </si>
  <si>
    <t>7.4.3.6 Табл. 4 Проверка соответствия требованиям ИБ стороннего программного обеспечения</t>
  </si>
  <si>
    <t>7.4.3.8 Табл. 6 Проведение тестов по безопасности ОО</t>
  </si>
  <si>
    <t>7.4.2.1,
7.4.3.7 Табл. 5 - Анализ коммерческих и открытых программных модулей на наличие уязвимостей</t>
  </si>
  <si>
    <t>7.4.3.6 Табл. 4 Проверка соответствия требованиям ИБ стороннего программного обеспечения,
7.4.3.7 Табл. 5 - Обеспечение контроля целостности всего программного кода и размещение доступных механизмов для контроля в соответствующих средах</t>
  </si>
  <si>
    <t>7.4.3.7 Табл. 5 - Статический анализ кода на уязвимости ИБ</t>
  </si>
  <si>
    <t>7.4.3.7 Табл. 5 - Статический анализ кода на уязвимости ИБ перед фиксацией изменений в исходном коде</t>
  </si>
  <si>
    <t>7.4.3.7 Табл. 5 - Проведение контролей ИБ</t>
  </si>
  <si>
    <t>7.4.3.8 Табл. 6 - Динамическое тестирование защищенности ОО</t>
  </si>
  <si>
    <t>7.4.3.8 Табл. 6 - Динамическое тестирование защищенности ОО,
7.4.3.8 Табл. 6 - Проведение автоматизированного тестирования безопасности</t>
  </si>
  <si>
    <t>7.4.3.8 Табл. 6 - Динамическое тестирование защищенности ОО,
7.4.3.8 Табл. 6 - Фаззинг-тестирование</t>
  </si>
  <si>
    <t>7.4.2.1,
7.4.3.8 Табл. 6 Определение требований к проведению тестов ИБ и подготовка плана тестирования,
7.4.3.8 Табл. 6 Проведение тестов по безопасности ОО</t>
  </si>
  <si>
    <t>7.4.3.8 Табл. 6 Функциональное тестирование ФБО</t>
  </si>
  <si>
    <t>7.4.2.1,
7.4.3.8 Табл. 6 Определение требований к проведению тестов ИБ и подготовка плана тестирования,
7.4.3.8 Табл. 6 Функциональное тестирование ФБО</t>
  </si>
  <si>
    <t>7.4.3.8 Табл. 6 - Проведение автоматизированного тестирования безопасности</t>
  </si>
  <si>
    <t>7.4.2.1,
7.4.3.3</t>
  </si>
  <si>
    <t>7.4.3.10 Табл. 8 Тестирование на проникновение</t>
  </si>
  <si>
    <t>7.4.2.1,
7.4.3.10 Табл. 8 Тестирование на проникновение</t>
  </si>
  <si>
    <t>7.4.3.10 Табл. 8 Периодический пересмотр, анализ и тестирование кода ОО для выявления ранее не обнаруженных уязвимостей</t>
  </si>
  <si>
    <t>7.4.2.1,
7.4.3.10 Табл. 8 Мониторинг ОО на наличие уязвимостей</t>
  </si>
  <si>
    <t>7.4.3.10 Табл. 8 Мониторинг ОО на наличие уязвимостей</t>
  </si>
  <si>
    <t>7.4.3.10 Табл. 8 Тестирование на проникновение
7.4.3.10 Табл. 8 Мониторинг ОО на наличие уязвимостей</t>
  </si>
  <si>
    <t>7.4.3.4</t>
  </si>
  <si>
    <t>7.4.2.1,
7.4.3.4</t>
  </si>
  <si>
    <t>7.4.3.5 Табл. 3 Анализ рисков нарушения информационной безопасности</t>
  </si>
  <si>
    <t>7.4.3.5 Табл. 3 Определение требований ИБ к ОО</t>
  </si>
  <si>
    <t>7.4.3.5 Табл. 3 Заключение по ИБ</t>
  </si>
  <si>
    <t>7.4.3.5 Табл. 3 Требования ИБ и меры для минимизации рисков,
7.4.3.6 Табл. 4 Уточнение используемого при разработке ОО проектного решения, уточнение проекта архитектуры программы и доработка соответствующих требований по безопасности, предъявляемых к ПО</t>
  </si>
  <si>
    <t>7.4.3.6 Табл. 4 Разработка и выбор архитектурных и проектных решений по информационной безопасности в соответствии с требованиями к ОО</t>
  </si>
  <si>
    <t>7.4.3.6 Табл. 4 Анализ проектных и архитектурных решений на соответствие требованиям ИБ. Контроль реализации требований по ИБ на уровне разрабатываемых решений</t>
  </si>
  <si>
    <t>7.4.3.9 Табл. 7 Проверка соответствия выполнения требований ИБ проектной и эксплуатационной документации</t>
  </si>
  <si>
    <t>7.4.3.8 Табл. 6 Функциональное тестирование  ФБО,
7.4.3.8 Табл. 6 Проведение тестов по безопасности</t>
  </si>
  <si>
    <t>7.4.3.7 Табл. 5 Проведение контролей ИБ,
7.4.3.8 Табл. 6 Проведение контролей ИБ (security controls)</t>
  </si>
  <si>
    <t>7.4.3.5 Табл. 3 Заключение по ИБ,
7.4.3.6 Табл. 4 Анализ проектных и архитектурных решений на соответствие требованиям ИБ. Контроль реализации требований по ИБ на уровне разрабатываемых решений</t>
  </si>
  <si>
    <t>7.4.3.10 Табл. 8 Тестирование безопасности системы управления конфигурациями</t>
  </si>
  <si>
    <t>5.1</t>
  </si>
  <si>
    <t>5.1.1</t>
  </si>
  <si>
    <t>Цели</t>
  </si>
  <si>
    <t>5.1.1.1</t>
  </si>
  <si>
    <t>Обеспечение потребностей в ресурсах, необходимых для реализации процессов разработки безопасного ПО.</t>
  </si>
  <si>
    <t>5.1.1.2</t>
  </si>
  <si>
    <t>Подготовка и планирование внедрения и улучшения процессов разработки безопасного ПО.</t>
  </si>
  <si>
    <t>5.1.1.3</t>
  </si>
  <si>
    <t>Определение области применения процессов разработки безопасного ПО.</t>
  </si>
  <si>
    <t>5.1.2</t>
  </si>
  <si>
    <t>Требования к реализации</t>
  </si>
  <si>
    <t>Выполнять периодический анализ текущего статуса реализации процессов разработки безопасного ПО.</t>
  </si>
  <si>
    <t>Выполнять периодический анализ потребностей в ресурсах, необходимых для реализации процессов разработки безопасного ПО.</t>
  </si>
  <si>
    <t>5.1.2.3</t>
  </si>
  <si>
    <t>Разрабатывать план развития процессов разработки безопасного ПО. Артефакты реализации требований, учитываемые при выполнении требования, представлены в 5.1.3.1, 5.1.3.2.</t>
  </si>
  <si>
    <t>5.1.2.4</t>
  </si>
  <si>
    <t>Разрабатывать план реализации процессов разработки безопасного ПО. Артефакты реализации требований, учитываемые при выполнении требования, представлены в 5.1.3.1, 5.1.3.2.</t>
  </si>
  <si>
    <t>5.1.2.5</t>
  </si>
  <si>
    <t>Определять область применения процессов разработки безопасного ПО.</t>
  </si>
  <si>
    <t>5.1.3</t>
  </si>
  <si>
    <t>Артефакты реализации требований</t>
  </si>
  <si>
    <t>5.1.3.1</t>
  </si>
  <si>
    <t>Результаты анализа текущего статуса реализации процессов разработки безопасного ПО должны содержать следующие сведения:
- перечень процессов разработки безопасного ПО, реализованных и не реализованных разработчиком;
- результаты определения достаточности и соответствия процессов разработки безопасного ПО, реализованных разработчиком, положениям настоящего стандарта и иным стандартам, содержащим требования к разработке безопасного ПО, используемым инструментам и технологиям.</t>
  </si>
  <si>
    <t>5.1.3.2</t>
  </si>
  <si>
    <t>Результаты анализа потребностей в ресурсах, необходимых для реализации процессов разработки безопасного ПО, могут содержать оценочные показатели в материальных и людских ресурсах для каждого реализуемого или планируемого к реализации процесса разработки безопасного ПО.</t>
  </si>
  <si>
    <t>5.1.3.3</t>
  </si>
  <si>
    <t>План развития процессов разработки безопасного ПО должен содержать порядок (очередность) внедрения процессов разработки безопасного ПО с учетом приоритетов разработчика и имеющихся ресурсов, планируемые изменения в организационно-штатной структуре разработчика, планируемые закупки необходимых инструментов, затраты на обучение и др.</t>
  </si>
  <si>
    <t>5.1.3.4</t>
  </si>
  <si>
    <t>План реализации процессов разработки безопасного ПО должен содержать цели, сроки и этапы внедрения процессов разработки безопасного ПО; перечень необходимых ресурсов; информацию об ответственных за внедрение процессов сотрудниках.</t>
  </si>
  <si>
    <t>5.1.3.5</t>
  </si>
  <si>
    <t>Описание области применения процессов разработки безопасного ПО должно содержать состав ПО (версии, модули, компоненты, функциональные подсистемы и т. п.), в отношении которого должны быть реализованы процессы разработки безопасного ПО, с обоснованием выбора указанного состава ПО.</t>
  </si>
  <si>
    <t>5.2</t>
  </si>
  <si>
    <t>5.2.1</t>
  </si>
  <si>
    <t>5.2.1.1</t>
  </si>
  <si>
    <t>Получение актуальной информации о существующих (доступных для анализа) практиках, документах, обучающих курсах и тренингах по разработке безопасного ПО.</t>
  </si>
  <si>
    <t>5.2.1.2</t>
  </si>
  <si>
    <t>Организация обучения сотрудников типовым практикам разработки безопасного ПО с учетом актуальных потребностей.</t>
  </si>
  <si>
    <t>5.2.1.3</t>
  </si>
  <si>
    <t>Создание условий для снижения количества возможных типовых ошибок и уязвимостей в разрабатываемом ПО.</t>
  </si>
  <si>
    <t>5.2.2</t>
  </si>
  <si>
    <t>Проводить анализ существующих (доступных для анализа) практик, документов, обучающих курсов и тренингов по разработке безопасного ПО. Входными данными требования к реализации являются существующие (доступные для анализа) практики, документы, обучающие курсы и тренинги по разработке безопасного ПО.</t>
  </si>
  <si>
    <t>Разрабатывать план обучения с учетом потребностей разработчика в части используемых средств и технологий разработки. Артефакты реализации требований, учитываемые при выполнении требования, представлены в 5.2.3.1.</t>
  </si>
  <si>
    <t>Проводить обучение сотрудников. Артефакты реализации требований, учитываемые при выполнении требования, представлены в 5.2.3.2.</t>
  </si>
  <si>
    <t>Вести учет обучения сотрудников. Артефакты реализации требований, учитываемые при выполнении требования, представлены в 5.2.3.2. 5.2.3.3, 5.2.3.6.</t>
  </si>
  <si>
    <t>Определить критерии пересмотра программ обучения (курсов, тренингов и т. п.).</t>
  </si>
  <si>
    <t>5.2.2.6</t>
  </si>
  <si>
    <t>Повышать осведомленность сотрудников разработчика о возможных типовых угрозах, ошибках и уязвимостях в разрабатываемом ПО, механизмах их недопущения или минимизации вероятности их возникновения, порядке сопровождения ПО и управления жизненным циклом. Артефакты реализации требований, учитываемые при выполнении требования, представлены в 5.2.3.1.</t>
  </si>
  <si>
    <t>5.2.3</t>
  </si>
  <si>
    <t>5.2.3.1</t>
  </si>
  <si>
    <t>Результаты анализа существующих (доступных для анализа) практик, документов, обучающих курсов и тренингов по разработке безопасного ПО с точки зрения их применимости для обучения сотрудников разработчика.</t>
  </si>
  <si>
    <t>5.2.3.2</t>
  </si>
  <si>
    <t>План обучения, включающий:
- список сотрудников, направляемых на обучение;
- сроки прохождения обучения;
- наименование программы (курса, тренинга) обучения;
- ожидаемый результат обучения.</t>
  </si>
  <si>
    <t>5.2.3.3</t>
  </si>
  <si>
    <t>Артефакты реализации требований, подтверждающие прохождение обучения, включают (в зависимости от учебной программы, курса) свидетельства, дипломы, отчеты обучающих платформ и иные документы и материалы, подтверждающие прохождение сотрудником обучения.</t>
  </si>
  <si>
    <t>5.2.3.4</t>
  </si>
  <si>
    <t>Артефакты реализации требований, подтверждающие осуществление учета обучения сотрудников, должны содержать информацию о сотрудниках, прошедших обучение, пройденных программах (курсах) и результатах прохождения обучения.</t>
  </si>
  <si>
    <t>5.2.3.5</t>
  </si>
  <si>
    <t>Критерии необходимости пересмотра программ обучения (курсов, тренингов и т. п.) должны содержать информацию о периодичности пересмотра (уточнения) программ обучения (курсов, тренингов и т. п.) или о событиях, при наступлении которых необходимо изменение программ обучения (курсов, тренингов и т. п.).</t>
  </si>
  <si>
    <t>5.2.3.6</t>
  </si>
  <si>
    <t>Артефакты реализации требований, подтверждающие осуществление повышения осведомленности сотрудников, должны содержать информацию о проведенных мероприятиях по повышению осведомленности сотрудников о возможных типовых угрозах, ошибках и уязвимостях в разрабатываемом ПО, механизмах их недопущения или минимизации вероятности их возникновения, порядке сопровождения ПО и управления жизненным циклом, а также о сотрудниках (подразделениях), для которых проводились мероприятия по повышению осведомленности.</t>
  </si>
  <si>
    <t>5.3</t>
  </si>
  <si>
    <t>5.3.1</t>
  </si>
  <si>
    <t>5.3.1.1</t>
  </si>
  <si>
    <t>Обеспечение безопасности ПО посредством предъявления к нему требований и управления требованиями в процессе изменения (разработки) ПО.</t>
  </si>
  <si>
    <t>Разработать регламент управления требованиями безопасности ПО.</t>
  </si>
  <si>
    <t>Предъявлять к ПО требования безопасности. Артефакты реализации требований, учитываемые при выполнении требования, представлены в 5.3.3.1.</t>
  </si>
  <si>
    <t>Вести учет предъявленных требований безопасности и контроль однозначности трактования и непротиворечивости набора требований безопасности ПО. Артефакты реализации требований, учитываемые при выполнении требования, представлены в 5.3.3.2.</t>
  </si>
  <si>
    <t>Осуществлять пересмотр набора требований безопасности на основе выполнения критериев пересмотра —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5.3.3.1, 5.3.3.2.</t>
  </si>
  <si>
    <t>5.3.3</t>
  </si>
  <si>
    <t>5.3.3.1</t>
  </si>
  <si>
    <t>Регламент управления требованиями безопасности ПО должен включать следующие положения:
- порядок предъявления требований безопасности ПО;
- порядок предоставления требований безопасности ПО исполнителям;
- порядок отслеживания процесса предоставления, получения и выполнения требований безопасности ПО;
- критерии пересмотра требований безопасности ПО (периодически, при наступлении определенных событий).</t>
  </si>
  <si>
    <t>5.3.3.2</t>
  </si>
  <si>
    <t>Набор требований безопасности ПО должен содержать следующую информацию:
- идентификатор требования безопасности ПО;
- формулировку требования безопасности ПО;
- дату предъявления требований безопасности ПО;
- приоритет/важность требования безопасности ПО;
- предполагаемые сроки реализации;
- сведения о сотрудниках (подразделениях), предъявивших требования;
- сведения о сотрудниках (подразделениях), принявших требования к реализации.</t>
  </si>
  <si>
    <t>5.3.3.3</t>
  </si>
  <si>
    <t>Артефакты реализации требований, подтверждающие осуществление учета предъявленных требований безопасности ПО, должны включать, как минимум, следующую информацию:
- сведения о принятии требований к реализации, подтверждающие однозначность трактования и непротиворечивость набора требований безопасности ПО;
- текущий статус реализации требований;
- сведения об изменениях статуса реализации предъявленных требований безопасности ПО;
- сведения об изменениях предъявленных требований безопасности ПО.</t>
  </si>
  <si>
    <t>5.3.3.4</t>
  </si>
  <si>
    <t>Набор требований безопасности ПО, уточненный по результатам выполнения требований 5.3.2.4, должен содержать информацию об особенностях реализации требований безопасности ПО в процессе разработки ПО, принятых решениях по корректировкам требований безопасности ПО в процессе разработки.</t>
  </si>
  <si>
    <t>5.4</t>
  </si>
  <si>
    <t>5.4.1</t>
  </si>
  <si>
    <t>5.4.1.1</t>
  </si>
  <si>
    <t>Осуществление уникальной идентификации ПО, документации на ПО, других элементов, подлежащих отслеживанию в рамках управления конфигурацией ПО (элементов конфигурации).</t>
  </si>
  <si>
    <t>5.4.1.2</t>
  </si>
  <si>
    <t>Контроль реализации изменений ПО, документации на ПО, других элементов, подлежащих отслеживанию в рамках управления конфигурацией ПО (элементов конфигурации).</t>
  </si>
  <si>
    <t>5.4.2</t>
  </si>
  <si>
    <t>Разработать регламент управления конфигурацией в рамках жизненного цикла ПО.</t>
  </si>
  <si>
    <t>Определить перечень элементов конфигурации, подлежащих отслеживанию в рамках управления конфигурацией ПО.</t>
  </si>
  <si>
    <t>Контролировать реализацию изменений ПО, документации на ПО, других элементов, подлежащих отслеживанию в рамках управления конфигурацией ПО (элементов конфигурации).</t>
  </si>
  <si>
    <t>5.4.3</t>
  </si>
  <si>
    <t>5.4.3.1</t>
  </si>
  <si>
    <t>Регламент управления конфигурацией ПО должен содержать:
- порядок формирования перечня элементов ПО (компонентов, модулей и т. п.), документации на ПО, подлежащих отслеживанию в рамках жизненного цикла ПО;
- порядок идентификации ПО (версий ПО, модулей ПО), документации для отслеживаемых элементов.</t>
  </si>
  <si>
    <t>5.4.3.2</t>
  </si>
  <si>
    <t>Перечень элементов конфигурации, подлежащих отслеживанию в рамках управления конфигурацией ПО.</t>
  </si>
  <si>
    <t>5.4.3.3</t>
  </si>
  <si>
    <t>Артефакты реализации требований, подтверждающие реализацию управления изменениями ПО, документации на ПО в рамках управления конфигурацией ПО, должны отображать факты изменения ПО (модулей ПО), документации на ПО.</t>
  </si>
  <si>
    <t>5.5</t>
  </si>
  <si>
    <t>5.5.1</t>
  </si>
  <si>
    <t>5.5.1.1</t>
  </si>
  <si>
    <t>Обеспечение управления недостатками ПО.</t>
  </si>
  <si>
    <t>5.5.1.2</t>
  </si>
  <si>
    <t>Обеспечение управления запросами на изменение ПО. Примечание — Управление недостатками и запросами на изменение ПО способствует систематическому устранению ошибок программирования, отклонений от заданных требований и корректировке требований в необходимых случаях путем осуществления запросов на изменение ПО — предложений о добавлении, модификации или удалении каких-либо элементов (модулей, компонентов, функциональных возможностей) ПО.</t>
  </si>
  <si>
    <t>5.5.2</t>
  </si>
  <si>
    <t>Разработать регламент управления недостатками ПО.</t>
  </si>
  <si>
    <t>Разработать регламент управления запросами на изменение ПО.</t>
  </si>
  <si>
    <t>Контролировать реализацию изменений, связанных с недостатками ПО.</t>
  </si>
  <si>
    <t>5.5.2.4</t>
  </si>
  <si>
    <t>Контролировать реализацию запросов на изменение в рамках жизненного цикла ПО.</t>
  </si>
  <si>
    <t>Использовать средства автоматизации для управления недостатками и запросами на изменение разрабатываемого ПО.</t>
  </si>
  <si>
    <t>5.5.3</t>
  </si>
  <si>
    <t>5.5.3.1</t>
  </si>
  <si>
    <t>Регламент управления недостатками ПО должен содержать:
- порядок идентификации недостатков ПО;
- порядок управления недостатками ПО, включающий сведения о действиях, выполняемых при выявлении, устранении, тестировании, принятии решения об окончании работы с недостатком (закрытии недостатка).</t>
  </si>
  <si>
    <t>5.5.3.2</t>
  </si>
  <si>
    <t>Регламент управления запросами на изменение ПО должен содержать:
- порядок идентификации запросов на изменение ПО;
- порядок управления запросами на изменение ПО, включающий сведения о действиях, выполняемых при осуществлении запроса на изменение, тестировании, принятии решения о закрытии запроса на изменение.</t>
  </si>
  <si>
    <t>5.5.3.3</t>
  </si>
  <si>
    <t>Артефакты реализации требований, подтверждающие реализацию управления недостатками ПО, должны содержать зафиксированные факты изменений, связанных с недостатками, включающие следующую информацию:
- уникальный идентификатор недостатка ПО;
- описание недостатка ПО;
- версию ПО (модуля ПО, компонента ПО), к которому относится недостаток ПО;
- приоритет выполнения действий с недостатком ПО;
- текущий статус обработки изменений, связанных с недостатками ПО.</t>
  </si>
  <si>
    <t>5.5.3.4</t>
  </si>
  <si>
    <t>Артефакты реализации требований, подтверждающие реализации управления запросами на изменение ПО, должны содержать следующую информацию:
- уникальный идентификатор запроса на изменение ПО;
- краткую характеристику запроса на изменение ПО;
- версию ПО (модуля ПО, компонента ПО), к которому относится запрос на изменение;
- приоритет выполнения действий с запросом на изменение ПО;
- текущий статус обработки запроса на изменение ПО.</t>
  </si>
  <si>
    <t>5.6</t>
  </si>
  <si>
    <t>5.6.1</t>
  </si>
  <si>
    <t>5.6.1.1</t>
  </si>
  <si>
    <t>Создание условий для снижения количества возможных недостатков при разработке архитектуры ПО.</t>
  </si>
  <si>
    <t>5.6.1.2</t>
  </si>
  <si>
    <t>Уточнение архитектуры ПО в процессе разработки кода.</t>
  </si>
  <si>
    <t>5.6.2</t>
  </si>
  <si>
    <t>Определить требования безопасности к принципам проектирования архитектуры ПО, направленным на снижение количества возможных недостатков в разрабатываемом ПО. Артефакты реализации требований, учитываемые при выполнении требования, представлены в 5.3.3.2.</t>
  </si>
  <si>
    <t>Выполнить первичное проектирование архитектуры ПО. Артефакты реализации требований, учитываемые при выполнении требования, представлены в 5.3.3.1, 5.6.3.1.</t>
  </si>
  <si>
    <t>Установить критерии необходимости уточнения архитектуры ПО. Артефакты реализации требований, учитываемые при выполнении требования, представлены в 5.6.3.2.</t>
  </si>
  <si>
    <t>Выполнять уточнение архитектуры ПО в процессе разработки кода и его изменений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5.6.3.2, 5.6.3.3.</t>
  </si>
  <si>
    <t>5.6.3</t>
  </si>
  <si>
    <t>5.6.3.1</t>
  </si>
  <si>
    <t>Требования к принципам проектирования архитектуры ПО должны содержать информацию, позволяющую на начальном этапе проектирования ПО получить представление о принятых подходах и принципах проектирования архитектуры ПО (например, инкапсуляция, уникальность, разделение задач, применение заимствованных компонентов и т. п.), в том числе с точки зрения безопасности («нулевое доверие», «протоколирование событий», «резервное копирование», «формирование перечня недопустимых событий», «приоритетное использование языков с безопасной моделью памяти» и т. п.).</t>
  </si>
  <si>
    <t>5.6.3.2</t>
  </si>
  <si>
    <t>Описание архитектуры ПО должно включать, как минимум, следующую информацию:
- назначение ПО и сценарии его использования;
- описание среды функционирования;
- ограничения и указания по применению;
- проект ПО на уровне подсистем (модулей), включающий описание их назначения, структуры, особенностей реализации, применяемых языков программирования, взаимодействия друг с другом и другим ПО с указанием соответствующих интерфейсов, сетевых портов, протоколов.</t>
  </si>
  <si>
    <t>5.6.3.3</t>
  </si>
  <si>
    <t>Критерии необходимости уточнения архитектуры ПО должны содержать информацию о периодичности пересмотра (уточнения) архитектуры ПО в процессе разработки ПО или о событиях, при наступлении которых необходимо уточнять архитектуры ПО.</t>
  </si>
  <si>
    <t>5.6.3.4</t>
  </si>
  <si>
    <t>Архитектура ПО, уточненная по результатам выполнения требований 5.6.2.4, должна содержать информацию об особенностях реализации ПО в процессе разработки ПО, принятых решениях по корректировкам архитектурных решений в процессе разработки, в том числе связанных с безопасностью, и причинах, их вызвавших.</t>
  </si>
  <si>
    <t>5.7</t>
  </si>
  <si>
    <t>5.7.1</t>
  </si>
  <si>
    <t>5.7.1.1</t>
  </si>
  <si>
    <t>Создание условий для снижения количества недостатков, связанных с особенностями реализации архитектуры ПО и логики его функционирования, выработка мер по нейтрализации угроз безопасности, связанных с особенностями реализации архитектуры ПО.</t>
  </si>
  <si>
    <t>5.7.1.2</t>
  </si>
  <si>
    <t>Уточнение модели угроз и описания поверхности атаки по результатам разработки кода и его изменений.</t>
  </si>
  <si>
    <t>5.7.2</t>
  </si>
  <si>
    <t>Выполнить первичное моделирование угроз для ПО (разработать модель угроз ПО); для выявленных угроз безопасности информации составить перечень мер по их нейтрализации (снижению вероятности возникновения). Артефакты реализации требований, учитываемые при выполнении требования, представлены в 5.6.3.2.</t>
  </si>
  <si>
    <t>Выполнить первичное описание поверхности атаки. Артефакты реализации требований, учитываемые при выполнении требования, представлены в 5.6.3.2.</t>
  </si>
  <si>
    <t>Сформировать перечень целей (функциональных подсистем, модулей (компонентов) ПО и их интерфейсов) для проведения дальнейших исследований безопасности ПО (например, фаззинг-тестирования) с учетом архитектуры ПО, результатов моделирования угроз и выполнения анализа поверхности атаки. Артефакты реализации требований, учитываемые при выполнении требования, представлены в 5.6.3.2.</t>
  </si>
  <si>
    <t>Выполнять уточнение модели угроз ПО для изменяемого в ходе разработки ПО кода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5.7.3.1, 5.7.3.3, 5.7.3.4.</t>
  </si>
  <si>
    <t>Выполнять уточнение описания поверхности атаки для изменяемого в ходе разработки ПО кода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5.7.3.1, 5.7.3.3, 5.7.3.4.</t>
  </si>
  <si>
    <t>При уточнении описания поверхности атаки выполнять анализ поверхности атаки методом идентификации интерфейсов ПО. Артефакты реализации требований, учитываемые при выполнении требования, представлены в 5.7.3.1, 5.7.3.3, 5.7.3.4.</t>
  </si>
  <si>
    <t>Уточнять перечень целей (функциональных подсистем, модулей (компонентов) ПО и их интерфейсов) для проведения дальнейших исследований безопасности ПО (например, фаззинг-тестирования) с учетом уточненной архитектуры ПО, результатов моделирования угроз и выполнения анализа поверхности атаки для разработанного кода ПО. Артефакты реализации требований, учитываемые при выполнении требования, представлены в 5.7.3.1, 5.7.3.3, 5.7.3.4.</t>
  </si>
  <si>
    <t>5.7.3</t>
  </si>
  <si>
    <t>5.7.3.1</t>
  </si>
  <si>
    <t>Модель угроз должна включать совокупность угроз безопасности, актуальных для разрабатываемого ПО. Каждая угроза безопасности представляется в виде совокупности свойств (характеристик), включающей, как минимум, краткое описание угрозы, предполагаемый объект воздействия и возможные последствия реализации угрозы. Примечание — При составлении перечня угроз безопасности и их описания рекомендуется учитывать положения ГОСТ Р 58412, а также угрозы безопасности информации Банка данных угроз безопасности информации ФСТЭК России, других источников (например, методологии STRIDE, Open Web Application Security Project (OWASP), DREAD и пр.). В модели угроз рекомендуется указывать использованную при моделировании методологию, в том числе в случае ее собственной разработки.</t>
  </si>
  <si>
    <t>5.7.3.2</t>
  </si>
  <si>
    <t>Перечень мер по нейтрализации (снижению вероятности возникновения) угроз безопасности информации содержит перечень необходимых действий (доработок ПО, иных мер). Перечень мер по нейтрализации (снижению вероятности возникновения) угроз безопасности информации должен быть приоритизирован с точки зрения критичности возможного ущерба от реализации угроз безопасности информации.</t>
  </si>
  <si>
    <t>5.7.3.3</t>
  </si>
  <si>
    <t>Описание поверхности атаки должно включать совокупность потенциальных областей воздействия на информационную (автоматизированную) систему с использованием разрабатываемого ПО, которые могут быть использованы нарушителем для проведения компьютерной атаки. Описание поверхности атаки может быть частью модели угроз.</t>
  </si>
  <si>
    <t>5.7.3.4</t>
  </si>
  <si>
    <t>Перечень целей должен включать список функциональных подсистем, модулей (компонентов) ПО и их интерфейсов, составляющих поверхность атаки, подлежащих дополнительному анализу с точки зрения безопасности.</t>
  </si>
  <si>
    <t>5.7.3.5</t>
  </si>
  <si>
    <t>Модель угроз, уточненная по результатам выполнения требований 5.7.2.4, должна дополнительно (в случае применимости) содержать угрозы безопасности ПО, актуальные для выполненных изменений.</t>
  </si>
  <si>
    <t>5.7.3.6</t>
  </si>
  <si>
    <t>Описание поверхности атаки, уточненное по результатам выполнения требований 5.7.2.5, должно включать перечень функциональных подсистем, модулей (компонентов) ПО и их интерфейсов, составляющих поверхность атаки, актуальных для разработанного кода ПО.</t>
  </si>
  <si>
    <t>5.7.3.7</t>
  </si>
  <si>
    <t>Перечень целей, уточненный по результатам выполнения требований 5.7.2.7, для проведения дальнейших исследований безопасности ПО должен содержать описание функциональных подсистем, модулей (компонентов) ПО, их интерфейсов, для которых предполагаются дальнейшие исследования в части безопасности при реализации других процессов разработки безопасного ПО.</t>
  </si>
  <si>
    <t>5.8</t>
  </si>
  <si>
    <t>5.8.1</t>
  </si>
  <si>
    <t>5.8.1.1</t>
  </si>
  <si>
    <t>Обеспечение эффективной и единообразной организации оформления и использования исходного кода в соответствии с предъявляемыми к ПО требованиями.</t>
  </si>
  <si>
    <t>5.8.2</t>
  </si>
  <si>
    <t>Учитывать при разработке регламента оформления исходного кода и безопасного кодирования примеры опасных и безопасных конструкций для используемых в ПО языков программирования.</t>
  </si>
  <si>
    <t>Учитывать при разработке регламента оформления исходного кода и безопасного кодирования общепринятые стандарты и рекомендации разработчиков (экспертов, специалистов) для соответствующих языков программирования.</t>
  </si>
  <si>
    <t>При разработке ПО рекомендуется использовать программные средства автоматической проверки правил кодирования.</t>
  </si>
  <si>
    <t>5.8.3</t>
  </si>
  <si>
    <t>5.8.3.1</t>
  </si>
  <si>
    <t>Регламент оформления исходного кода и безопасного кодирования должен содержать:
- информацию о способах оформления исходного кода (например, способы выбора наименований переменных, функций, классов и т. п.; стиль отступов при оформлении логических блоков; способы ограничения логических блоков; правила использования пробелов при оформлении логических и арифметических выражений; стиль комментариев и правила документирования кода; ограничения [например, размер строк кода по горизонтали, строк в модуле и т. п.]);
- перечень запрещенных способов кодирования, конструкций и т. п. (например, указание паролей в исходном коде ПО в явном виде, использование «магических чисел» и т. п.);
- примеры опасных и безопасных конструкций для используемых языков программирования;
- область применения правил кодирования;
- порядок проверки выполнения правил кодирования для вносимых изменений в исходный код ПО;
- рекомендации разработчиков языков программирования по использованию стандартов кодирования (языков программирования, в том числе собственной разработки), принятые разработчиком ПО.</t>
  </si>
  <si>
    <t>5.9</t>
  </si>
  <si>
    <t>5.9.1</t>
  </si>
  <si>
    <t>5.9.1.1</t>
  </si>
  <si>
    <t>Обеспечение соответствия исходного кода ПО предъявляемым к нему требованиям.</t>
  </si>
  <si>
    <t>5.9.2</t>
  </si>
  <si>
    <t>Разработать регламент проведения экспертизы исходного кода ПО.</t>
  </si>
  <si>
    <t>5.9.2.2</t>
  </si>
  <si>
    <t>Проводить экспертизу определенных областей кода ПО (в первую очередь для модулей (компонентов) ПО, составляющих поверхность атаки) в соответствии с регламентом проведения экспертизы исходного кода ПО. Артефакты реализации требований, учитываемые при выполнении требования, представлены в 5.9.3.1.</t>
  </si>
  <si>
    <t>Проводить экспертизу кода рекомендуется с использованием программных средств, автоматизирующих проведение экспертизы и интегрированных с системой контроля версий разрабатываемого ПО.</t>
  </si>
  <si>
    <t>5.9.3</t>
  </si>
  <si>
    <t>5.9.3.1</t>
  </si>
  <si>
    <t>Регламент проведения экспертизы исходного кода ПО должен содержать следующие сведения:
- обязанности сотрудников и их роли при проведении экспертизы исходного кода ПО;
- базовые требования к экспертизе (количество участников; области кода, подлежащего экспертизе; используемые инструменты и т. д.);
- описание основных проверок (например, сценариев, шаблонов, чек-листов) проведения экспертизы исходного кода ПО.</t>
  </si>
  <si>
    <t>5.9.3.2</t>
  </si>
  <si>
    <t>Результаты экспертизы кода должны содержать следующие сведения:
- информацию о проанализированных модулях (компонентах) ПО;
- перечень необходимых изменений;
- вопросы к частям кода, экспертиза которых затруднена и требует дополнительных разъяснений;
- предложения по улучшению.</t>
  </si>
  <si>
    <t>5.10</t>
  </si>
  <si>
    <t>Статический анализ исходного кода</t>
  </si>
  <si>
    <t>5.10.1</t>
  </si>
  <si>
    <t>5.10.1.1</t>
  </si>
  <si>
    <t>Предотвращение внесения потенциально опасных конструкций и ошибок в ПО, а также использования опасных конструкций и уязвимостей из заимствованного кода.</t>
  </si>
  <si>
    <t>5.10.2</t>
  </si>
  <si>
    <t>Разработать регламент проведения статического анализа исходного кода ПО. Артефакты реализации требований, учитываемые при выполнении требования, представлены в 5.6.3.2.</t>
  </si>
  <si>
    <t>Определить инструменты статического анализа для каждого используемого в ПО языка программирования. Артефакты реализации требований, учитываемые при выполнении требования, представлены в 5.6.3.2, 5.10.3.1.</t>
  </si>
  <si>
    <t>Определить конфигурацию и параметры настройки инструментов статического анализа. Артефакты реализации требований, учитываемые при выполнении требования, представлены в 5.10.3.1, 5.10.3.2.</t>
  </si>
  <si>
    <t>Проводить статический анализ с использованием инструментов статического анализа с регистрацией всех предупреждений о потенциальных ошибках, полученных по результатам работы инструментов статического анализа. Артефакты реализации требований, учитываемые при выполнении требования, представлены в 5.10.3.1, 5.10.3.2, 5.10.3.3.</t>
  </si>
  <si>
    <t>5.10.2.5</t>
  </si>
  <si>
    <t>Осуществлять пересмотр конфигурации и параметры настройки инструментов статического анализа при выполнении установленных событий (изменениях в правилах сборки, применяемых статических анализаторах, получении информации об уязвимостях и т. п.). Артефакты реализации требований, учитываемые при выполнении требования, представлены в 5.10.3.1, 5.10.3.2, 5.10.3.3.</t>
  </si>
  <si>
    <t>5.10.2.6</t>
  </si>
  <si>
    <t>Осуществлять повторный статический анализ ПО после устранения ранее выявленных ошибок и уязвимостей; внесения изменений в ходе разработки в исходные тексты ПО; изменения используемых версий компиляторов, сред выполнения (для компилируемого в промежуточное представление или интерпретируемого кода), обновлений используемых инструментов статического анализа. Артефакты реализации требований, учитываемые при выполнении требования, представлены в 5.10.3.1, 5.10.3.2.</t>
  </si>
  <si>
    <t>5.10.3</t>
  </si>
  <si>
    <t>5.10.3.1</t>
  </si>
  <si>
    <t>Регламент проведения статического анализа исходного кода ПО должен содержать следующие сведения:
- обязанности сотрудников и их роли при проведении статического анализа;
- критерии выбора инструментов статического анализа;
- критерии выбора ПО (модулей ПО, компонентов ПО, функциональных подсистем ПО), подлежащих проведению статического анализа;
- правила обработки срабатываний средств статического анализа;
- типы и критичность ошибок (уязвимостей), выявляемых статическим анализатором, подлежащих устранению, и приоритеты устранения ошибок (уязвимостей);
- периодичность проведения статического анализа или события, при наступлении которых необходимо выполнять повторный статический анализ;
- критерии пересмотра конфигурации и параметров настройки инструментов статического анализа.</t>
  </si>
  <si>
    <t>5.10.3.2</t>
  </si>
  <si>
    <t>Перечень инструментов статического анализа должен включать наименования инструментов статического анализа, их версии и информацию о соответствии используемым языкам программирования.</t>
  </si>
  <si>
    <t>5.10.3.3</t>
  </si>
  <si>
    <t>Конфигурации и параметры настройки инструментов статического анализа должны обеспечивать выполнение требований регламента проведения статического анализа в части выявления типов и критичности ошибок (уязвимостей), периодичности проведения статического анализа или событий, при наступлении которых необходимо выполнять повторный статический анализ.</t>
  </si>
  <si>
    <t>5.10.3.4</t>
  </si>
  <si>
    <t>Отчеты по результатам проведения статического анализа должны включать:
- срабатывания инструментов статического анализа;
- результаты анализа (разметки) выявленных ошибок (срабатываний статического анализатора).</t>
  </si>
  <si>
    <t>5.10.3.5</t>
  </si>
  <si>
    <t>Конфигурации и параметры настройки инструментов статического анализа, уточненные по результатам выполнения требований 5.10.2.5, должны обеспечивать выполнение требований регламента проведения статического анализа в части выполнения критериев их пересмотра.</t>
  </si>
  <si>
    <t>5.11</t>
  </si>
  <si>
    <t>5.11.1</t>
  </si>
  <si>
    <t>5.11.1.1</t>
  </si>
  <si>
    <t>Обнаружение недостатков и уязвимостей в коде ПО в процессе его выполнения.</t>
  </si>
  <si>
    <t>5.11.2</t>
  </si>
  <si>
    <t>Разработать регламент проведения динамического анализа кода ПО. Артефакты реализации требований, учитываемые при выполнении требования, представлены в 5.6.3.2, 5.7.3.1, 5.7.3.3.</t>
  </si>
  <si>
    <t>Определить инструменты динамического анализа и фаззинг-тестирования, порядок их применения. Артефакты реализации требований, учитываемые при выполнении требования, представлены в 5.6.3.2, 5.7.3.1, 5.7.3.3, 5.7.3.4, 5.11.3.1.</t>
  </si>
  <si>
    <t>Определить перечень модулей (компонентов) ПО, которые необходимо подвергнуть динамическому анализу, включая фаззинг-тестирование. Артефакты реализации требований, учитываемые при выполнении требования, представлены в 5.6.3.2, 5.7.3.1, 5.7.3.3, 5.7.3.4, 5.11.3.1, 5.11.3.2.</t>
  </si>
  <si>
    <t>Определить сценарии проведения тестирования для каждого исследуемого модуля (компонента) ПО средствами динамического анализа, включая инструменты проведения фаззинг-тестирования. Артефакты реализации требований, учитываемые при выполнении требования, представлены в 5.6.3.2, 5.7.3.1, 5.7.3.3, 5.7.3.4, 5.11.3.1, 5.11.3.2, 5.11.3.3.</t>
  </si>
  <si>
    <t>Проводить динамический анализ с использованием инструментов динамического анализа. Артефакты реализации требований, учитываемые при выполнении требования, представлены в 5.6.3.2, 5.11.3.1, 5.11.3.2, 5.11.3.3, 5.11.3.4.</t>
  </si>
  <si>
    <t>5.11.2.6</t>
  </si>
  <si>
    <t>Проводить повторный динамический анализ модулей (компонентов) ПО с целью контроля устранения ошибок. Артефакты реализации требований, учитываемые при выполнении требования, представлены в 5.6.3.2, 5.11.3.1, 5.11.3.2, 5.11.3.3, 5.11.3.4.</t>
  </si>
  <si>
    <t>Проводить фаззинг-тестирование. Артефакты реализации требований, учитываемые при выполнении требования, представлены в 5.6.3.2, 5.11.3.1, 5.11.3.2, 5.11.3.3, 5.11.3.4.</t>
  </si>
  <si>
    <t>При проведении фаззинг-тестирования использовать тестовые коллекции входных данных, подлежащие дальнейшим мутациям, для каждого из подвергаемых фаззинг-тестированию модуля (компонента) ПО (при использовании инструментов выполнения фаззинг-тестирования, использующих коллекции входных данных), вызывающие использование различных функциональных возможностей тестируемого модуля (компонента) ПО. Артефакты реализации требований, учитываемые при выполнении требования, представлены в 5.6.3.2, 5.7.3.1, 5.7.3.3, 5.7.3.4, 5.11.3.1, 5.11.3.2, 5.11.3.3, 5.11.3.4.</t>
  </si>
  <si>
    <t>5.11.2.9</t>
  </si>
  <si>
    <t>Устранять выявленные в процессе динамического анализа, включая фаззинг-тестирование, ошибки в соответствии с принятыми процедурами устранения найденных средствами динамического анализа ошибок. Артефакты реализации требований, учитываемые при выполнении требования, представлены в 5.11.3.1, 5.11.3.5, 5.11.3.6.</t>
  </si>
  <si>
    <t>5.11.3</t>
  </si>
  <si>
    <t>5.11.3.1</t>
  </si>
  <si>
    <t>Регламент проведения динамического анализа кода ПО должен содержать следующие сведения:
- обязанности сотрудников и их роли при проведении динамического анализа и фаззинг-тестирования;
- критерии выбора инструментов динамического анализа, включая инструменты проведения фаззинг-тестирования;
- критерии выбора методов и способов динамического анализа;
- критерии выбора модулей (компонентов) ПО, которые необходимо подвергнуть динамическому анализу, включая фаззинг-тестирование;
- правила обработки срабатываний средств динамического анализа, требующих обработки (аварийная остановка, зависание и т. п.);
- процедуры устранения найденных средствами динамического анализа ошибок;
- периодичность проведения динамического анализа или события, при наступлении которых необходимо выполнять повторный динамический анализ (критерии проведения повторного динамического анализа);
- периодичность проведения фаззинг-тестирования и критерии его завершения.</t>
  </si>
  <si>
    <t>5.11.3.2</t>
  </si>
  <si>
    <t>Перечень инструментов динамического анализа, включая инструменты проведения фаззинг-тестирования, должен включать:
- наименования инструментов динамического анализа, их версии и их соответствие исследуемым модулям (компонентам) ПО;
- параметры эксплуатации инструментов динамического анализа (для платформ, языков программирования и т. п.).</t>
  </si>
  <si>
    <t>5.11.3.3</t>
  </si>
  <si>
    <t>Перечень модулей (компонентов) ПО, которые необходимо подвергнуть динамическому анализу, включая фаззинг-тестирование, отвечающий требованиям регламента проведения динамического анализа, должен включать:
- наименование модуля (компонента) ПО;
- идентификатор модуля (комponentа) ПО.</t>
  </si>
  <si>
    <t>5.11.3.4</t>
  </si>
  <si>
    <t>Сценарии проведения тестирования для каждого исследуемого модуля (компонента) ПО средствами динамического анализа, включая инструменты проведения фаззинг-тестирования, обеспечивающие выполнение требований регламента проведения динамического анализа, должны включать:
- идентификатор модуля (компонента) ПО;
- наименование используемого инструмента;
- параметры настройки инструмента;
- критерии запуска и остановки тестирования.</t>
  </si>
  <si>
    <t>5.11.3.5</t>
  </si>
  <si>
    <t>Отчеты по результатам проведения динамического анализа должны включать:
- срабатывания инструментов динамического анализа;
- результаты анализа (обработки) выявленных ошибок (срабатываний динамического анализатора) для определенных регламентом типов ошибок, требующих обработки (аварийная остановка, зависание и т. п.).</t>
  </si>
  <si>
    <t>5.11.3.6</t>
  </si>
  <si>
    <t>Отчеты по результатам проведения фаззинг-тестирования должны включать:
- сведения о результатах работы инструментов фаззинг-тестирования (длительность проведения фаззинг-тестирования, количество аварийных завершений работы ПО, количество найденных путей выполнения и др.);
- результаты анализа (обработки) аварийных завершений работы ПО, выявленных при проведении фаззинг-тестирования.</t>
  </si>
  <si>
    <t>5.12</t>
  </si>
  <si>
    <t>5.12.1</t>
  </si>
  <si>
    <t>5.12.1.1</t>
  </si>
  <si>
    <t>Обеспечение безопасности при сборке ПО, недопущение привнесения в код ошибок, обусловленных небезопасными преобразованиями кода.</t>
  </si>
  <si>
    <t>5.12.2</t>
  </si>
  <si>
    <t>Разработать регламент использования системы безопасной сборки ПО.</t>
  </si>
  <si>
    <t>Для разрабатываемого ПО должна быть зафиксирована информация о системе сборки ПО и сборочной среде. Артефакты реализации требований, учитываемые при выполнении требования, представлены в 5.12.3.1.</t>
  </si>
  <si>
    <t>Обеспечивать выполнение рекомендаций производителя по безопасному использованию инструмента из состава системы сборки ПО (при их наличии).</t>
  </si>
  <si>
    <t>5.12.3</t>
  </si>
  <si>
    <t>5.12.3.1</t>
  </si>
  <si>
    <t>Регламент использования системы безопасной сборки ПО должен содержать, как минимум, следующие сведения:
- обязанности сотрудников и их роли при выполнении сборки ПО;
- критерии выбора инструментов сборки ПО;
- критерии приемки результатов сборки;
- порядок регистрации событий, генерируемых инструментами сборки ПО.</t>
  </si>
  <si>
    <t>5.12.3.2</t>
  </si>
  <si>
    <t>Информация о сборочной среде должна содержать:
- описание особенностей функционирования сборочной среды;
- перечень программных инструментов, применяемых в системе сборки ПО, их версий и конфигураций.</t>
  </si>
  <si>
    <t>5.12.3.3</t>
  </si>
  <si>
    <t>Артефакты реализации требований, подтверждающие соответствие инструмента из состава системы сборки ПО рекомендациям производителя по безопасному использованию, должны содержать перечень выполненных рекомендаций производителя инструмента сборки ПО с указанием конкретных параметров настроек и конфигураций.</t>
  </si>
  <si>
    <t>5.13</t>
  </si>
  <si>
    <t>5.13.1</t>
  </si>
  <si>
    <t>5.13.1.1</t>
  </si>
  <si>
    <t>Обеспечение безопасности при сборке ПО, недопущение привнесения в результаты сборки ПО уязвимостей и ошибок со стороны сборочной среды.</t>
  </si>
  <si>
    <t>Разработать регламент обеспечения безопасности сборочной среды.</t>
  </si>
  <si>
    <t>Зафиксировать описание ожидаемых результатов сборки ПО, прав доступа к среде сборки ПО и хранилищу результатов сборки ПО и ролей пользователей, участвующих в процессе сборки ПО.</t>
  </si>
  <si>
    <t>Разработать схему сборочной среды. Артефакты реализации требований, учитываемые при выполнении требования, представлены в 5.13.3.2.</t>
  </si>
  <si>
    <t>Обеспечивать регистрацию всех выполняемых действий при сборке ПО в журналах аудита; журналы аудита должны храниться способом, обеспечивающим их целостность; сроки хранения журналов аудита должны быть зафиксированы в регламенте обеспечения безопасности сборочной среды. Артефакты реализации требований, учитываемые при выполнении требования, представлены в 5.13.3.1, 5.13.3.2.</t>
  </si>
  <si>
    <t>Обеспечивать хранение результатов сборки ПО в выделенном хранилище — хранилище результатов сборки ПО. Артефакты реализации требований, учитываемые при выполнении требования, представлены в 5.13.3.1, 5.13.3.2.</t>
  </si>
  <si>
    <t>Обеспечивать повторяемость сборки ПО (если применимо).</t>
  </si>
  <si>
    <t>Обеспечивать управление доступом к среде сборки ПО и хранилищу результатов сборки ПО на основе ролей пользователей.</t>
  </si>
  <si>
    <t>Обеспечивать защиту каналов связи с внешними источниками данных для обеспечения конфиденциальности информации, обрабатываемой в сборочной среде.</t>
  </si>
  <si>
    <t>5.13.3</t>
  </si>
  <si>
    <t>5.13.3.1</t>
  </si>
  <si>
    <t>Регламент обеспечения безопасности сборочной среды должен содержать, как минимум, следующие сведения:
- обязанности сотрудников и их роли при проведении сборок ПО;
- порядок регистрации событий безопасности при реализации сборок ПО в журналах аудита;
- сроки хранения журналов аудита;
- описание мер безопасности, необходимых для реализации в сборочной среде.</t>
  </si>
  <si>
    <t>5.13.3.2</t>
  </si>
  <si>
    <t>Информация о безопасности сборочной среды должна содержать:
- описание ожидаемых результатов сборки ПО;
- описание прав доступа к сборочной среде и хранилищу результатов сборки ПО, а также ролей пользователей, участвующих в процессе сборки ПО.</t>
  </si>
  <si>
    <t>5.13.3.3</t>
  </si>
  <si>
    <t>Схематическое изображение сборочной среды должно содержать:
- элементы сборочной среды (серверы, узлы, виртуальные узлы, элементы среды контейнеризации и т. п.);
- связи между элементами сборочной среды, позволяющие отследить порядок (очередность) выполнения сборочных действий;
- компоненты сборочной среды, реализующие отдельные функции, в том числе меры безопасности (средства защиты информации, инструменты статического анализа и др.).</t>
  </si>
  <si>
    <t>5.13.3.4</t>
  </si>
  <si>
    <t>Журналы аудита процессов сборки ПО должны содержать следующую информацию:
- дату и время начала и завершения сборки ПО;
- информацию о версии собираемого ПО (модуля ПО, компонента ПО);
- информацию об используемой конфигурации сборки ПО;
- информацию о шагах сборки ПО;
- информацию о событиях безопасности в соответствии с регламентом обеспечения безопасности сборочной среды.</t>
  </si>
  <si>
    <t>5.13.3.5</t>
  </si>
  <si>
    <t>В качестве артефакта реализации требований, подтверждающих хранение результатов сборки ПО в выделенном хранилище, может использоваться журнал аудита сборки ПО, в котором указано место сохранения собранного модуля (компонента) ПО, результаты контрольного суммирования файлов, скачанных из хранилища результатов сборки ПО, и последующего сравнения их с контрольными суммами, указанными в журнале аудита сборки ПО или в графическом интерфейсе системы хранения результатов сборки ПО.</t>
  </si>
  <si>
    <t>5.13.3.6</t>
  </si>
  <si>
    <t>В качестве артефактов реализации требований, подтверждающих повторяемость сборки ПО, могут использоваться журналы аудита выполненных сборок, сравненные друг с другом; результаты контрольного суммирования файлов, полученных при разных запусках сборки, и последующего их сравнения (по контрольным суммам, по бинарному представлению, по наименованию и размеру и др.).</t>
  </si>
  <si>
    <t>5.14</t>
  </si>
  <si>
    <t>5.14.1</t>
  </si>
  <si>
    <t>5.14.1.1</t>
  </si>
  <si>
    <t>Обеспечение управления доступом к исходному коду и его целостности.</t>
  </si>
  <si>
    <t>5.14.2</t>
  </si>
  <si>
    <t>Разработать регламент доступа к исходному коду ПО и обеспечения его целостности. Примечание — При разработке и реализации регламента доступа к исходному коду ПО рекомендуется руководствоваться принципами минимизации привилегий и разделения полномочий.</t>
  </si>
  <si>
    <t>Осуществлять управление доступом к исходному коду ПО на основе выбранной модели управления доступом. Артефакты реализации требований, учитываемые при выполнении требования, представлены в 5.14.3.1.</t>
  </si>
  <si>
    <t>Осуществлять контроль целостности собственного исходного кода. Артефакты реализации требований, учитываемые при выполнении требования, представлены в 5.14.3.1, 5.14.3.2.</t>
  </si>
  <si>
    <t>5.14.3</t>
  </si>
  <si>
    <t>5.14.3.1</t>
  </si>
  <si>
    <t>Регламент доступа к исходному коду ПО и обеспечения его целостности должен содержать следующие сведения:
- обязанности сотрудников, их права и роли при разработке ПО;
- правила хранения исходного кода ПО, включая правила резервного копирования исходного кода ПО;
- правила внесения изменений (модификации, добавления, удаления) в исходный код ПО;
- критерии выбора способов и инструментов контроля целостности ПО;
- критерии выбора модулей (компонентов) ПО, подлежащих контролю целостности;
- описание процедуры контроля целостности исходного кода ПО.</t>
  </si>
  <si>
    <t>5.14.3.2</t>
  </si>
  <si>
    <t>Описание модели управления доступом к исходному коду ПО должно включать:
- перечень сотрудников, их права и обязанности при разработке ПО;
- описание выбранной модели управления доступом и используемых инструментов управления доступом.</t>
  </si>
  <si>
    <t>5.14.3.3</t>
  </si>
  <si>
    <t>Результаты выполнения контроля целостности собственного исходного кода должны обеспечивать соответствие требованиям регламента доступа к исходному коду ПО и обеспечения его целостности и позволять сделать однозначный вывод о целостности собственного исходного кода.</t>
  </si>
  <si>
    <t>5.15</t>
  </si>
  <si>
    <t>5.15.1</t>
  </si>
  <si>
    <t>5.15.1.1</t>
  </si>
  <si>
    <t>Обеспечение безопасного использования секретов.</t>
  </si>
  <si>
    <t>5.15.2</t>
  </si>
  <si>
    <t>Разрабатывать регламент использования секретов. Артефакты реализации требований, учитываемые при выполнении требования, представлены в 5.6.3.1, 5.7.3.1, 5.7.3.3.</t>
  </si>
  <si>
    <t>Использовать секреты. Артефакты реализации требований, учитываемые при выполнении требования, представлены в 5.15.3.1.</t>
  </si>
  <si>
    <t>Проверять код и конфигурационные файлы ПО на предмет включения секретов для вносимых изменений в ПО.</t>
  </si>
  <si>
    <t>Для хранения, управления и предоставления секретов использовать систему управления секретами.</t>
  </si>
  <si>
    <t>5.15.3</t>
  </si>
  <si>
    <t>5.15.3.1</t>
  </si>
  <si>
    <t>Регламент использования секретов может содержать следующие сведения:
- обязанности сотрудников и их роли при использовании секретов;
- основные принципы использования секретов;
- зоны ответственности подразделений и сотрудников в части использования секретов;
- порядок предоставления доступа к секретам;
- типы секретов, сроки их эксплуатации, действия при компрометации;
- порядок формирования и хранения секретов;
- порядок ротации секретов;
- требования к системы хранения секретов.</t>
  </si>
  <si>
    <t>5.15.3.2</t>
  </si>
  <si>
    <t>Описание реализации процедуры использования секретов может включать следующие сведения:
- порядок подписи исполняемого кода ПО (например, с использованием цифровых сертификатов);
- порядок подписи исходного кода (например, с использованием цифровых сертификатов).</t>
  </si>
  <si>
    <t>5.16</t>
  </si>
  <si>
    <t>Использование инструментов композиционного анализа</t>
  </si>
  <si>
    <t>5.16.1</t>
  </si>
  <si>
    <t>5.16.1.1</t>
  </si>
  <si>
    <t>Создание условий для снижения рисков наследования уязвимостей и недекларированных возможностей при использовании заимствованного кода в коде ПО разработчика.</t>
  </si>
  <si>
    <t>5.16.2</t>
  </si>
  <si>
    <t>Разработать регламент композиционного анализа. Артефакты реализации требований, учитываемые при выполнении требования, представлены в 5.6.3.1, 5.7.3.1, 5.7.3.3.</t>
  </si>
  <si>
    <t>Формировать перечень зависимостей ПО. Артефакты реализации требований, учитываемые при выполнении требования, представлены в 5.6.3.1, 5.7.3.1, 5.7.3.3, 5.16.3.1.</t>
  </si>
  <si>
    <t>Контролировать и актуализировать перечень зависимостей ПО в соответствии с регламентом композиционного анализа на предмет наличия известных уязвимостей. Артефакты реализации требований, учитываемые при выполнении требования, представлены в 5.6.3.1, 5.7.3.1, 5.7.3.3, 5.16.3.1, 5.16.3.2.</t>
  </si>
  <si>
    <t>Осуществлять анализ заимствованных компонентов, составляющих поверхность атаки, на предмет наличия известных уязвимостей при сборке (непосредственно перед сборкой) ПО (модулей ПО, компонентов ПО). Артефакты реализации требований, учитываемые при выполнении требования, представлены в 5.6.3.1, 5.7.3.1, 5.7.3.3, 5.16.3.1, 5.16.3.2.</t>
  </si>
  <si>
    <t>Применять корректирующие воздействия по результатам анализа заимствованных компонентов на предмет наличия известных уязвимостей. Артефакты реализации требований, учитываемые при выполнении требования, представлены в 5.16.3.1, 5.16.3.2, 5.16.3.3, 5.16.3.4, 5.16.3.5.</t>
  </si>
  <si>
    <t>5.16.3</t>
  </si>
  <si>
    <t>5.16.3.1</t>
  </si>
  <si>
    <t>Регламент композиционного анализа должен содержать следующие сведения:
- обязанности сотрудников и их роли при проведении композиционного анализа;
- правила отслеживания уязвимостей для заимствованных компонентов, участвующих в сборке ПО;
- правила проведения анализа заимствованных компонентов на предмет наличия известных уязвимостей;
- правила принятия компенсирующих и защитных мер по противодействию выявленным угрозам безопасности в цепочке поставки сторонних компонентов;
- периодичность проведения композиционного анализа в соответствии с установленными практиками сборки ПО.</t>
  </si>
  <si>
    <t>5.16.3.2</t>
  </si>
  <si>
    <t>Перечень зависимостей ПО должен включать следующие сведения:
- перечень модулей (компонентов) заимствованного ПО с указанием их версий;
- источник (поставщик) модулей (компонентов) заимствованного ПО.</t>
  </si>
  <si>
    <t>5.16.3.3</t>
  </si>
  <si>
    <t>Результаты контроля актуальности перечня зависимостей ПО должны включать следующие сведения:
- описание процедуры контроля перечня зависимостей ПО и его актуализации;
- описание инструментов контроля актуальности перечня зависимостей ПО;
- журналы регистрации событий, связанных с контролем актуальности перечня зависимостей ПО, а также связанных с обновлениями модулей (компонентов) заимствованного ПО, участвующих в сборке ПО.</t>
  </si>
  <si>
    <t>5.16.3.4</t>
  </si>
  <si>
    <t>Результаты анализа заимствованных компонентов должны содержать следующие сведения:
- сведения о наличии/отсутствии известных уязвимостей в заимствованных компонентах;
- сведения о критичности выявленных уязвимостей в заимствованных компонентах.</t>
  </si>
  <si>
    <t>5.16.3.5</t>
  </si>
  <si>
    <t>Результаты применения корректирующих воздействий по устранению уязвимостей в зависимостях ПО могут содержать:
а) для ПО с закрытыми исходными текстами (проприетарного ПО):
1) результаты анализа применимости и реализуемости уязвимости,
2) результаты обращения к поставщику (разработчику) уязвимых модулей (компонентов) ПО по поводу их обновления,
3) результаты обновления зависимых компонентов ПО по мере поступления обновлений от поставщика (разработчика);
б) для ПО с открытыми исходными текстами:
1) результаты анализа применимости и реализуемости уязвимости,
2) результаты попыток обновления зависимых компонентов, в случае невозможности обновления путем обновления версии — применения собственного механизма исправления.</t>
  </si>
  <si>
    <t>5.17</t>
  </si>
  <si>
    <t>Проверка кода на предмет внедрения вредоносного программного обеспечения через цепочки поставок</t>
  </si>
  <si>
    <t>5.17.1</t>
  </si>
  <si>
    <t>5.17.1.1</t>
  </si>
  <si>
    <t>Создание условий для снижения рисков внедрения вредоносного ПО посредством воздействий на ПО или механизмы его доставки до получения ПО конечными пользователями и недопущение компрометации данных (информации) или информационной системы, использующей такое ПО.</t>
  </si>
  <si>
    <t>5.17.2</t>
  </si>
  <si>
    <t>5.17.2.1</t>
  </si>
  <si>
    <t>Осуществлять контроль зависящих от сторонних поставщиков элементов разработки (процессов; компонентов инфраструктуры разработки ПО, зависящих от сторонних поставщиков; компонентов, являющихся частью разрабатываемого ПО, которые поставляются или заимствуются от сторонних поставщиков). Артефакты реализации требований, учитываемые при выполнении требования, представлены в 5.6.3.1, 5.12.3.2, 5.16.3.2.</t>
  </si>
  <si>
    <t>Осуществлять контроль договорных обязательств со сторонними поставщиками. Артефакты реализации требований, учитываемые при выполнении требования, представлены в 5.17.3.1.</t>
  </si>
  <si>
    <t>Осуществлять выявление элементов инфраструктуры разработчика, воздействие на которые может повлиять на возникновение недекларированных возможностей в ПО. Артефакты реализации требований, учитываемые при выполнении требования, представлены в 5.6.3.1, 5.7.3.1, 5.7.3.3, 5.17.3.1.</t>
  </si>
  <si>
    <t>Осуществлять контроль использования предсобранного поставщиком ПО (кода, для которого отсутствуют исходные тексты). Артефакты реализации требований, учитываемые при выполнении требования, представлены в 5.6.3.1.</t>
  </si>
  <si>
    <t>Осуществлять анализ кода ПО, полученного через цепочки поставок, на предмет внедрения вредоносного программного обеспечения. Артефакты реализации требований, учитываемые при выполнении требования, представлены в 5.17.3.1, 5.17.3.3.</t>
  </si>
  <si>
    <t>5.17.3</t>
  </si>
  <si>
    <t>5.17.3.1</t>
  </si>
  <si>
    <t>Перечень процессов, компонентов инфраструктуры, частей разрабатываемого ПО, зависящих от сторонних поставщиков, должен содержать следующие сведения:
- описание внутренних процессов, зависящих от сторонних поставщиков;
- описание компонентов инфраструктуры разработки ПО, зависящих от сторонних поставщиков;
- описание компонентов, являющихся частью разрабатываемого ПО, которые поставляются или заимствуются от сторонних поставщиков.</t>
  </si>
  <si>
    <t>5.17.3.2</t>
  </si>
  <si>
    <t>Сведения о договорных обязательствах со сторонними поставщиками могут включать следующую информацию:
- перечень поставщиков с указанием поставляемых продуктов (услуг);
- сведения о заключенных договорах со сторонними поставщиками, включающие информацию о поставляемых продуктах (услугах), сроках начала и окончания договоров, иную информацию.</t>
  </si>
  <si>
    <t>5.17.3.3</t>
  </si>
  <si>
    <t>Сведения о критичных и вероятных с точки зрения внедрения недекларированных возможностей элементах инфраструктуры (компонентах инфраструктуры разработки ПО, зависящих от сторонних поставщиков) должны содержать следующую информацию:
- перечень элементов инфраструктуры разработчика, воздействие на которые может повлиять на возникновение недекларированных возможностей в ПО;
- информацию о поставщиках продуктов (услуг) для указанных в перечне элементов инфраструктуры разработчика.</t>
  </si>
  <si>
    <t>5.17.3.4</t>
  </si>
  <si>
    <t>Результаты контроля использования предсобранного поставщиком ПО должны содержать информацию, позволяющую определить наличие предсобранных поставщиком ПО компонентов и осуществить их идентификацию (по свойствам файлов, контрольным суммам файлов и т. п.).</t>
  </si>
  <si>
    <t>5.17.3.5</t>
  </si>
  <si>
    <t>Результаты анализа кода ПО, полученного через цепочки поставок, на предмет внедрения вредоносного программного обеспечения должны содержать, как минимум, отчеты сканирования средств антивирусной защиты.</t>
  </si>
  <si>
    <t>5.18</t>
  </si>
  <si>
    <t>5.18.1</t>
  </si>
  <si>
    <t>5.18.1.1</t>
  </si>
  <si>
    <t>Контроль полноты реализованных функциональных возможностей, обнаружение и исправление ошибок с использованием технологий функционального тестирования.</t>
  </si>
  <si>
    <t>5.18.2</t>
  </si>
  <si>
    <t>Разработать план функционального тестирования. Артефакты реализации требований, учитываемые при выполнении требования, представлены в 5.3.3.2, 5.6.3.1, 5.7.3.1, 5.7.3.3.</t>
  </si>
  <si>
    <t>Проводить функциональное тестирование, по результатам тестирования разрабатывать отчеты о выполненном функциональном тестировании. Артефакты реализации требований, учитываемые при выполнении требования, представлены в 5.18.3.1.</t>
  </si>
  <si>
    <t>При проведении функционального тестирования выполнять тестирование на уровне модулей (компонентов), подсистем, всего ПО в целом. Артефакты реализации требований, учитываемые при выполнении требования, представлены в 5.18.3.1.</t>
  </si>
  <si>
    <t>Регистрировать ход проведения тестирования. Артефакты реализации требований, учитываемые при выполнении требования, представлены в 5.18.3.1.</t>
  </si>
  <si>
    <t>5.18.2.5</t>
  </si>
  <si>
    <t>Организовывать процесс исправления выявленных в ходе тестирования ошибок с использованием системы управления ошибками. Артефакты реализации требований, учитываемые при выполнении требования, представлены в 5.18.3.2, 5.18.3.3.</t>
  </si>
  <si>
    <t>5.18.3</t>
  </si>
  <si>
    <t>5.18.3.1</t>
  </si>
  <si>
    <t>План функционального тестирования должен содержать следующие сведения:
- обязанности сотрудников и их роли при проведении функционального тестирования;
- описание тестового стенда (тестовой среды);
- описание сценариев тестирования для каждой функциональной возможности ПО, включающее формулировку функциональных требований, выполняемые действия по оценке, ожидаемые результаты тестирования и критерии успешного прохождения проверок;
- критерии выполнения повторного тестирования;
- критерии завершения и остановки тестирования.</t>
  </si>
  <si>
    <t>5.18.3.2</t>
  </si>
  <si>
    <t>Отчет по результатам функционального тестирования должен содержать, как минимум, следующую информацию:
- описание тестируемого ПО (версии ПО/модулей (компонентов) ПО, номера (идентификаторы) сборок ПО/модулей (компонентов) ПО, системные требования к тестируемому ПО) и его среды функционирования для каждого выполненного сценария тестирования;
- перечень выполненных сценариев тестирования и последовательность их выполнения;
- перечень выполненных действий и ограничений (описание отдельных аспектов, которые не проверялись);
- описание полученных результатов, перечень обнаруженных и исправленных ошибок;
- выводы по результатам тестирования.</t>
  </si>
  <si>
    <t>В отчетах по результатам функционального тестирования должна содержаться информация, позволяющая идентифицировать выполненные функциональные тесты ПО на уровне модулей (компонентов), подсистем, всего ПО в целом.</t>
  </si>
  <si>
    <t>5.18.3.3</t>
  </si>
  <si>
    <t>Журналы функционального тестирования должны содержать, как минимум, следующую регистрационную информацию:
- дату и время выполнения тестовых операций (запуск и завершение сценария тестирования);
- результат выполнения сценария тестирования;
- изменения тестируемого ПО (состава и содержания модулей ПО, компонентов ПО, функциональных подсистем ПО и т. п.);
- возникновение любых сбоев и ошибок.</t>
  </si>
  <si>
    <t>5.18.3.4</t>
  </si>
  <si>
    <t>Сведения системы управления ошибками должны содержать, как минимум, регистрационную информацию о выявленных ошибках:
- дату и время тестирования, при котором была выявлена ошибка;
- тестовый сценарий;
- идентификационную информацию о модуле (компоненте) ПО, в котором выявлена ошибка;
- категорию ошибки;
- принятое решение;
- информацию о подтверждении факта наличия ошибки от разработчика;
- информацию об исправлении ошибки.</t>
  </si>
  <si>
    <t>5.19</t>
  </si>
  <si>
    <t>5.19.1</t>
  </si>
  <si>
    <t>5.19.1.1</t>
  </si>
  <si>
    <t>Подтверждение того, что поверхность атаки, модель угроз и архитектура ПО содержат необходимую информацию.</t>
  </si>
  <si>
    <t>5.19.1.2</t>
  </si>
  <si>
    <t>Обнаружение недостатков программы путем выполнения нефункциональных тестов, в том числе имитирующих действия потенциального нарушителя.</t>
  </si>
  <si>
    <t>5.19.2</t>
  </si>
  <si>
    <t>5.19.2.1</t>
  </si>
  <si>
    <t>Проводить нефункциональное тестирование в отношении ПО (модулей ПО, компонентов ПО) в объемах, определяемых разработчиком.</t>
  </si>
  <si>
    <t>Разработать регламент нефункционального тестирования. Артефакты реализации требований, учитываемые при выполнении требования, представлены в 5.6.3.1, 5.7.3.1, 5.7.3.3.</t>
  </si>
  <si>
    <t>5.19.2.3</t>
  </si>
  <si>
    <t>Проводить нефункциональное тестирование с целью выявления локальных и сетевых интерфейсов взаимодействия с ПО (модулями ПО, компонентами ПО) пользователя и взаимодействий модулей (компонентов) ПО между собой, средой функционирования и внешними объектами. Артефакты реализации требований, учитываемые при выполнении требования, представлены в 5.6.3.1, 5.7.3.1, 5.7.3.3, 5.19.3.1.</t>
  </si>
  <si>
    <t>Осуществлять выполнение нефункциональных тестов, в том числе имитирующих действия потенциального нарушителя. Артефакты реализации требований, учитываемемые при выполнении требования, представлены в 5.6.3.1, 5.7.3.1, 5.7.3.3, 5.19.3.1.</t>
  </si>
  <si>
    <t>Осуществлять корректировку описания поверхности атаки, модели угроз и архитектуры ПО по результатам выполнения нефункционального тестирования. Артефакты реализации требований, учитываемые при выполнении требования, представлены в 5.6.3.1, 5.7.3.1, 5.7.3.3, 5.19.3.2, 5.19.3.3.</t>
  </si>
  <si>
    <t>5.19.3</t>
  </si>
  <si>
    <t>5.19.3.1</t>
  </si>
  <si>
    <t>Регламент нефункционального тестирования должен содержать следующие сведения:
- критерии выбора версий ПО (модулей ПО, компонентов ПО), подлежащих нефункциональному тестированию, и определения периодичности тестирования;
- перечень используемых для нефункционального тестирования методов и средств;
- обязанности сотрудников и их роли при проведении нефункционального тестирования;
- описание типовых сценариев тестирования;
- описание возможностей и мотивации потенциального нарушителя в соответствии с результатами моделирования угроз разрабатываемого ПО;
- описание типовых сценариев проведения компьютерных атак для основных сценариев работы ПО (модулей ПО, компонентов ПО).</t>
  </si>
  <si>
    <t>5.19.3.2</t>
  </si>
  <si>
    <t>Отчет по результатам нефункционального тестирования должен содержать следующую информацию:
- краткое описание тестируемого ПО и его инфраструктуры развертывания;
- описание выполненных сценариев тестирования и последовательности их выполнения;
- набор целей (модулей ПО, компонентов ПО) тестирования;
- перечень выполненных действий и ограничений (описание отдельных аспектов, которые не проверялись);
- результаты нефункционального тестирования (снимки экрана (скриншоты), рабочие файлы инструментов нефункционального тестирования и т. п.);
- выводы, включающие следующую информацию: найденные недостатки (уязвимости) программ, средства и методы их выявления, результаты оценки опасности уязвимостей, описание возможных последствий эксплуатации уязвимостей, рекомендации по устранению найденных уязвимостей.</t>
  </si>
  <si>
    <t>5.19.3.3</t>
  </si>
  <si>
    <t>Результаты сравнения архитектуры ПО, модели угроз и описания поверхности атаки с полученными фактическими результатами, перечень необходимых изменений в указанных артефактах реализации требований (при необходимости).</t>
  </si>
  <si>
    <t>5.20</t>
  </si>
  <si>
    <t>5.20.1</t>
  </si>
  <si>
    <t>5.20.1.1</t>
  </si>
  <si>
    <t>Организация приемки ПО с целью недопущения недостатков кода ПО перед его предоставлением пользователям.</t>
  </si>
  <si>
    <t>5.20.2</t>
  </si>
  <si>
    <t>Разработать регламент приемки ПО.</t>
  </si>
  <si>
    <t>Осуществлять анализ степени влияния на безопасность ПО неустраненных ошибок. Информация о неустраненных ошибках выпускаемого ПО должна быть зафиксирована (например, в системе управления изменениями, системе отслеживания ошибок и т. п.). Артефакты реализации требований, учитываемые при выполнении требования, представлены в 5.9.3.2, 5.20.3.1, 5.10.3.4, 5.11.3.5, 5.16.3.5, 5.18.3.2.</t>
  </si>
  <si>
    <t>Разработать регламент обеспечения целостности ПО, передаваемого пользователям.</t>
  </si>
  <si>
    <t>Обеспечивать возможность проверки пользователями целостности ПО.</t>
  </si>
  <si>
    <t>5.20.3</t>
  </si>
  <si>
    <t>5.20.3.1</t>
  </si>
  <si>
    <t>Регламент приемки ПО должен содержать следующие сведения:
- обязанности сотрудников и их роли при проведении приемки ПО;
- описание типовых сценариев приемки ПО перед предоставлением его пользователям.</t>
  </si>
  <si>
    <t>5.20.3.2</t>
  </si>
  <si>
    <t>Результаты анализа влияния на безопасность ПО неустраненных ошибок должны включать следующие сведения:
- перечень выявленных несоответствий;
- принятые решения по устранению несоответствий;
- принятые решения по результатам анализа о влиянии на безопасность ПО неустраненных ошибок.</t>
  </si>
  <si>
    <t>5.20.3.3</t>
  </si>
  <si>
    <t>Регламент обеспечения целостности ПО, передаваемого пользователям, должен содержать:
- перечень мер, реализуемых разработчиком ПО с целью обеспечения возможности проверки целостности ПО пользователями;
- порядок применения мер по обеспечению возможности проверки целостности ПО пользователями;
- порядок информирования пользователей ПО о механизмах проверки целостности ПО.</t>
  </si>
  <si>
    <t>5.20.3.4</t>
  </si>
  <si>
    <t>Результаты проверки выполнения мер по обеспечению целостности ПО.</t>
  </si>
  <si>
    <t>5.21</t>
  </si>
  <si>
    <t>5.21.1</t>
  </si>
  <si>
    <t>5.21.1.1</t>
  </si>
  <si>
    <t>Обеспечение защиты ПО, в том числе документации ПО, от угроз, возникающих в процессе передачи ПО пользователю.</t>
  </si>
  <si>
    <t>5.21.2</t>
  </si>
  <si>
    <t>Разработать регламент безопасной поставки ПО пользователям.</t>
  </si>
  <si>
    <t>Фиксировать версии поставляемого пользователям ПО и соответствующей поставляемой документации. Артефакты реализации требований, учитываемые при выполнении требования, представлены в 5.21.3.1.</t>
  </si>
  <si>
    <t>Организовать хранение копий версий поставляемого пользователям ПО и соответствующей поставляемой документации. Артефакты реализации требований, учитываемемые при выполнении требования, представлены в 5.21.3.1.</t>
  </si>
  <si>
    <t>Поставлять ПО вместе с эксплуатационной документацией, содержащей, как минимум, описание штатного функционирования ПО, параметров настроек (конфигураций) ПО и среды функционирования, действий по установке и настройке средства, как с точки зрения штатного функционирования, так и с точки зрения обеспечения безопасности. Артефакты реализации требований, учитываемые при выполнении требования, представлены в 5.21.3.1.</t>
  </si>
  <si>
    <t>5.21.3</t>
  </si>
  <si>
    <t>5.21.3.1</t>
  </si>
  <si>
    <t>Регламент безопасной поставки ПО пользователям должен содержать следующие сведения:
- обязанности сотрудников и их роли при осуществлении безопасной доставки ПО;
- процедуры хранения копий версий поставляемого пользователям ПО;
- процедуры снятия копий (тиражирования) поставляемого пользователям ПО;
- процедуры поставки ПО (обновлений ПО, включая обновления безопасности, предназначенных для устранения недостатков, в том числе уязвимостей);
- процедуры проверки подлинности ПО (обновлений ПО) пользователем.</t>
  </si>
  <si>
    <t>5.21.3.2</t>
  </si>
  <si>
    <t>Сведения о версии поставляемого пользователям ПО должны быть зафиксированы в поставляемой документации (в электронном виде или на физическом носителе).</t>
  </si>
  <si>
    <t>5.21.3.3</t>
  </si>
  <si>
    <t>Сведения о месте хранения копий (подлинников, дубликатов) версий поставляемого пользователям ПО (инсталляционных пакетов, дистрибутивных носителей) должны быть зафиксированы в документации (в электронном виде или на физическом носителе), например в регламенте безопасной поставки ПО.</t>
  </si>
  <si>
    <t>5.21.3.4</t>
  </si>
  <si>
    <t>Сведения о поставляемой эксплуатационной документации на ПО должны быть зафиксированы (в электронном виде или на физическом носителе), например в регламенте безопасной поставки ПО, в паспорте (формуляре) ПО.</t>
  </si>
  <si>
    <t>5.22</t>
  </si>
  <si>
    <t>5.22.1</t>
  </si>
  <si>
    <t>5.22.1.1</t>
  </si>
  <si>
    <t>Обеспечение технической поддержки ПО при его эксплуатации с целью устранения выявляемых в ходе использования и обновления ПО недостатков.</t>
  </si>
  <si>
    <t>5.22.2</t>
  </si>
  <si>
    <t>Разработать регламент технической поддержки.</t>
  </si>
  <si>
    <t>Организовать работу службы технической поддержки. Артефакты реализации требований, учитываемые при выполнении требования, представлены в 5.22.3.1.</t>
  </si>
  <si>
    <t>Разработать процедуру оповещения пользователей о выпуске обновлений (включая обновления безопасности) и необходимости их установки. Артефакты реализации требований, учитываемые при выполнении требования, представлены в 5.22.3.1.</t>
  </si>
  <si>
    <t>Организовывать обучение специалистов службы технической поддержки работе с поставляемым ПО, особенностям его установки и функционирования, ограничениям и указаниям по эксплуатации. Артефакты реализации требований, учитываемые при выполнении требования, представлены в 5.22.3.1.</t>
  </si>
  <si>
    <t>Разработать процедуру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 Артефакты реализации требований, учитываемые при выполнении требования, представлены в 5.22.3.1.</t>
  </si>
  <si>
    <t>5.22.3</t>
  </si>
  <si>
    <t>5.22.3.1</t>
  </si>
  <si>
    <t>Регламент технической поддержки должен содержать следующие сведения:
- обязанности сотрудников и их роли при оказании технической поддержки;
- описание организации службы технической поддержки: режим работы, сроки оказания услуг по технической поддержке пользователей, иная информация об организации службы технической поддержки;
- используемые инструменты;
- описание процедуры взаимодействия службы технической поддержки с пользователями (способы получения обращений пользователей, процесс обработки поступающих сообщений и др.);
- описание процедур оповещения пользователей о выпуске обновлений (включая обновления безопасности) и необходимости их установки;
- описание процедур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
- информацию об обучении сотрудников службы технической поддержки.</t>
  </si>
  <si>
    <t>5.22.3.2</t>
  </si>
  <si>
    <t>Артефактами реализации требований, подтверждающими наличие технической поддержки, могут являться записи о наличии должностей сотрудников технической поддержки в штатном расписании организации, документированные факты оказания конкретных услуг по технической поддержке пользователей, иные факты и документированные материалы.</t>
  </si>
  <si>
    <t>5.22.3.3</t>
  </si>
  <si>
    <t>Артефакты реализации требований, подтверждающие наличие внедренных процессов оповещения пользователей, должны содержать информацию об используемых каналах взаимодействия с пользователями при выпуске обновлений (включая обновления безопасности) и необходимости их установки.</t>
  </si>
  <si>
    <t>5.22.3.4</t>
  </si>
  <si>
    <t>Артефакты реализации требований, подтверждающие наличие процессов обучения специалистов службы технической поддержки, могут содержать информацию о пройденных семинарах, вебинарах, курсах или иную информацию, подтверждающую умения и знания специалистов службы технической поддержки, необходимые для работы с поставляемым ПО, его особенностям установки и функционирования, ограничениями и указаниями по эксплуатации.</t>
  </si>
  <si>
    <t>5.22.3.5</t>
  </si>
  <si>
    <t>Артефакты реализации требований, подтверждающие наличие процессов информирования пользователей ПО о выявленных уязвимостях, должны содержать информацию об используемых каналах взаимодействия с пользователями и способах реализации мер по их нейтрализации до разработки обновлений безопасности, устраняющих уязвимость.</t>
  </si>
  <si>
    <t>5.23</t>
  </si>
  <si>
    <t>5.23.1</t>
  </si>
  <si>
    <t>5.23.1.1</t>
  </si>
  <si>
    <t>Обеспечение выявления и устранения уязвимостей при эксплуатации ПО.</t>
  </si>
  <si>
    <t>5.23.2</t>
  </si>
  <si>
    <t>Разработать регламент реагирования на информацию об уязвимостях. Артефакты реализации требований, учитываемые при выполнении требования, представлены в 5.6.3.1, 5.7.3.1, 5.7.3.3.</t>
  </si>
  <si>
    <t>Осуществлять обработку поступающих запросов от пользователей (через службу технической поддержки, по иным каналам взаимодействия) с последующим анализом ошибок функционирования на предмет наличия уязвимостей (в случае получения таких запросов). Артефакты реализации требований, учитываемые при выполнении требования, представлены в 5.23.3.1.</t>
  </si>
  <si>
    <t>При обработке поступающих запросов и при последующем анализе использовать средства автоматизации (например, систему управления изменениями, систему отслеживания ошибок, систему управления задачами и т. п.).</t>
  </si>
  <si>
    <t>Осуществлять анализ информации о найденных уязвимостях в ПО на предмет подтверждения наличия/отсутствия уязвимостей и принимать решение о необходимости их устранения по результатам оценки. Артефакты реализации требований, учитываемые при выполнении требования, представлены в 5.23.3.2.</t>
  </si>
  <si>
    <t>Осуществлять оценку актуальности и критичности уязвимости с точки зрения безопасности ПО (в случае получения информации об уязвимости ПО из внешнего источника) и принимать решение о необходимости ее устранения по результатам оценки. Артефакты реализации требований, учитываемые при выполнении требования, представлены в 5.23.3.3.</t>
  </si>
  <si>
    <t>5.23.3</t>
  </si>
  <si>
    <t>5.23.3.1</t>
  </si>
  <si>
    <t>Регламент реагирования на информацию об уязвимостях должен содержать:
- обязанности сотрудников и их роли при реагировании на информацию об уязвимостях ПО;
- правила реагирования на информацию об уязвимостях;
- правила оценки актуальности и критичности уязвимости с точки зрения безопасности ПО;
- периодичность проведения поиска известных (подтвержденных) уязвимостей в общедоступных источниках информации об уязвимостях ПО.</t>
  </si>
  <si>
    <t>5.23.3.2</t>
  </si>
  <si>
    <t>Артефакты реализации требований, подтверждающие получение и обработку запросов от пользователей, должны содержать следующие сведения:
- информацию о запросах пользователей об ошибках (уязвимостях) ПО (дата, время запроса, идентификатор пользователя, статус запроса);
- результат анализа ошибок функционирования на предмет наличия уязвимостей.</t>
  </si>
  <si>
    <t>5.23.3.3</t>
  </si>
  <si>
    <t>Артефакты реализации требований, подтверждающие выполнение анализа информации о найденных уязвимостях в ПО, должны содержать следующие сведения:
- информацию о результатах тестирования ПО на предмет применимости информации об уязвимости ПО;
- проект (шаблон) ответа пользователям на запросы пользователей об ошибках (уязвимостях) ПО (о применимости информации о найденных уязвимостях);
- решение по результатам анализа информации о найденных уязвимостях в ПО.</t>
  </si>
  <si>
    <t>5.23.3.4</t>
  </si>
  <si>
    <t>Артефакты реализации требований, подтверждающие выполнение оценки актуальности и критичности уязвимости с точки зрения безопасности, должны содержать следующие сведения:
- информацию об оценке актуальности уязвимости;
- информацию об оценке уровня критичности уязвимости ПО;
- решение по результатам анализа актуальности и критичности уязвимости.</t>
  </si>
  <si>
    <t>5.24</t>
  </si>
  <si>
    <t>5.24.1</t>
  </si>
  <si>
    <t>5.24.1.1</t>
  </si>
  <si>
    <t>Организация систематического и углубленного поиска ошибок и уязвимостей в ПО при его эксплуатации в целях упреждающего реагирования: обработки ошибок кода ПО и его конфигураций (настроек) до того, как они будут выявлены сторонними лицами и повлекут инциденты информационной безопасности.</t>
  </si>
  <si>
    <t>5.24.2</t>
  </si>
  <si>
    <t>5.24.2.1</t>
  </si>
  <si>
    <t>Разработать регламент поиска ошибок и уязвимостей в ПО при его эксплуатации. Артефакты реализации требований, учитываемые при выполнении требования, представлены в 5.6.3.1, 5.7.3.1, 5.7.3.3.</t>
  </si>
  <si>
    <t>Актуализировать информацию об уязвимостях ПО из открытых источников на регулярной основе на всем протяжении срока действия его технической поддержки: выполнять поиск в открытых источниках информации об уязвимостях самого ПО и его сторонних компонентов. Артефакты реализации требований, учитываемые при выполнении требования, представлены в 5.16.3.2, 5.24.3.1.</t>
  </si>
  <si>
    <t>Проводить проверки кода ПО и настроек конфигураций ПО на регулярной основе на всем протяжении срока действия его технической поддержки с целью поиска ошибок и уязвимостей. Артефакты реализации требований, учитываемые при выполнении требования, представлены в 5.24.3.1.</t>
  </si>
  <si>
    <t>5.24.2.4</t>
  </si>
  <si>
    <t>Оценивать выявленные ошибки на предмет наличия уязвимостей.</t>
  </si>
  <si>
    <t>5.24.3</t>
  </si>
  <si>
    <t>5.24.3.1</t>
  </si>
  <si>
    <t>Регламент поиска ошибок и уязвимостей в эксплуатирующемся ПО должен содержать:
- обязанности сотрудников и их роли при поиске ошибок и уязвимостей в эксплуатирующемся ПО;
- правила поиска известных (подтвержденных) уязвимостей в общедоступных источниках информации об уязвимостях ПО, его программных компонентов и сред его функционирования;
- состав проводимых проверок и периодичность их проведения на протяжении всего срока действия технической поддержки ПО для каждой версии ПО.</t>
  </si>
  <si>
    <t>5.24.3.2</t>
  </si>
  <si>
    <t>Регулярные отчеты по результатам проводимых проверок, в которые включается информация об исправлении найденных ошибок, выпуска обновлений ПО и доставки обновлений ПО пользователям.</t>
  </si>
  <si>
    <t>5.25</t>
  </si>
  <si>
    <t>5.25.1</t>
  </si>
  <si>
    <t>5.25.1.1</t>
  </si>
  <si>
    <t>Недопущение реализации угроз безопасности, связанных с эксплуатацией неподдерживаемой версии ПО.</t>
  </si>
  <si>
    <t>5.25.2</t>
  </si>
  <si>
    <t>Разработать регламент вывода ПО из эксплуатации.</t>
  </si>
  <si>
    <t>Информировать пользователя о планах прекращения технической поддержки ПО (версии ПО) и своевременно уведомлять об этом.</t>
  </si>
  <si>
    <t>5.25.3</t>
  </si>
  <si>
    <t>5.25.3.1</t>
  </si>
  <si>
    <t>Регламент вывода ПО из эксплуатации должен содержать описание условий, при которых ПО (версию ПО) необходимо выводить из эксплуатации, обязанности сотрудников и их роли при осуществлении вывода ПО из эксплуатации ПО и порядок оповещения пользователей о планах прекращения технической поддержки ПО (версии ПО).</t>
  </si>
  <si>
    <t>ID_требования</t>
  </si>
  <si>
    <t>Является требованием?</t>
  </si>
  <si>
    <t>Маппинг?</t>
  </si>
  <si>
    <r>
      <t xml:space="preserve">Согласно методике DAF уровень зрелости присваивается, если выполнено два ОБЯЗАТЕЛЬНЫХ условия: "Выполнено не менее 80% практик уровня Кирилламиды" </t>
    </r>
    <r>
      <rPr>
        <b/>
        <u/>
        <sz val="10"/>
        <color theme="1"/>
        <rFont val="Calibri"/>
        <family val="2"/>
        <charset val="204"/>
        <scheme val="minor"/>
      </rPr>
      <t>И</t>
    </r>
    <r>
      <rPr>
        <sz val="10"/>
        <color theme="1"/>
        <rFont val="Calibri"/>
        <family val="2"/>
        <charset val="204"/>
        <scheme val="minor"/>
      </rPr>
      <t xml:space="preserve"> (!!!) "все предыдущие уровни зрелости выполнены не менее чем на 80%"
</t>
    </r>
    <r>
      <rPr>
        <b/>
        <sz val="10"/>
        <color theme="1"/>
        <rFont val="Calibri"/>
        <family val="2"/>
        <charset val="204"/>
        <scheme val="minor"/>
      </rPr>
      <t xml:space="preserve">Примечание к формулам расчета справа: 
</t>
    </r>
    <r>
      <rPr>
        <sz val="10"/>
        <color theme="1"/>
        <rFont val="Calibri"/>
        <family val="2"/>
        <charset val="204"/>
        <scheme val="minor"/>
      </rPr>
      <t xml:space="preserve">1. Сначала определяем закрыт ли каждый из уровней "Хаос" (уровень 0) </t>
    </r>
    <r>
      <rPr>
        <b/>
        <u/>
        <sz val="10"/>
        <color theme="1"/>
        <rFont val="Calibri"/>
        <family val="2"/>
        <charset val="204"/>
        <scheme val="minor"/>
      </rPr>
      <t>И</t>
    </r>
    <r>
      <rPr>
        <sz val="10"/>
        <color theme="1"/>
        <rFont val="Calibri"/>
        <family val="2"/>
        <charset val="204"/>
        <scheme val="minor"/>
      </rPr>
      <t xml:space="preserve"> "Минимальный" (уровень 1) не менее чем на 80% (ячейкаR37). Если оба закрыты, то присваиваем уровень 1, если нет - уровень 0
2. Затем определяем закрыт ли уровень "Базовый" на 80 и более %. Если да - присваиваем уровень 2, если нет - смотрим значение ячейки R37
3. Затем определяем закрыт ли уровень "Повышенный" на 80 и более %. Если да - присваиваем уровень 3, если нет - смотрим значение ячейки R38
4. итд</t>
    </r>
  </si>
  <si>
    <t>SM1.1</t>
  </si>
  <si>
    <t>SM2.6</t>
  </si>
  <si>
    <t>SM3.2</t>
  </si>
  <si>
    <t xml:space="preserve">Publish process and evolve as necessary. </t>
  </si>
  <si>
    <t xml:space="preserve">Educate executives on software security. </t>
  </si>
  <si>
    <t xml:space="preserve">Implement security checkpoints and associated governance. </t>
  </si>
  <si>
    <t xml:space="preserve">Publish data about software security internally and use it to drive change. </t>
  </si>
  <si>
    <t xml:space="preserve">Enforce security checkpoints and track exceptions. </t>
  </si>
  <si>
    <t xml:space="preserve">Create or grow a satellite (security champions). </t>
  </si>
  <si>
    <t>Require security sign-off prior to software release</t>
  </si>
  <si>
    <t>Create evangelism role and perform internal marketing.</t>
  </si>
  <si>
    <t>Use a software asset tracking application with portfolio view.</t>
  </si>
  <si>
    <t xml:space="preserve">Make SSI efforts part of external marketing. </t>
  </si>
  <si>
    <t>Identify metrics and use them to drive resourcing.</t>
  </si>
  <si>
    <t>Integrate software-defined lifecycle governance.</t>
  </si>
  <si>
    <t>Integrate software supply chain risk management.</t>
  </si>
  <si>
    <t>CP1.3</t>
  </si>
  <si>
    <t>CP2.2</t>
  </si>
  <si>
    <t xml:space="preserve">Unify regulatory pressures. </t>
  </si>
  <si>
    <t xml:space="preserve">Identify privacy obligations. </t>
  </si>
  <si>
    <t>Create policy.</t>
  </si>
  <si>
    <t>Build a PII inventry.</t>
  </si>
  <si>
    <t>Require security sign-off for compliance-related risk.</t>
  </si>
  <si>
    <t>Implement and track controls for compliance.</t>
  </si>
  <si>
    <t>Include software security SLAs in all vendor contracts.</t>
  </si>
  <si>
    <t>Ensure executive awareness of compliance and privacy obligations.</t>
  </si>
  <si>
    <t>Document a software compliance story.</t>
  </si>
  <si>
    <t>Ensure compatible vendor policies.</t>
  </si>
  <si>
    <t>Drive feedback from software lifecycle data back to policy.</t>
  </si>
  <si>
    <t>T1.1</t>
  </si>
  <si>
    <t>T1.7</t>
  </si>
  <si>
    <t>T2.5</t>
  </si>
  <si>
    <t>T2.8</t>
  </si>
  <si>
    <t>T2.9</t>
  </si>
  <si>
    <t>T2.10</t>
  </si>
  <si>
    <t>T2.11</t>
  </si>
  <si>
    <t>T3.2</t>
  </si>
  <si>
    <t>T3.6</t>
  </si>
  <si>
    <t>Conduct software security awareness training.</t>
  </si>
  <si>
    <t>Deliver on-demand individual training</t>
  </si>
  <si>
    <t>Include security resources in onboarding.</t>
  </si>
  <si>
    <t>Enhance satellite (security champions) through training and events.</t>
  </si>
  <si>
    <t>Create and use material specific to company history.</t>
  </si>
  <si>
    <t>Deliver role-specific advanced curriculum.</t>
  </si>
  <si>
    <t>Host software security events</t>
  </si>
  <si>
    <t>Require an annual refresher.</t>
  </si>
  <si>
    <t xml:space="preserve">Provide expertise via open collaboration channels. </t>
  </si>
  <si>
    <t>Reward progression through curriculum.</t>
  </si>
  <si>
    <t>Trovide training for vendors and outsourced workers.</t>
  </si>
  <si>
    <t>Identify new satellite members (security champions) through observation.</t>
  </si>
  <si>
    <t>AM1.2</t>
  </si>
  <si>
    <t>AM1.3</t>
  </si>
  <si>
    <t>AM1.5</t>
  </si>
  <si>
    <t>AM2.6</t>
  </si>
  <si>
    <t>AM2.7</t>
  </si>
  <si>
    <t>AM2.8</t>
  </si>
  <si>
    <t>AM2.9</t>
  </si>
  <si>
    <t>AM3.2</t>
  </si>
  <si>
    <t>AM3.4</t>
  </si>
  <si>
    <t>AM3.5</t>
  </si>
  <si>
    <t>Use a data classification scheme for software inventory.</t>
  </si>
  <si>
    <t>Identify potential attackers.</t>
  </si>
  <si>
    <t>Gather and use attack intelligence.</t>
  </si>
  <si>
    <t>Build attack patterns and abuse cases tied to potential attackers.</t>
  </si>
  <si>
    <t>Collect and publish attack stories</t>
  </si>
  <si>
    <t>Build an internal forum to discuss attacks.</t>
  </si>
  <si>
    <t>Have a research group that develops new attack methods.</t>
  </si>
  <si>
    <t>Monitor automated asset creation</t>
  </si>
  <si>
    <t xml:space="preserve">Create and use automation to mimic attackers. </t>
  </si>
  <si>
    <t xml:space="preserve">Create technology-specific attack patterns. </t>
  </si>
  <si>
    <t>Maintain and use a top N possible attacks list</t>
  </si>
  <si>
    <t>SFD1.1</t>
  </si>
  <si>
    <t>SFD2.1</t>
  </si>
  <si>
    <t>SFD2.2</t>
  </si>
  <si>
    <t>SFD3.1</t>
  </si>
  <si>
    <t>SFD3.2</t>
  </si>
  <si>
    <t>SFD3.3</t>
  </si>
  <si>
    <t>Integrate and deliver security features</t>
  </si>
  <si>
    <t>Application architecture teams engage with the SSG.</t>
  </si>
  <si>
    <t>Leverage secure-by-design components and services</t>
  </si>
  <si>
    <t>Create capability to solve difficult design problems</t>
  </si>
  <si>
    <t>Form a review board to approve and maintain secure design patterns.</t>
  </si>
  <si>
    <t>Require use of approved security features and frameworks.</t>
  </si>
  <si>
    <t>Find and publish secure design patterns from the organization.</t>
  </si>
  <si>
    <t>SR1.1</t>
  </si>
  <si>
    <t>SR1.2</t>
  </si>
  <si>
    <t>SR1.3</t>
  </si>
  <si>
    <t>SR2.5</t>
  </si>
  <si>
    <t>SR3.3</t>
  </si>
  <si>
    <t>Create security standards.</t>
  </si>
  <si>
    <t xml:space="preserve">Create a security portal. </t>
  </si>
  <si>
    <t>Translate compliance constraints to requirements.</t>
  </si>
  <si>
    <t>Identify open source.</t>
  </si>
  <si>
    <t>Create a standards review process.</t>
  </si>
  <si>
    <t>Create SLA boilerplate</t>
  </si>
  <si>
    <t>Control open source risk.</t>
  </si>
  <si>
    <t>Communicate standards to vendors</t>
  </si>
  <si>
    <t>Use secure coding standards.</t>
  </si>
  <si>
    <t>Create standards for technology stacks.</t>
  </si>
  <si>
    <t>AA1.2</t>
  </si>
  <si>
    <t>AA2.1</t>
  </si>
  <si>
    <t>AA2.2</t>
  </si>
  <si>
    <t>AA2.4</t>
  </si>
  <si>
    <t>AA3.1</t>
  </si>
  <si>
    <t>AA3.2</t>
  </si>
  <si>
    <t>AA3.3</t>
  </si>
  <si>
    <t>Perform security feature review.</t>
  </si>
  <si>
    <t>Perform design review for high-risk applications.</t>
  </si>
  <si>
    <t>Use a risk methodology to rank applications</t>
  </si>
  <si>
    <t>Perform architecture analysis using a defined process.</t>
  </si>
  <si>
    <t>Standardize architectural descriptions</t>
  </si>
  <si>
    <t>Have SSG lead design review efforts</t>
  </si>
  <si>
    <t>Have engineering teams lead AA process.</t>
  </si>
  <si>
    <t>Drive analysis results into standard design patterns.</t>
  </si>
  <si>
    <t>Make the SSG available as an AA resource or mentor.</t>
  </si>
  <si>
    <t>CR1.4</t>
  </si>
  <si>
    <t>CR1.5</t>
  </si>
  <si>
    <t>Perform opportunistic code review</t>
  </si>
  <si>
    <t xml:space="preserve">Use automated code review tools. </t>
  </si>
  <si>
    <t>Make code review mandatory for all projects</t>
  </si>
  <si>
    <t>Assign code review tool mentors</t>
  </si>
  <si>
    <t>Use custom rules with automated code review tools.</t>
  </si>
  <si>
    <t>Use a top N bugs list (real data preferred).</t>
  </si>
  <si>
    <t>Use centralized defect reporting to close the knowledge loop.</t>
  </si>
  <si>
    <t>Build a capability to combine AST results</t>
  </si>
  <si>
    <t>Create capability to eradicate bugs.</t>
  </si>
  <si>
    <t>Automate malicious code detection.</t>
  </si>
  <si>
    <t>Enforce secure coding standards</t>
  </si>
  <si>
    <t>ST1.3</t>
  </si>
  <si>
    <t>Perform edge/boundary value condition testing during QA.</t>
  </si>
  <si>
    <t>Drive tests with security requirements and security features.</t>
  </si>
  <si>
    <t>Integrate opaque-box security tools into the QA process.</t>
  </si>
  <si>
    <t>Drive QA tests with AST results.</t>
  </si>
  <si>
    <t>Include security tests in QA automation.</t>
  </si>
  <si>
    <t>Perform fuzz testing customized to application APIs.</t>
  </si>
  <si>
    <t>Drive tests with design review results</t>
  </si>
  <si>
    <t>Leverage code coverage analysis.</t>
  </si>
  <si>
    <t>Begin to build and apply adversarial security tests (abuse cases).</t>
  </si>
  <si>
    <t>Implement event-driven security testing in automation</t>
  </si>
  <si>
    <t>PT1.2</t>
  </si>
  <si>
    <t>PT2.3</t>
  </si>
  <si>
    <t xml:space="preserve">Use external penetration testers to find problems. </t>
  </si>
  <si>
    <t>Feed results to the defect management and mitigation system.</t>
  </si>
  <si>
    <t>Use penetration testing tools internally</t>
  </si>
  <si>
    <t>Penetration testers use all available information</t>
  </si>
  <si>
    <t>Schedule periodic penetration tests for application coverage.</t>
  </si>
  <si>
    <t>Use external penetration testers to perform deep-dive analysis</t>
  </si>
  <si>
    <t>Customize penetration testing tools</t>
  </si>
  <si>
    <t>SE2.5</t>
  </si>
  <si>
    <t>SE3.6</t>
  </si>
  <si>
    <t>SE3.9</t>
  </si>
  <si>
    <t>Use application input monitoring.</t>
  </si>
  <si>
    <t>Ensure host and network security basics are in place.</t>
  </si>
  <si>
    <t>Implement cloud security controls.</t>
  </si>
  <si>
    <t>Define secure deployment parameters and configurations.</t>
  </si>
  <si>
    <t>Protect code integrity.</t>
  </si>
  <si>
    <t>Use application containers to support security goals.</t>
  </si>
  <si>
    <t>Use orchestration for containers and virtualized environments.</t>
  </si>
  <si>
    <t>Use code protection.</t>
  </si>
  <si>
    <t>Use application behavior monitoring and diagnostics.</t>
  </si>
  <si>
    <t xml:space="preserve">Create bills of materials for deployed software. </t>
  </si>
  <si>
    <t>Perform application composition analysis on code repositories.</t>
  </si>
  <si>
    <t>Protect integrity of development toolchains</t>
  </si>
  <si>
    <t>CMVM1.2</t>
  </si>
  <si>
    <t>CMVM1.3</t>
  </si>
  <si>
    <t>CMVM3.3</t>
  </si>
  <si>
    <t>CMVM3.6</t>
  </si>
  <si>
    <t>CMVM3.7</t>
  </si>
  <si>
    <t>CMVM3.8</t>
  </si>
  <si>
    <t xml:space="preserve">Create or interface with incident response. </t>
  </si>
  <si>
    <t>Identify software defects found in operations monitoring and feed them back to engineering</t>
  </si>
  <si>
    <t>Track software defects found in operations through the fix process.</t>
  </si>
  <si>
    <t>Have emergency response.</t>
  </si>
  <si>
    <t>Develop an operations software inventory</t>
  </si>
  <si>
    <t>Fix all occurrences of software defects found in operations.</t>
  </si>
  <si>
    <t>Enhance the SSDL to prevent software defects found in operations.</t>
  </si>
  <si>
    <t>Simulate software crises.</t>
  </si>
  <si>
    <t>Operate a bug bounty program.</t>
  </si>
  <si>
    <t>Automate verification of operational infrastructure security</t>
  </si>
  <si>
    <t>Publish risk data for deployable artifacts</t>
  </si>
  <si>
    <t>Streamline incoming responsible vulnerability disclosure.</t>
  </si>
  <si>
    <t>Do attack surface management for deployed applications.</t>
  </si>
  <si>
    <t>GOVERNANCE</t>
  </si>
  <si>
    <t>Strategy &amp; Metrics (SM)</t>
  </si>
  <si>
    <t>Compliance &amp; Policy (CP)</t>
  </si>
  <si>
    <t>Training (T)</t>
  </si>
  <si>
    <t>INTELLIGENCE</t>
  </si>
  <si>
    <t>Attack Models (AM)</t>
  </si>
  <si>
    <t>Security Features &amp; Design (SFD)</t>
  </si>
  <si>
    <t>Standards &amp; Requirements (SR)</t>
  </si>
  <si>
    <t>SSDL TOUCHPOINTS</t>
  </si>
  <si>
    <t>Architecture Analysis (AA)</t>
  </si>
  <si>
    <t>Code Review (CR)</t>
  </si>
  <si>
    <t>Security Testing (ST)</t>
  </si>
  <si>
    <t>DEPLOYMENT</t>
  </si>
  <si>
    <t>Penetration Testing (PT)</t>
  </si>
  <si>
    <t>Software Environment (SE)</t>
  </si>
  <si>
    <t>Configuration Management &amp; Vulnerability Management (CMVM)</t>
  </si>
  <si>
    <t>Маппинг DAF</t>
  </si>
  <si>
    <t>ID-DAF</t>
  </si>
  <si>
    <t>Всего требований BSIMM</t>
  </si>
  <si>
    <t>Подсчет требований DAF</t>
  </si>
  <si>
    <t>Подсчет требований BSIMM</t>
  </si>
  <si>
    <t>Коэф. сложности для фреймворка</t>
  </si>
  <si>
    <t>2 - бэкенд</t>
  </si>
  <si>
    <t>3 - бэкенд</t>
  </si>
  <si>
    <t>Итого сколько нужно AppSec'ов (FTE)</t>
  </si>
  <si>
    <t>Требование ГОСТ 56939-2024</t>
  </si>
  <si>
    <t>Практика DAF</t>
  </si>
  <si>
    <t>Выполнение практики DAF</t>
  </si>
  <si>
    <t>Осуществляется контроль за тем, как сканеры безопасности (SAST,SCA,Secrets) игнорируют "skip/ignore scan" inline комментарии и ignore файлы (.aiignore, .gitleaksignore и т.д.)</t>
  </si>
  <si>
    <t>Автоматизированный харденинг настроек проектов в SCM через API или dev. platform eng. с сравнением состояния</t>
  </si>
  <si>
    <t>Доступ к SCM осуществляется только с разрешенных IP-адресов</t>
  </si>
  <si>
    <t>Выполняется создание цифровых подписей артефактов после проверок безопасности и перед их отправкой в доверенный registry</t>
  </si>
  <si>
    <t>При выполнении запросов на слияние (PR/MR) предоставляется список всех уязвимостей используемых зависимостей.
Это может быть реализовано с помощью SCA решения</t>
  </si>
  <si>
    <t xml:space="preserve">Доступ к среде сборки (build) (оркестратор, worker-узлы и т.д.) ограничен (настроен RBAC) </t>
  </si>
  <si>
    <t>Запрос на слияние (PR/MR) реализуется только при успешном прохождении всех проверок</t>
  </si>
  <si>
    <t>Все открытые ветки (branches) обновляются перед отправкой запросов на слияние</t>
  </si>
  <si>
    <t>Для каждого изменения исходного кода есть соответствующий тикет в системе управления заданиями (task management system, например, jira)</t>
  </si>
  <si>
    <t xml:space="preserve">Только подписанные commits (signed commit) допускаются к запросам на слияние (MR/PR) (особенно в main-ветку) </t>
  </si>
  <si>
    <t>Каждое изменение в исходном коде (запрос на слияние (MR/PR)) согласовывается как минимум двумя аутентифицированными пользователями</t>
  </si>
  <si>
    <t>Инструменты идентификации секретов охватывают:
   - Все версии кода, хранящиеся в SCM
   - Манифесты IaC
   - Артефакты: 
       - образы Docker, 
       - Все репозитории
       - Облачную инфраструктуру
       - Сканирование и блокирование  секретов во время стадий pull/Merge</t>
  </si>
  <si>
    <t>Не заполнено</t>
  </si>
  <si>
    <t>Отдельная команда</t>
  </si>
  <si>
    <t>Группа команд</t>
  </si>
  <si>
    <t>Вся компания</t>
  </si>
  <si>
    <t>Иное</t>
  </si>
  <si>
    <t>Область действия практики</t>
  </si>
  <si>
    <t>Модель</t>
  </si>
  <si>
    <r>
      <t>Q1</t>
    </r>
    <r>
      <rPr>
        <b/>
        <sz val="8"/>
        <color theme="1"/>
        <rFont val="Segoe UI"/>
        <family val="2"/>
        <charset val="204"/>
      </rPr>
      <t> </t>
    </r>
  </si>
  <si>
    <t>Домены и поддомены</t>
  </si>
  <si>
    <t>2.1. Требования по ИБ к ОС для узлов, на которых запускаются контейнеры</t>
  </si>
  <si>
    <t>3. Защита элементов ИТ-инфраструктуры, используемой для запуска контейнеров с использованием оркестратора</t>
  </si>
  <si>
    <t>3.1. Требования по ИБ к ОС узлам оркестратора</t>
  </si>
  <si>
    <t>3.2. Требования по ИБ к средствам контейнеризации, используемых средами контейнерной оркестрации</t>
  </si>
  <si>
    <t>3.3 Требования по ИБ к средам контейнерной оркестрации</t>
  </si>
  <si>
    <t>3.4 Рекомендации по мониторингу и выявлению инцидентов ИБ. Сценарии выявления инцидентов информационной безопасности для сред контейнерной оркестрации и контейнеризации.</t>
  </si>
  <si>
    <t>4. Защита образов контейнеров</t>
  </si>
  <si>
    <t>4.1. Требования по ИБ к конфигурационным файлам, которые используются для сборки образов (Dockerfile);</t>
  </si>
  <si>
    <t>4.2.  Требования по ИБ к процессу сборки образов контейнеров</t>
  </si>
  <si>
    <t>4.3. Требования по ИБ к размещению в реестре образов контейнеров</t>
  </si>
  <si>
    <t>5. Анализ Kubernetes-манифестов</t>
  </si>
  <si>
    <t>5.1. Требования по ИБ к манифестам, используемым для создания ресурсов в средах контейнерной оркестрации</t>
  </si>
  <si>
    <t>5.2. Требования по управлению секретами (применимо к манифестам)</t>
  </si>
  <si>
    <t>5.3. Требования по ИБ к контролю создаваемых ресурсов в среде контейнерной оркестрации</t>
  </si>
  <si>
    <t>5.4. Требования к автоматизации ИБ-проверок манифестов</t>
  </si>
  <si>
    <t>6. Защита контейнеров</t>
  </si>
  <si>
    <t>6.1. Требования по ИБ к контейнерам</t>
  </si>
  <si>
    <t>5.2. Требования к автоматизации проверок</t>
  </si>
  <si>
    <t>ИБ-тестирование, DAST и SLA по дефектам</t>
  </si>
  <si>
    <t>порядок формирования перечня элементов ПО (компонентов, модулей и тому подобное), документации на ПО, подлежащих отслеживанию в рамках жизненного цикла ПО;</t>
  </si>
  <si>
    <t>перечень запрещенных способов кодирования, конструкций и тому подобное</t>
  </si>
  <si>
    <t>правила обработки срабатываний средств динамического анализа, требующих обработки (аварийная остановка, зависание и тому подобное)</t>
  </si>
  <si>
    <t>параметры эксплуатации инструментов динамического анализа (для платформ, языков программирования и тому подобное)</t>
  </si>
  <si>
    <t>Сведения о критичных и вероятных с точки зрения внедрения недекларированных возможностей элементах инфраструктуры (компонентах инфраструктуры разработки ПО, зависящих от сторонних поставщиков)</t>
  </si>
  <si>
    <t>изменения тестируемого ПО (состава и содержания модулей ПО, компонентов ПО, функциональных подсистем ПО и тому подобное)</t>
  </si>
  <si>
    <t xml:space="preserve">Сведения о месте хранения копий (подлинников, дубликатов) версий поставляемого пользователям ПО (инсталляционных пакетов, дистрибутивных носителей) </t>
  </si>
  <si>
    <t>описание процедуры взаимодействия службы технической поддержки с пользователями (способы получения обращений пользователей, процесс обработки поступающих сообщений и другое)</t>
  </si>
  <si>
    <t xml:space="preserve"> -</t>
  </si>
  <si>
    <r>
      <t xml:space="preserve">Количество строк кода </t>
    </r>
    <r>
      <rPr>
        <b/>
        <u/>
        <sz val="10"/>
        <color theme="0"/>
        <rFont val="Segoe UI"/>
        <family val="2"/>
        <charset val="204"/>
      </rPr>
      <t>ВСЕГО</t>
    </r>
    <r>
      <rPr>
        <sz val="10"/>
        <color theme="0"/>
        <rFont val="Segoe UI"/>
        <family val="2"/>
        <charset val="204"/>
      </rPr>
      <t xml:space="preserve"> (в тысячах)</t>
    </r>
  </si>
  <si>
    <r>
      <t xml:space="preserve">СРЕДНЕЕ количество </t>
    </r>
    <r>
      <rPr>
        <b/>
        <u/>
        <sz val="10"/>
        <color theme="0"/>
        <rFont val="Segoe UI"/>
        <family val="2"/>
        <charset val="204"/>
      </rPr>
      <t>ИЗМЕНЯЕМЫХ</t>
    </r>
    <r>
      <rPr>
        <sz val="10"/>
        <color theme="0"/>
        <rFont val="Segoe UI"/>
        <family val="2"/>
        <charset val="204"/>
      </rPr>
      <t xml:space="preserve"> каждый релиз строк код (в тысячах)</t>
    </r>
  </si>
  <si>
    <r>
      <rPr>
        <b/>
        <u/>
        <sz val="11"/>
        <color theme="0"/>
        <rFont val="Segoe UI"/>
        <family val="2"/>
        <charset val="204"/>
      </rPr>
      <t>РЕЗУЛЬТАТ:</t>
    </r>
    <r>
      <rPr>
        <sz val="11"/>
        <color theme="0"/>
        <rFont val="Segoe UI"/>
        <family val="2"/>
        <charset val="204"/>
      </rPr>
      <t xml:space="preserve"> Затрачиваемое время на анализ результатов AppSec'ом, часов в год</t>
    </r>
  </si>
  <si>
    <r>
      <t>Внедрение средство управления секретами (HashiCorp Vault</t>
    </r>
    <r>
      <rPr>
        <sz val="8"/>
        <color theme="1"/>
        <rFont val="Segoe UI"/>
        <family val="2"/>
        <charset val="204"/>
      </rPr>
      <t> </t>
    </r>
    <r>
      <rPr>
        <sz val="11"/>
        <color rgb="FF000000"/>
        <rFont val="Segoe UI"/>
        <family val="2"/>
        <charset val="204"/>
      </rPr>
      <t>)</t>
    </r>
  </si>
  <si>
    <r>
      <t>Харденинг узлов сборки</t>
    </r>
    <r>
      <rPr>
        <sz val="8"/>
        <color theme="1"/>
        <rFont val="Segoe UI"/>
        <family val="2"/>
        <charset val="204"/>
      </rPr>
      <t> </t>
    </r>
    <r>
      <rPr>
        <sz val="11"/>
        <color rgb="FF000000"/>
        <rFont val="Segoe UI"/>
        <family val="2"/>
        <charset val="204"/>
      </rPr>
      <t xml:space="preserve">, настройка </t>
    </r>
    <r>
      <rPr>
        <sz val="11"/>
        <color theme="1"/>
        <rFont val="Segoe UI"/>
        <family val="2"/>
        <charset val="204"/>
      </rPr>
      <t>мониторинга, сетевых доступов к workers и пр.</t>
    </r>
  </si>
  <si>
    <r>
      <t>Харденинг SCM, настройка RBAC</t>
    </r>
    <r>
      <rPr>
        <sz val="8"/>
        <color theme="1"/>
        <rFont val="Segoe UI"/>
        <family val="2"/>
        <charset val="204"/>
      </rPr>
      <t>  </t>
    </r>
  </si>
  <si>
    <r>
      <t xml:space="preserve">Харденинг </t>
    </r>
    <r>
      <rPr>
        <sz val="11"/>
        <color theme="1"/>
        <rFont val="Segoe UI"/>
        <family val="2"/>
        <charset val="204"/>
      </rPr>
      <t>СI\CD</t>
    </r>
    <r>
      <rPr>
        <sz val="11"/>
        <color rgb="FF000000"/>
        <rFont val="Segoe UI"/>
        <family val="2"/>
        <charset val="204"/>
      </rPr>
      <t xml:space="preserve">, настройка RBAC, настройка и </t>
    </r>
    <r>
      <rPr>
        <sz val="11"/>
        <color theme="1"/>
        <rFont val="Segoe UI"/>
        <family val="2"/>
        <charset val="204"/>
      </rPr>
      <t>анализ логов pipeline и пр.</t>
    </r>
  </si>
  <si>
    <r>
      <t>Внедрение решения OSA\SCA</t>
    </r>
    <r>
      <rPr>
        <sz val="8"/>
        <color theme="1"/>
        <rFont val="Segoe UI"/>
        <family val="2"/>
        <charset val="204"/>
      </rPr>
      <t>  </t>
    </r>
  </si>
  <si>
    <r>
      <t>Внедрить анализ образов контейнеров и защиту runtime для всех команд</t>
    </r>
    <r>
      <rPr>
        <sz val="8"/>
        <color theme="1"/>
        <rFont val="Segoe UI"/>
        <family val="2"/>
        <charset val="204"/>
      </rPr>
      <t> </t>
    </r>
    <r>
      <rPr>
        <sz val="11"/>
        <color rgb="FF000000"/>
        <rFont val="Segoe UI"/>
        <family val="2"/>
        <charset val="204"/>
      </rPr>
      <t xml:space="preserve">, настроить </t>
    </r>
    <r>
      <rPr>
        <sz val="11"/>
        <color theme="1"/>
        <rFont val="Segoe UI"/>
        <family val="2"/>
        <charset val="204"/>
      </rPr>
      <t xml:space="preserve">контроль конфигураций </t>
    </r>
    <r>
      <rPr>
        <sz val="8"/>
        <color theme="1"/>
        <rFont val="Segoe UI"/>
        <family val="2"/>
        <charset val="204"/>
      </rPr>
      <t> </t>
    </r>
  </si>
  <si>
    <r>
      <t>Внедрить решение класса DAST</t>
    </r>
    <r>
      <rPr>
        <sz val="8"/>
        <color theme="1"/>
        <rFont val="Segoe UI"/>
        <family val="2"/>
        <charset val="204"/>
      </rPr>
      <t> </t>
    </r>
  </si>
  <si>
    <r>
      <t>Внедрить анализ образов контейнеров и защиту runtime для всех команд</t>
    </r>
    <r>
      <rPr>
        <sz val="8"/>
        <color theme="1"/>
        <rFont val="Segoe UI"/>
        <family val="2"/>
        <charset val="204"/>
      </rPr>
      <t> </t>
    </r>
  </si>
  <si>
    <r>
      <t>Внедрить средство управления секретами (Hashicorp vault)</t>
    </r>
    <r>
      <rPr>
        <sz val="8"/>
        <color theme="1"/>
        <rFont val="Segoe UI"/>
        <family val="2"/>
        <charset val="204"/>
      </rPr>
      <t> </t>
    </r>
  </si>
  <si>
    <r>
      <t>Настройка admission policy</t>
    </r>
    <r>
      <rPr>
        <sz val="8"/>
        <color theme="1"/>
        <rFont val="Segoe UI"/>
        <family val="2"/>
        <charset val="204"/>
      </rPr>
      <t> </t>
    </r>
  </si>
  <si>
    <r>
      <t xml:space="preserve">После внедрения решения Container Security создать правила </t>
    </r>
    <r>
      <rPr>
        <sz val="8"/>
        <color theme="1"/>
        <rFont val="Segoe UI"/>
        <family val="2"/>
        <charset val="204"/>
      </rPr>
      <t>  </t>
    </r>
    <r>
      <rPr>
        <sz val="11"/>
        <color rgb="FF000000"/>
        <rFont val="Segoe UI"/>
        <family val="2"/>
        <charset val="204"/>
      </rPr>
      <t>корреляции от него в SIEM</t>
    </r>
  </si>
  <si>
    <r>
      <t>Разработать план обучения специалистов</t>
    </r>
    <r>
      <rPr>
        <sz val="11"/>
        <color theme="1"/>
        <rFont val="Segoe UI"/>
        <family val="2"/>
        <charset val="204"/>
      </rPr>
      <t>, соглсасование плана обучений</t>
    </r>
  </si>
  <si>
    <t>Инструкция по заполнению описана в репозитории проекта на Github</t>
  </si>
  <si>
    <t>SM3.4
CR1.4
CR1.5</t>
  </si>
  <si>
    <r>
      <t xml:space="preserve">Для </t>
    </r>
    <r>
      <rPr>
        <b/>
        <u/>
        <sz val="11"/>
        <rFont val="Calibri"/>
        <family val="2"/>
        <charset val="204"/>
        <scheme val="minor"/>
      </rPr>
      <t>критичных</t>
    </r>
    <r>
      <rPr>
        <sz val="11"/>
        <rFont val="Calibri"/>
        <family val="2"/>
        <charset val="204"/>
        <scheme val="minor"/>
      </rPr>
      <t xml:space="preserve"> приложений, разработанных подрядчиками, регулярно проводятся пентесты/исходный код проверяется своими силами или другими специализированными подрядчиками</t>
    </r>
  </si>
  <si>
    <r>
      <t xml:space="preserve">Для </t>
    </r>
    <r>
      <rPr>
        <b/>
        <u/>
        <sz val="11"/>
        <rFont val="Calibri"/>
        <family val="2"/>
        <charset val="204"/>
        <scheme val="minor"/>
      </rPr>
      <t>всех</t>
    </r>
    <r>
      <rPr>
        <sz val="11"/>
        <rFont val="Calibri"/>
        <family val="2"/>
        <charset val="204"/>
        <scheme val="minor"/>
      </rPr>
      <t xml:space="preserve"> приложений, разработанных подрядчиками ПО, проводятся пентесты/проходит проверку исходный код (в случае его предоставления) внутренними силами или при помощи специализированных подрядчиков</t>
    </r>
  </si>
  <si>
    <t>SM3.1
AM2.9</t>
  </si>
  <si>
    <t>SM3.1
AM2.9
CMVM2.3</t>
  </si>
  <si>
    <t>SM1.1
SR1.1
SR1.2</t>
  </si>
  <si>
    <t>SR1.2
SR3.3</t>
  </si>
  <si>
    <t>SR1.2
SR2.2</t>
  </si>
  <si>
    <t>AM1.3
AA2.1
AA2.2</t>
  </si>
  <si>
    <t>SM1.4
CP2.3</t>
  </si>
  <si>
    <t>SM1.4
CP2.3
ST1.3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</si>
</sst>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4" x14ac:knownFonts="1">
    <font>
      <sz val="11"/>
      <color theme="1"/>
      <name val="Calibri"/>
      <family val="2"/>
      <charset val="204"/>
      <scheme val="minor"/>
    </font>
    <font>
      <b/>
      <sz val="14"/>
      <color theme="1"/>
      <name val="Calibri"/>
      <family val="2"/>
      <scheme val="minor"/>
    </font>
    <font>
      <b/>
      <sz val="11"/>
      <color theme="1"/>
      <name val="Calibri"/>
      <family val="2"/>
      <charset val="204"/>
      <scheme val="minor"/>
    </font>
    <font>
      <b/>
      <sz val="12"/>
      <color theme="1"/>
      <name val="Calibri"/>
      <family val="2"/>
      <scheme val="minor"/>
    </font>
    <font>
      <sz val="9"/>
      <color theme="1"/>
      <name val="Calibri"/>
      <family val="2"/>
      <charset val="204"/>
      <scheme val="minor"/>
    </font>
    <font>
      <b/>
      <sz val="18"/>
      <color theme="1"/>
      <name val="Calibri"/>
      <family val="2"/>
      <scheme val="minor"/>
    </font>
    <font>
      <sz val="11"/>
      <name val="Calibri"/>
      <family val="2"/>
      <charset val="204"/>
      <scheme val="minor"/>
    </font>
    <font>
      <sz val="11"/>
      <color rgb="FF000000"/>
      <name val="Calibri"/>
      <family val="2"/>
      <charset val="204"/>
      <scheme val="minor"/>
    </font>
    <font>
      <sz val="11"/>
      <color theme="1"/>
      <name val="Calibri"/>
      <family val="2"/>
      <charset val="204"/>
      <scheme val="minor"/>
    </font>
    <font>
      <b/>
      <sz val="18"/>
      <color theme="1"/>
      <name val="Calibri"/>
      <family val="2"/>
      <charset val="204"/>
      <scheme val="minor"/>
    </font>
    <font>
      <b/>
      <sz val="14"/>
      <color theme="1"/>
      <name val="Calibri"/>
      <family val="2"/>
      <charset val="204"/>
      <scheme val="minor"/>
    </font>
    <font>
      <b/>
      <sz val="11"/>
      <name val="Calibri"/>
      <family val="2"/>
      <charset val="204"/>
      <scheme val="minor"/>
    </font>
    <font>
      <b/>
      <sz val="18"/>
      <name val="Calibri"/>
      <family val="2"/>
      <charset val="204"/>
      <scheme val="minor"/>
    </font>
    <font>
      <sz val="11"/>
      <color rgb="FFFF0000"/>
      <name val="Calibri"/>
      <family val="2"/>
      <charset val="204"/>
      <scheme val="minor"/>
    </font>
    <font>
      <sz val="11"/>
      <name val="Calibri"/>
      <family val="2"/>
      <scheme val="minor"/>
    </font>
    <font>
      <b/>
      <u/>
      <sz val="11"/>
      <name val="Calibri"/>
      <family val="2"/>
      <charset val="204"/>
      <scheme val="minor"/>
    </font>
    <font>
      <b/>
      <sz val="9"/>
      <color theme="1"/>
      <name val="Arial"/>
      <family val="2"/>
    </font>
    <font>
      <sz val="9"/>
      <color theme="1"/>
      <name val="Arial"/>
      <family val="2"/>
    </font>
    <font>
      <sz val="11"/>
      <color theme="1"/>
      <name val="Calibri"/>
      <family val="2"/>
      <scheme val="minor"/>
    </font>
    <font>
      <u/>
      <sz val="11"/>
      <color theme="10"/>
      <name val="Calibri"/>
      <family val="2"/>
      <charset val="204"/>
      <scheme val="minor"/>
    </font>
    <font>
      <sz val="11"/>
      <color theme="1"/>
      <name val="Segoe UI"/>
      <family val="2"/>
      <charset val="204"/>
    </font>
    <font>
      <sz val="12"/>
      <color theme="1"/>
      <name val="Calibri"/>
      <family val="2"/>
      <scheme val="minor"/>
    </font>
    <font>
      <b/>
      <sz val="14"/>
      <color theme="1"/>
      <name val="Segoe UI"/>
      <family val="2"/>
      <charset val="204"/>
    </font>
    <font>
      <b/>
      <sz val="16"/>
      <color theme="1"/>
      <name val="Segoe UI"/>
      <family val="2"/>
      <charset val="204"/>
    </font>
    <font>
      <b/>
      <sz val="11"/>
      <color theme="1"/>
      <name val="Segoe UI"/>
      <family val="2"/>
      <charset val="204"/>
    </font>
    <font>
      <b/>
      <u/>
      <sz val="14"/>
      <color theme="1"/>
      <name val="Calibri"/>
      <family val="2"/>
      <charset val="204"/>
      <scheme val="minor"/>
    </font>
    <font>
      <sz val="12"/>
      <color theme="1"/>
      <name val="Calibri"/>
      <family val="2"/>
      <charset val="204"/>
      <scheme val="minor"/>
    </font>
    <font>
      <sz val="14"/>
      <color theme="1"/>
      <name val="Calibri"/>
      <family val="2"/>
      <scheme val="minor"/>
    </font>
    <font>
      <sz val="72"/>
      <color theme="1"/>
      <name val="Calibri"/>
      <family val="2"/>
      <scheme val="minor"/>
    </font>
    <font>
      <sz val="48"/>
      <color theme="1"/>
      <name val="Calibri"/>
      <family val="2"/>
      <scheme val="minor"/>
    </font>
    <font>
      <b/>
      <u/>
      <sz val="14"/>
      <color theme="1"/>
      <name val="Calibri"/>
      <family val="2"/>
      <scheme val="minor"/>
    </font>
    <font>
      <sz val="18"/>
      <color theme="1"/>
      <name val="Calibri"/>
      <family val="2"/>
      <scheme val="minor"/>
    </font>
    <font>
      <sz val="10"/>
      <color theme="1"/>
      <name val="Calibri"/>
      <family val="2"/>
      <charset val="204"/>
      <scheme val="minor"/>
    </font>
    <font>
      <b/>
      <u/>
      <sz val="10"/>
      <color theme="1"/>
      <name val="Calibri"/>
      <family val="2"/>
      <charset val="204"/>
      <scheme val="minor"/>
    </font>
    <font>
      <b/>
      <sz val="10"/>
      <color theme="1"/>
      <name val="Calibri"/>
      <family val="2"/>
      <charset val="204"/>
      <scheme val="minor"/>
    </font>
    <font>
      <b/>
      <sz val="12"/>
      <color theme="1"/>
      <name val="Segoe UI"/>
      <family val="2"/>
      <charset val="204"/>
    </font>
    <font>
      <sz val="12"/>
      <color theme="1"/>
      <name val="Segoe UI"/>
      <family val="2"/>
      <charset val="204"/>
    </font>
    <font>
      <b/>
      <sz val="16"/>
      <color theme="0"/>
      <name val="Segoe UI"/>
      <family val="2"/>
      <charset val="204"/>
    </font>
    <font>
      <b/>
      <sz val="11"/>
      <color rgb="FF000000"/>
      <name val="Segoe UI"/>
      <family val="2"/>
      <charset val="204"/>
    </font>
    <font>
      <b/>
      <sz val="12"/>
      <color theme="0"/>
      <name val="Segoe UI"/>
      <family val="2"/>
      <charset val="204"/>
    </font>
    <font>
      <b/>
      <sz val="8"/>
      <color theme="1"/>
      <name val="Segoe UI"/>
      <family val="2"/>
      <charset val="204"/>
    </font>
    <font>
      <b/>
      <sz val="20"/>
      <color theme="1"/>
      <name val="Segoe UI"/>
      <family val="2"/>
      <charset val="204"/>
    </font>
    <font>
      <b/>
      <sz val="10"/>
      <color theme="0"/>
      <name val="Segoe UI"/>
      <family val="2"/>
      <charset val="204"/>
    </font>
    <font>
      <b/>
      <sz val="11"/>
      <color theme="0"/>
      <name val="Segoe UI"/>
      <family val="2"/>
      <charset val="204"/>
    </font>
    <font>
      <b/>
      <sz val="14"/>
      <color theme="0"/>
      <name val="Segoe UI"/>
      <family val="2"/>
      <charset val="204"/>
    </font>
    <font>
      <sz val="11"/>
      <color theme="0"/>
      <name val="Segoe UI"/>
      <family val="2"/>
      <charset val="204"/>
    </font>
    <font>
      <sz val="8"/>
      <color theme="1"/>
      <name val="Segoe UI"/>
      <family val="2"/>
      <charset val="204"/>
    </font>
    <font>
      <sz val="11"/>
      <name val="Segoe UI"/>
      <family val="2"/>
      <charset val="204"/>
    </font>
    <font>
      <b/>
      <u/>
      <sz val="10"/>
      <color theme="0"/>
      <name val="Segoe UI"/>
      <family val="2"/>
      <charset val="204"/>
    </font>
    <font>
      <sz val="10"/>
      <color theme="0"/>
      <name val="Segoe UI"/>
      <family val="2"/>
      <charset val="204"/>
    </font>
    <font>
      <b/>
      <u/>
      <sz val="11"/>
      <color theme="0"/>
      <name val="Segoe UI"/>
      <family val="2"/>
      <charset val="204"/>
    </font>
    <font>
      <b/>
      <sz val="36"/>
      <color theme="1"/>
      <name val="Segoe UI"/>
      <family val="2"/>
      <charset val="204"/>
    </font>
    <font>
      <sz val="11"/>
      <color rgb="FF000000"/>
      <name val="Segoe UI"/>
      <family val="2"/>
      <charset val="204"/>
    </font>
    <font>
      <b/>
      <u/>
      <sz val="16"/>
      <color theme="10"/>
      <name val="Calibri"/>
      <family val="2"/>
      <charset val="204"/>
      <scheme val="minor"/>
    </font>
  </fonts>
  <fills count="46">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00B050"/>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3399FF"/>
        <bgColor indexed="64"/>
      </patternFill>
    </fill>
    <fill>
      <patternFill patternType="solid">
        <fgColor theme="9" tint="-0.249977111117893"/>
        <bgColor indexed="64"/>
      </patternFill>
    </fill>
    <fill>
      <patternFill patternType="solid">
        <fgColor rgb="FFFCE4D6"/>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0000"/>
        <bgColor indexed="64"/>
      </patternFill>
    </fill>
    <fill>
      <patternFill patternType="solid">
        <fgColor theme="9"/>
        <bgColor indexed="64"/>
      </patternFill>
    </fill>
    <fill>
      <patternFill patternType="solid">
        <fgColor theme="4" tint="0.59999389629810485"/>
        <bgColor indexed="64"/>
      </patternFill>
    </fill>
    <fill>
      <patternFill patternType="solid">
        <fgColor rgb="FFFF7C80"/>
        <bgColor indexed="64"/>
      </patternFill>
    </fill>
    <fill>
      <patternFill patternType="solid">
        <fgColor theme="0" tint="-0.14999847407452621"/>
        <bgColor indexed="64"/>
      </patternFill>
    </fill>
    <fill>
      <patternFill patternType="solid">
        <fgColor theme="7"/>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8"/>
        <bgColor indexed="64"/>
      </patternFill>
    </fill>
    <fill>
      <patternFill patternType="solid">
        <fgColor theme="5"/>
        <bgColor indexed="64"/>
      </patternFill>
    </fill>
    <fill>
      <patternFill patternType="solid">
        <fgColor theme="5" tint="0.39997558519241921"/>
        <bgColor indexed="64"/>
      </patternFill>
    </fill>
    <fill>
      <patternFill patternType="solid">
        <fgColor rgb="FFFF3300"/>
        <bgColor indexed="64"/>
      </patternFill>
    </fill>
    <fill>
      <patternFill patternType="solid">
        <fgColor rgb="FFC6E0B4"/>
        <bgColor indexed="64"/>
      </patternFill>
    </fill>
    <fill>
      <patternFill patternType="solid">
        <fgColor rgb="FFFFF2CC"/>
        <bgColor indexed="64"/>
      </patternFill>
    </fill>
    <fill>
      <patternFill patternType="solid">
        <fgColor rgb="FFFFE699"/>
        <bgColor indexed="64"/>
      </patternFill>
    </fill>
    <fill>
      <patternFill patternType="solid">
        <fgColor theme="0" tint="-0.34998626667073579"/>
        <bgColor indexed="64"/>
      </patternFill>
    </fill>
    <fill>
      <patternFill patternType="solid">
        <fgColor rgb="FF00C3FF"/>
        <bgColor indexed="64"/>
      </patternFill>
    </fill>
    <fill>
      <patternFill patternType="solid">
        <fgColor theme="1"/>
        <bgColor indexed="64"/>
      </patternFill>
    </fill>
    <fill>
      <patternFill patternType="solid">
        <fgColor rgb="FFC9F2FF"/>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indexed="64"/>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style="thin">
        <color theme="0"/>
      </left>
      <right style="thin">
        <color indexed="64"/>
      </right>
      <top style="medium">
        <color indexed="64"/>
      </top>
      <bottom style="medium">
        <color indexed="64"/>
      </bottom>
      <diagonal/>
    </border>
  </borders>
  <cellStyleXfs count="7">
    <xf numFmtId="0" fontId="0" fillId="0" borderId="0"/>
    <xf numFmtId="43" fontId="8" fillId="0" borderId="0" applyFont="0" applyFill="0" applyBorder="0" applyAlignment="0" applyProtection="0"/>
    <xf numFmtId="9" fontId="8" fillId="0" borderId="0" applyFont="0" applyFill="0" applyBorder="0" applyAlignment="0" applyProtection="0"/>
    <xf numFmtId="0" fontId="18" fillId="0" borderId="0"/>
    <xf numFmtId="0" fontId="19" fillId="0" borderId="0" applyNumberFormat="0" applyFill="0" applyBorder="0" applyAlignment="0" applyProtection="0"/>
    <xf numFmtId="0" fontId="21" fillId="0" borderId="0"/>
    <xf numFmtId="43" fontId="8" fillId="0" borderId="0" applyFont="0" applyFill="0" applyBorder="0" applyAlignment="0" applyProtection="0"/>
  </cellStyleXfs>
  <cellXfs count="622">
    <xf numFmtId="0" fontId="0" fillId="0" borderId="0" xfId="0"/>
    <xf numFmtId="0" fontId="0" fillId="0" borderId="1" xfId="0" applyBorder="1" applyAlignment="1">
      <alignment horizontal="left" vertical="center" wrapText="1"/>
    </xf>
    <xf numFmtId="0" fontId="0" fillId="0" borderId="1" xfId="0" applyBorder="1" applyAlignment="1">
      <alignment wrapText="1"/>
    </xf>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10" fontId="0" fillId="0" borderId="0" xfId="0" applyNumberFormat="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10" fillId="4" borderId="1" xfId="0" applyFont="1" applyFill="1" applyBorder="1" applyAlignment="1">
      <alignment horizontal="center" vertical="center" wrapText="1"/>
    </xf>
    <xf numFmtId="0" fontId="0" fillId="0" borderId="0" xfId="0" applyAlignment="1">
      <alignment vertical="center" wrapText="1"/>
    </xf>
    <xf numFmtId="49" fontId="0" fillId="0" borderId="1" xfId="0" applyNumberFormat="1" applyBorder="1" applyAlignment="1">
      <alignment vertical="center" wrapText="1"/>
    </xf>
    <xf numFmtId="49" fontId="0" fillId="0" borderId="0" xfId="0" applyNumberFormat="1" applyAlignment="1">
      <alignment vertical="center" wrapText="1"/>
    </xf>
    <xf numFmtId="0" fontId="0" fillId="0" borderId="1" xfId="0" applyBorder="1" applyAlignment="1">
      <alignment vertical="center" wrapText="1"/>
    </xf>
    <xf numFmtId="0" fontId="17" fillId="0" borderId="40" xfId="0" applyFont="1" applyBorder="1" applyAlignment="1">
      <alignment horizontal="left" vertical="center" wrapText="1"/>
    </xf>
    <xf numFmtId="0" fontId="17" fillId="0" borderId="40" xfId="0" applyFont="1" applyBorder="1"/>
    <xf numFmtId="0" fontId="17" fillId="0" borderId="0" xfId="0" applyFont="1"/>
    <xf numFmtId="0" fontId="4" fillId="0" borderId="0" xfId="0" applyFont="1"/>
    <xf numFmtId="0" fontId="17" fillId="0" borderId="40" xfId="0" applyFont="1" applyBorder="1" applyAlignment="1">
      <alignment wrapText="1"/>
    </xf>
    <xf numFmtId="0" fontId="17" fillId="18" borderId="40" xfId="0" applyFont="1" applyFill="1" applyBorder="1" applyAlignment="1">
      <alignment horizontal="left" vertical="center" wrapText="1"/>
    </xf>
    <xf numFmtId="0" fontId="17" fillId="18" borderId="40" xfId="0" applyFont="1" applyFill="1" applyBorder="1"/>
    <xf numFmtId="0" fontId="17" fillId="18" borderId="40" xfId="0" applyFont="1" applyFill="1" applyBorder="1" applyAlignment="1">
      <alignment horizontal="center" vertical="center" wrapText="1"/>
    </xf>
    <xf numFmtId="0" fontId="16" fillId="18" borderId="40" xfId="0" applyFont="1" applyFill="1" applyBorder="1" applyAlignment="1">
      <alignment horizontal="center" vertical="center" wrapText="1"/>
    </xf>
    <xf numFmtId="0" fontId="17" fillId="18" borderId="40" xfId="0" applyFont="1" applyFill="1" applyBorder="1" applyAlignment="1">
      <alignment horizontal="center"/>
    </xf>
    <xf numFmtId="2" fontId="16" fillId="18" borderId="40" xfId="0" applyNumberFormat="1" applyFont="1" applyFill="1" applyBorder="1" applyAlignment="1">
      <alignment horizontal="center"/>
    </xf>
    <xf numFmtId="0" fontId="16" fillId="0" borderId="40" xfId="0" applyFont="1" applyBorder="1" applyAlignment="1">
      <alignment horizontal="center" vertical="center" wrapText="1"/>
    </xf>
    <xf numFmtId="0" fontId="16" fillId="8" borderId="40" xfId="0" applyFont="1" applyFill="1" applyBorder="1" applyAlignment="1">
      <alignment horizontal="center" vertical="center"/>
    </xf>
    <xf numFmtId="0" fontId="16" fillId="8" borderId="40" xfId="0" applyFont="1" applyFill="1" applyBorder="1" applyAlignment="1">
      <alignment horizontal="center" vertical="center" wrapText="1"/>
    </xf>
    <xf numFmtId="2" fontId="17" fillId="0" borderId="40" xfId="0" applyNumberFormat="1" applyFont="1" applyBorder="1" applyAlignment="1">
      <alignment horizontal="center" vertical="center" wrapText="1"/>
    </xf>
    <xf numFmtId="2" fontId="16" fillId="0" borderId="40" xfId="0" applyNumberFormat="1" applyFont="1" applyBorder="1" applyAlignment="1">
      <alignment horizontal="center"/>
    </xf>
    <xf numFmtId="0" fontId="17" fillId="0" borderId="44" xfId="0" applyFont="1" applyBorder="1"/>
    <xf numFmtId="0" fontId="17" fillId="0" borderId="1" xfId="0" applyFont="1" applyBorder="1"/>
    <xf numFmtId="0" fontId="0" fillId="0" borderId="0" xfId="0" applyAlignment="1">
      <alignment horizontal="left" vertical="center"/>
    </xf>
    <xf numFmtId="0" fontId="0" fillId="14" borderId="1" xfId="0" applyFill="1" applyBorder="1" applyAlignment="1">
      <alignment horizontal="center" vertical="center" wrapText="1"/>
    </xf>
    <xf numFmtId="0" fontId="2" fillId="0" borderId="1" xfId="0" applyFont="1" applyBorder="1" applyAlignment="1">
      <alignment horizontal="center" vertical="center" wrapText="1"/>
    </xf>
    <xf numFmtId="9" fontId="6" fillId="0" borderId="1" xfId="2" applyFont="1" applyFill="1" applyBorder="1" applyAlignment="1">
      <alignment horizontal="center" vertical="center" wrapText="1"/>
    </xf>
    <xf numFmtId="0" fontId="0" fillId="33" borderId="0" xfId="0" applyFill="1" applyAlignment="1">
      <alignment wrapText="1"/>
    </xf>
    <xf numFmtId="0" fontId="17" fillId="0" borderId="40" xfId="0" applyFont="1" applyBorder="1" applyAlignment="1">
      <alignment horizontal="center" vertical="center" wrapText="1"/>
    </xf>
    <xf numFmtId="0" fontId="17" fillId="0" borderId="40" xfId="0" applyFont="1" applyBorder="1" applyAlignment="1">
      <alignment horizontal="center"/>
    </xf>
    <xf numFmtId="0" fontId="21" fillId="0" borderId="0" xfId="0" applyFont="1"/>
    <xf numFmtId="0" fontId="0" fillId="14" borderId="1" xfId="0" applyFill="1" applyBorder="1" applyAlignment="1">
      <alignment horizontal="left" vertical="center" wrapText="1"/>
    </xf>
    <xf numFmtId="0" fontId="0" fillId="14" borderId="1" xfId="0" applyFill="1" applyBorder="1" applyAlignment="1">
      <alignment horizontal="left" vertical="center"/>
    </xf>
    <xf numFmtId="0" fontId="17" fillId="29" borderId="1" xfId="0" applyFont="1" applyFill="1" applyBorder="1" applyAlignment="1">
      <alignment horizontal="left" vertical="center"/>
    </xf>
    <xf numFmtId="0" fontId="0" fillId="29" borderId="1" xfId="0" applyFill="1" applyBorder="1" applyAlignment="1">
      <alignment horizontal="left" vertical="center"/>
    </xf>
    <xf numFmtId="0" fontId="0" fillId="21" borderId="1" xfId="0" applyFill="1" applyBorder="1" applyAlignment="1">
      <alignment horizontal="left"/>
    </xf>
    <xf numFmtId="0" fontId="17" fillId="29" borderId="1" xfId="0" applyFont="1" applyFill="1" applyBorder="1" applyAlignment="1">
      <alignment horizontal="center" vertical="center"/>
    </xf>
    <xf numFmtId="2" fontId="2" fillId="21" borderId="1" xfId="0" applyNumberFormat="1" applyFont="1" applyFill="1" applyBorder="1" applyAlignment="1">
      <alignment horizontal="center"/>
    </xf>
    <xf numFmtId="0" fontId="21" fillId="0" borderId="0" xfId="0" applyFont="1" applyAlignment="1">
      <alignment horizontal="center" vertical="center"/>
    </xf>
    <xf numFmtId="0" fontId="21" fillId="0" borderId="0" xfId="0" applyFont="1" applyAlignment="1">
      <alignment vertical="center"/>
    </xf>
    <xf numFmtId="0" fontId="27" fillId="19" borderId="37" xfId="0" applyFont="1" applyFill="1" applyBorder="1" applyAlignment="1">
      <alignment horizontal="center" vertical="center" wrapText="1"/>
    </xf>
    <xf numFmtId="9" fontId="27" fillId="17" borderId="1" xfId="0" applyNumberFormat="1" applyFont="1" applyFill="1" applyBorder="1" applyAlignment="1">
      <alignment horizontal="center" vertical="center" wrapText="1"/>
    </xf>
    <xf numFmtId="0" fontId="27" fillId="25" borderId="37" xfId="0" applyFont="1" applyFill="1" applyBorder="1" applyAlignment="1">
      <alignment horizontal="center" vertical="center" wrapText="1"/>
    </xf>
    <xf numFmtId="0" fontId="27" fillId="11" borderId="37" xfId="0" applyFont="1" applyFill="1" applyBorder="1" applyAlignment="1">
      <alignment horizontal="center" vertical="center" wrapText="1"/>
    </xf>
    <xf numFmtId="0" fontId="27" fillId="12" borderId="37" xfId="0" applyFont="1" applyFill="1" applyBorder="1" applyAlignment="1">
      <alignment horizontal="center" vertical="center" wrapText="1"/>
    </xf>
    <xf numFmtId="0" fontId="27" fillId="24" borderId="37" xfId="0" applyFont="1" applyFill="1" applyBorder="1" applyAlignment="1">
      <alignment horizontal="center" vertical="center" wrapText="1"/>
    </xf>
    <xf numFmtId="0" fontId="27" fillId="6" borderId="37" xfId="0" applyFont="1" applyFill="1" applyBorder="1" applyAlignment="1">
      <alignment horizontal="center" vertical="center" wrapText="1"/>
    </xf>
    <xf numFmtId="0" fontId="27" fillId="7" borderId="37" xfId="0" applyFont="1" applyFill="1" applyBorder="1" applyAlignment="1">
      <alignment horizontal="center" vertical="center" wrapText="1"/>
    </xf>
    <xf numFmtId="0" fontId="27" fillId="22" borderId="38" xfId="0" applyFont="1" applyFill="1" applyBorder="1" applyAlignment="1">
      <alignment horizontal="center" vertical="center" wrapText="1"/>
    </xf>
    <xf numFmtId="0" fontId="26" fillId="15" borderId="1" xfId="0" applyFont="1" applyFill="1" applyBorder="1" applyAlignment="1">
      <alignment horizontal="left" vertical="center"/>
    </xf>
    <xf numFmtId="9" fontId="26" fillId="2" borderId="1" xfId="0" applyNumberFormat="1" applyFont="1" applyFill="1" applyBorder="1" applyAlignment="1">
      <alignment horizontal="center" vertical="center" wrapText="1"/>
    </xf>
    <xf numFmtId="9" fontId="26" fillId="0" borderId="19" xfId="0" applyNumberFormat="1" applyFont="1" applyBorder="1" applyAlignment="1">
      <alignment horizontal="center" vertical="center"/>
    </xf>
    <xf numFmtId="9" fontId="26" fillId="21" borderId="1" xfId="0" applyNumberFormat="1" applyFont="1" applyFill="1" applyBorder="1" applyAlignment="1">
      <alignment horizontal="center" vertical="center" wrapText="1"/>
    </xf>
    <xf numFmtId="9" fontId="26" fillId="29" borderId="1" xfId="0" applyNumberFormat="1" applyFont="1" applyFill="1" applyBorder="1" applyAlignment="1">
      <alignment horizontal="center" vertical="center" wrapText="1"/>
    </xf>
    <xf numFmtId="0" fontId="26" fillId="11" borderId="1" xfId="0" applyFont="1" applyFill="1" applyBorder="1" applyAlignment="1">
      <alignment horizontal="left" vertical="center" wrapText="1"/>
    </xf>
    <xf numFmtId="0" fontId="26" fillId="11" borderId="20" xfId="0" applyFont="1" applyFill="1" applyBorder="1" applyAlignment="1">
      <alignment horizontal="left" vertical="center" wrapText="1"/>
    </xf>
    <xf numFmtId="9" fontId="26" fillId="2" borderId="20" xfId="0" applyNumberFormat="1" applyFont="1" applyFill="1" applyBorder="1" applyAlignment="1">
      <alignment horizontal="center" vertical="center" wrapText="1"/>
    </xf>
    <xf numFmtId="9" fontId="26" fillId="0" borderId="21" xfId="0" applyNumberFormat="1" applyFont="1" applyBorder="1" applyAlignment="1">
      <alignment horizontal="center" vertical="center"/>
    </xf>
    <xf numFmtId="1" fontId="0" fillId="0" borderId="1" xfId="2" applyNumberFormat="1" applyFont="1" applyFill="1" applyBorder="1" applyAlignment="1">
      <alignment horizontal="center" vertical="center" wrapText="1"/>
    </xf>
    <xf numFmtId="9" fontId="0" fillId="0" borderId="1" xfId="2" applyFont="1" applyFill="1" applyBorder="1" applyAlignment="1">
      <alignment horizontal="center" vertical="center" wrapText="1"/>
    </xf>
    <xf numFmtId="1" fontId="6" fillId="0" borderId="1" xfId="2" applyNumberFormat="1" applyFont="1" applyFill="1" applyBorder="1" applyAlignment="1">
      <alignment horizontal="center" vertical="center" wrapText="1"/>
    </xf>
    <xf numFmtId="9" fontId="0" fillId="0" borderId="4" xfId="2" applyFont="1" applyFill="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vertical="center" wrapText="1"/>
    </xf>
    <xf numFmtId="49" fontId="0" fillId="0" borderId="1" xfId="0" applyNumberFormat="1" applyBorder="1" applyAlignment="1">
      <alignment horizontal="center" vertical="center" wrapText="1"/>
    </xf>
    <xf numFmtId="49" fontId="13" fillId="0" borderId="1" xfId="0" applyNumberFormat="1" applyFont="1" applyBorder="1" applyAlignment="1">
      <alignment horizontal="center" vertical="center" wrapText="1"/>
    </xf>
    <xf numFmtId="0" fontId="0" fillId="0" borderId="1" xfId="0" applyBorder="1" applyAlignment="1">
      <alignment horizontal="center" wrapText="1"/>
    </xf>
    <xf numFmtId="9"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49" fontId="6" fillId="0" borderId="1" xfId="0" applyNumberFormat="1" applyFont="1" applyBorder="1" applyAlignment="1">
      <alignment horizontal="center" vertical="center" wrapText="1"/>
    </xf>
    <xf numFmtId="0" fontId="14" fillId="0" borderId="1" xfId="0" applyFont="1" applyBorder="1" applyAlignment="1">
      <alignment horizontal="left" vertical="center" wrapText="1"/>
    </xf>
    <xf numFmtId="0" fontId="6" fillId="0" borderId="1" xfId="0" applyFont="1" applyBorder="1" applyAlignment="1">
      <alignment horizontal="left" vertical="center" wrapText="1"/>
    </xf>
    <xf numFmtId="49" fontId="6" fillId="0" borderId="1" xfId="0" applyNumberFormat="1" applyFont="1" applyBorder="1" applyAlignment="1">
      <alignment vertical="center" wrapText="1"/>
    </xf>
    <xf numFmtId="49" fontId="7"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6" fillId="0" borderId="4" xfId="0" applyFont="1" applyBorder="1" applyAlignment="1">
      <alignment horizontal="left" vertical="center" wrapText="1"/>
    </xf>
    <xf numFmtId="0" fontId="0" fillId="0" borderId="4" xfId="0" applyBorder="1" applyAlignment="1">
      <alignment horizontal="center" vertical="center" wrapText="1"/>
    </xf>
    <xf numFmtId="0" fontId="6" fillId="0" borderId="4" xfId="2" applyNumberFormat="1" applyFont="1" applyFill="1" applyBorder="1" applyAlignment="1">
      <alignment horizontal="center" vertical="center" wrapText="1"/>
    </xf>
    <xf numFmtId="49" fontId="0" fillId="0" borderId="4" xfId="0" applyNumberFormat="1" applyBorder="1" applyAlignment="1">
      <alignment horizontal="center" vertical="center" wrapText="1"/>
    </xf>
    <xf numFmtId="0" fontId="6" fillId="0" borderId="1" xfId="0" applyFont="1" applyBorder="1" applyAlignment="1">
      <alignment wrapText="1"/>
    </xf>
    <xf numFmtId="0" fontId="18" fillId="0" borderId="1" xfId="3" applyBorder="1" applyAlignment="1">
      <alignment vertical="center" wrapText="1"/>
    </xf>
    <xf numFmtId="0" fontId="6" fillId="0" borderId="0" xfId="0" applyFont="1" applyAlignment="1">
      <alignment horizontal="left" vertical="center" wrapText="1"/>
    </xf>
    <xf numFmtId="1" fontId="0" fillId="0" borderId="0" xfId="0" applyNumberFormat="1" applyAlignment="1">
      <alignment horizontal="center" vertical="center" wrapText="1"/>
    </xf>
    <xf numFmtId="9" fontId="0" fillId="0" borderId="0" xfId="2" applyFont="1" applyFill="1" applyAlignment="1">
      <alignment vertical="center" wrapText="1"/>
    </xf>
    <xf numFmtId="43" fontId="0" fillId="0" borderId="1" xfId="1" applyFont="1" applyFill="1" applyBorder="1" applyAlignment="1">
      <alignment horizontal="center" wrapText="1"/>
    </xf>
    <xf numFmtId="9" fontId="0" fillId="0" borderId="0" xfId="2" applyFont="1" applyFill="1" applyAlignment="1">
      <alignment horizontal="center" vertical="center" wrapText="1"/>
    </xf>
    <xf numFmtId="1" fontId="0" fillId="0" borderId="0" xfId="0" applyNumberFormat="1" applyAlignment="1">
      <alignment horizontal="center" wrapText="1"/>
    </xf>
    <xf numFmtId="49" fontId="0" fillId="0" borderId="0" xfId="0" applyNumberFormat="1" applyAlignment="1">
      <alignment horizontal="center" vertical="center" wrapText="1"/>
    </xf>
    <xf numFmtId="9" fontId="0" fillId="0" borderId="0" xfId="2" applyFont="1" applyFill="1" applyBorder="1" applyAlignment="1">
      <alignment horizontal="center" vertical="center" wrapText="1"/>
    </xf>
    <xf numFmtId="0" fontId="0" fillId="26" borderId="19" xfId="0" applyFill="1" applyBorder="1" applyAlignment="1">
      <alignment horizontal="center" vertical="center"/>
    </xf>
    <xf numFmtId="0" fontId="0" fillId="26" borderId="21" xfId="0" applyFill="1" applyBorder="1" applyAlignment="1">
      <alignment horizontal="center" vertical="center"/>
    </xf>
    <xf numFmtId="0" fontId="20" fillId="11" borderId="1" xfId="0" applyFont="1" applyFill="1" applyBorder="1" applyAlignment="1">
      <alignment horizontal="center" vertical="center" wrapText="1"/>
    </xf>
    <xf numFmtId="0" fontId="6" fillId="0" borderId="1" xfId="2" applyNumberFormat="1" applyFont="1" applyFill="1" applyBorder="1" applyAlignment="1">
      <alignment horizontal="center" vertical="center" wrapText="1"/>
    </xf>
    <xf numFmtId="0" fontId="9" fillId="12" borderId="6" xfId="0" applyFont="1" applyFill="1" applyBorder="1" applyAlignment="1">
      <alignment vertical="center" wrapText="1"/>
    </xf>
    <xf numFmtId="0" fontId="9" fillId="12" borderId="16" xfId="0" applyFont="1" applyFill="1" applyBorder="1" applyAlignment="1">
      <alignment vertical="center" wrapText="1"/>
    </xf>
    <xf numFmtId="0" fontId="9" fillId="12" borderId="7" xfId="0" applyFont="1" applyFill="1" applyBorder="1" applyAlignment="1">
      <alignment vertical="center" wrapText="1"/>
    </xf>
    <xf numFmtId="0" fontId="9" fillId="13" borderId="6" xfId="0" applyFont="1" applyFill="1" applyBorder="1" applyAlignment="1">
      <alignment vertical="center" wrapText="1"/>
    </xf>
    <xf numFmtId="0" fontId="9" fillId="13" borderId="16" xfId="0" applyFont="1" applyFill="1" applyBorder="1" applyAlignment="1">
      <alignment vertical="center" wrapText="1"/>
    </xf>
    <xf numFmtId="0" fontId="9" fillId="13" borderId="7" xfId="0" applyFont="1" applyFill="1" applyBorder="1" applyAlignment="1">
      <alignment vertical="center" wrapText="1"/>
    </xf>
    <xf numFmtId="0" fontId="9" fillId="11" borderId="6" xfId="0" applyFont="1" applyFill="1" applyBorder="1" applyAlignment="1">
      <alignment vertical="center" wrapText="1"/>
    </xf>
    <xf numFmtId="0" fontId="9" fillId="11" borderId="16" xfId="0" applyFont="1" applyFill="1" applyBorder="1" applyAlignment="1">
      <alignment vertical="center" wrapText="1"/>
    </xf>
    <xf numFmtId="0" fontId="9" fillId="11" borderId="7" xfId="0" applyFont="1" applyFill="1" applyBorder="1" applyAlignment="1">
      <alignment vertical="center" wrapText="1"/>
    </xf>
    <xf numFmtId="0" fontId="12" fillId="6" borderId="6" xfId="0" applyFont="1" applyFill="1" applyBorder="1" applyAlignment="1">
      <alignment vertical="center" wrapText="1"/>
    </xf>
    <xf numFmtId="0" fontId="12" fillId="6" borderId="16" xfId="0" applyFont="1" applyFill="1" applyBorder="1" applyAlignment="1">
      <alignment vertical="center" wrapText="1"/>
    </xf>
    <xf numFmtId="0" fontId="12" fillId="6" borderId="7" xfId="0" applyFont="1" applyFill="1" applyBorder="1" applyAlignment="1">
      <alignment vertical="center" wrapText="1"/>
    </xf>
    <xf numFmtId="0" fontId="12" fillId="12" borderId="6" xfId="0" applyFont="1" applyFill="1" applyBorder="1" applyAlignment="1">
      <alignment vertical="center" wrapText="1"/>
    </xf>
    <xf numFmtId="0" fontId="12" fillId="12" borderId="16" xfId="0" applyFont="1" applyFill="1" applyBorder="1" applyAlignment="1">
      <alignment vertical="center" wrapText="1"/>
    </xf>
    <xf numFmtId="0" fontId="12" fillId="12" borderId="7" xfId="0" applyFont="1" applyFill="1" applyBorder="1" applyAlignment="1">
      <alignment vertical="center" wrapText="1"/>
    </xf>
    <xf numFmtId="0" fontId="12" fillId="2" borderId="6" xfId="0" applyFont="1" applyFill="1" applyBorder="1" applyAlignment="1">
      <alignment vertical="center" wrapText="1"/>
    </xf>
    <xf numFmtId="0" fontId="12" fillId="2" borderId="16" xfId="0" applyFont="1" applyFill="1" applyBorder="1" applyAlignment="1">
      <alignment vertical="center" wrapText="1"/>
    </xf>
    <xf numFmtId="0" fontId="12" fillId="2" borderId="7" xfId="0" applyFont="1" applyFill="1" applyBorder="1" applyAlignment="1">
      <alignment vertical="center" wrapText="1"/>
    </xf>
    <xf numFmtId="0" fontId="12" fillId="13" borderId="6" xfId="0" applyFont="1" applyFill="1" applyBorder="1" applyAlignment="1">
      <alignment vertical="center" wrapText="1"/>
    </xf>
    <xf numFmtId="0" fontId="12" fillId="13" borderId="16" xfId="0" applyFont="1" applyFill="1" applyBorder="1" applyAlignment="1">
      <alignment vertical="center" wrapText="1"/>
    </xf>
    <xf numFmtId="0" fontId="12" fillId="13" borderId="7" xfId="0" applyFont="1" applyFill="1" applyBorder="1" applyAlignment="1">
      <alignment vertical="center" wrapText="1"/>
    </xf>
    <xf numFmtId="0" fontId="12" fillId="11" borderId="6" xfId="0" applyFont="1" applyFill="1" applyBorder="1" applyAlignment="1">
      <alignment vertical="center" wrapText="1"/>
    </xf>
    <xf numFmtId="0" fontId="12" fillId="11" borderId="16" xfId="0" applyFont="1" applyFill="1" applyBorder="1" applyAlignment="1">
      <alignment vertical="center" wrapText="1"/>
    </xf>
    <xf numFmtId="0" fontId="12" fillId="11" borderId="7" xfId="0" applyFont="1" applyFill="1" applyBorder="1" applyAlignment="1">
      <alignment vertical="center" wrapText="1"/>
    </xf>
    <xf numFmtId="0" fontId="0" fillId="42" borderId="1" xfId="0" applyFill="1" applyBorder="1" applyAlignment="1">
      <alignment horizontal="center" vertical="center" wrapText="1"/>
    </xf>
    <xf numFmtId="0" fontId="5" fillId="6" borderId="7"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0" fillId="0" borderId="0" xfId="0" applyFont="1" applyAlignment="1">
      <alignment horizontal="center" vertical="center"/>
    </xf>
    <xf numFmtId="0" fontId="20" fillId="0" borderId="0" xfId="0" applyFont="1"/>
    <xf numFmtId="0" fontId="20" fillId="0" borderId="0" xfId="0" applyFont="1" applyAlignment="1">
      <alignment horizontal="left" vertical="center" wrapText="1"/>
    </xf>
    <xf numFmtId="49" fontId="22" fillId="43" borderId="5" xfId="0" applyNumberFormat="1" applyFont="1" applyFill="1" applyBorder="1" applyAlignment="1">
      <alignment horizontal="center" vertical="center" wrapText="1"/>
    </xf>
    <xf numFmtId="49" fontId="22" fillId="43" borderId="56" xfId="0" applyNumberFormat="1" applyFont="1" applyFill="1" applyBorder="1" applyAlignment="1">
      <alignment horizontal="center" vertical="center" wrapText="1"/>
    </xf>
    <xf numFmtId="0" fontId="38" fillId="43" borderId="20" xfId="0" applyFont="1" applyFill="1" applyBorder="1" applyAlignment="1">
      <alignment horizontal="center" vertical="center" wrapText="1"/>
    </xf>
    <xf numFmtId="0" fontId="38" fillId="43" borderId="21" xfId="0" applyFont="1" applyFill="1" applyBorder="1" applyAlignment="1">
      <alignment horizontal="center" vertical="center" wrapText="1"/>
    </xf>
    <xf numFmtId="0" fontId="37" fillId="44" borderId="37" xfId="0" applyFont="1" applyFill="1" applyBorder="1" applyAlignment="1">
      <alignment horizontal="center" vertical="center"/>
    </xf>
    <xf numFmtId="0" fontId="37" fillId="44" borderId="1" xfId="0" applyFont="1" applyFill="1" applyBorder="1" applyAlignment="1">
      <alignment horizontal="center"/>
    </xf>
    <xf numFmtId="0" fontId="37" fillId="44" borderId="19" xfId="0" applyFont="1" applyFill="1" applyBorder="1" applyAlignment="1">
      <alignment horizontal="center"/>
    </xf>
    <xf numFmtId="0" fontId="35" fillId="0" borderId="27" xfId="0" applyFont="1" applyBorder="1" applyAlignment="1">
      <alignment horizontal="left" vertical="center" wrapText="1"/>
    </xf>
    <xf numFmtId="0" fontId="20" fillId="0" borderId="24" xfId="0" applyFont="1" applyBorder="1"/>
    <xf numFmtId="0" fontId="20" fillId="0" borderId="27" xfId="0" applyFont="1" applyBorder="1" applyAlignment="1">
      <alignment horizontal="left"/>
    </xf>
    <xf numFmtId="0" fontId="36" fillId="0" borderId="0" xfId="0" applyFont="1" applyAlignment="1">
      <alignment horizontal="justify" vertical="center"/>
    </xf>
    <xf numFmtId="0" fontId="20" fillId="0" borderId="0" xfId="0" applyFont="1" applyAlignment="1">
      <alignment horizontal="left" vertical="center"/>
    </xf>
    <xf numFmtId="0" fontId="20" fillId="0" borderId="24" xfId="0" applyFont="1" applyBorder="1" applyAlignment="1">
      <alignment horizontal="left" vertical="center"/>
    </xf>
    <xf numFmtId="0" fontId="36" fillId="0" borderId="0" xfId="0" applyFont="1" applyAlignment="1">
      <alignment horizontal="left" vertical="center"/>
    </xf>
    <xf numFmtId="0" fontId="36" fillId="0" borderId="24" xfId="0" applyFont="1" applyBorder="1" applyAlignment="1">
      <alignment horizontal="left" vertical="center"/>
    </xf>
    <xf numFmtId="0" fontId="35" fillId="0" borderId="27" xfId="0" applyFont="1" applyBorder="1" applyAlignment="1">
      <alignment horizontal="left" vertical="center"/>
    </xf>
    <xf numFmtId="0" fontId="35" fillId="0" borderId="28" xfId="0" applyFont="1" applyBorder="1" applyAlignment="1">
      <alignment horizontal="left" vertical="center"/>
    </xf>
    <xf numFmtId="0" fontId="20" fillId="0" borderId="15" xfId="0" applyFont="1" applyBorder="1" applyAlignment="1">
      <alignment horizontal="left" vertical="center"/>
    </xf>
    <xf numFmtId="0" fontId="36" fillId="0" borderId="29" xfId="0" applyFont="1" applyBorder="1" applyAlignment="1">
      <alignment horizontal="left" vertical="center"/>
    </xf>
    <xf numFmtId="0" fontId="37" fillId="44" borderId="49" xfId="0" applyFont="1" applyFill="1" applyBorder="1" applyAlignment="1">
      <alignment horizontal="center" vertical="center"/>
    </xf>
    <xf numFmtId="0" fontId="36" fillId="45" borderId="1" xfId="0" applyFont="1" applyFill="1" applyBorder="1" applyAlignment="1">
      <alignment wrapText="1"/>
    </xf>
    <xf numFmtId="0" fontId="36" fillId="45" borderId="37" xfId="0" applyFont="1" applyFill="1" applyBorder="1" applyAlignment="1">
      <alignment vertical="center" wrapText="1"/>
    </xf>
    <xf numFmtId="0" fontId="36" fillId="0" borderId="1" xfId="0" applyFont="1" applyBorder="1" applyAlignment="1">
      <alignment wrapText="1"/>
    </xf>
    <xf numFmtId="0" fontId="36" fillId="0" borderId="37" xfId="0" applyFont="1" applyBorder="1" applyAlignment="1">
      <alignment vertical="center" wrapText="1"/>
    </xf>
    <xf numFmtId="0" fontId="36" fillId="45" borderId="20" xfId="0" applyFont="1" applyFill="1" applyBorder="1" applyAlignment="1">
      <alignment wrapText="1"/>
    </xf>
    <xf numFmtId="0" fontId="43" fillId="44" borderId="63" xfId="0" applyFont="1" applyFill="1" applyBorder="1" applyAlignment="1">
      <alignment horizontal="center" vertical="center" wrapText="1"/>
    </xf>
    <xf numFmtId="0" fontId="43" fillId="44" borderId="64" xfId="0" applyFont="1" applyFill="1" applyBorder="1" applyAlignment="1">
      <alignment horizontal="center" vertical="center" wrapText="1"/>
    </xf>
    <xf numFmtId="0" fontId="43" fillId="44" borderId="65" xfId="0" applyFont="1" applyFill="1" applyBorder="1" applyAlignment="1">
      <alignment horizontal="center" vertical="center" wrapText="1"/>
    </xf>
    <xf numFmtId="0" fontId="43" fillId="44" borderId="66" xfId="0" applyFont="1" applyFill="1" applyBorder="1" applyAlignment="1">
      <alignment horizontal="center" vertical="center" wrapText="1"/>
    </xf>
    <xf numFmtId="0" fontId="42" fillId="44" borderId="62" xfId="0" applyFont="1" applyFill="1" applyBorder="1" applyAlignment="1">
      <alignment horizontal="center" vertical="center" wrapText="1"/>
    </xf>
    <xf numFmtId="0" fontId="20" fillId="43" borderId="1" xfId="0" applyFont="1" applyFill="1" applyBorder="1" applyAlignment="1">
      <alignment horizontal="left" vertical="center" wrapText="1"/>
    </xf>
    <xf numFmtId="0" fontId="43" fillId="44" borderId="34" xfId="0" applyFont="1" applyFill="1" applyBorder="1" applyAlignment="1">
      <alignment horizontal="center" vertical="center" wrapText="1"/>
    </xf>
    <xf numFmtId="0" fontId="45" fillId="44" borderId="67" xfId="0" applyFont="1" applyFill="1" applyBorder="1" applyAlignment="1">
      <alignment horizontal="center" vertical="center"/>
    </xf>
    <xf numFmtId="0" fontId="44" fillId="44" borderId="50" xfId="0" applyFont="1" applyFill="1" applyBorder="1" applyAlignment="1">
      <alignment horizontal="center" vertical="center" wrapText="1"/>
    </xf>
    <xf numFmtId="0" fontId="44" fillId="44" borderId="68" xfId="0" applyFont="1" applyFill="1" applyBorder="1" applyAlignment="1">
      <alignment horizontal="center" vertical="center" wrapText="1"/>
    </xf>
    <xf numFmtId="0" fontId="44" fillId="44" borderId="69" xfId="0" applyFont="1" applyFill="1" applyBorder="1" applyAlignment="1">
      <alignment horizontal="center" vertical="center" wrapText="1"/>
    </xf>
    <xf numFmtId="0" fontId="44" fillId="44" borderId="70" xfId="0" applyFont="1" applyFill="1" applyBorder="1" applyAlignment="1">
      <alignment horizontal="center" vertical="center" wrapText="1"/>
    </xf>
    <xf numFmtId="0" fontId="22" fillId="8" borderId="18" xfId="0" applyFont="1" applyFill="1" applyBorder="1" applyAlignment="1">
      <alignment horizontal="center" vertical="center" wrapText="1"/>
    </xf>
    <xf numFmtId="0" fontId="24" fillId="25" borderId="1" xfId="0" applyFont="1" applyFill="1" applyBorder="1" applyAlignment="1">
      <alignment horizontal="center" vertical="center"/>
    </xf>
    <xf numFmtId="0" fontId="20" fillId="0" borderId="1" xfId="0" applyFont="1" applyBorder="1" applyAlignment="1">
      <alignment horizontal="center" vertical="center"/>
    </xf>
    <xf numFmtId="2" fontId="20" fillId="0" borderId="1" xfId="0" applyNumberFormat="1" applyFont="1" applyBorder="1" applyAlignment="1">
      <alignment horizontal="center" vertical="center"/>
    </xf>
    <xf numFmtId="0" fontId="24" fillId="0" borderId="8" xfId="0" applyFont="1" applyBorder="1" applyAlignment="1">
      <alignment horizontal="center" vertical="center"/>
    </xf>
    <xf numFmtId="0" fontId="20" fillId="0" borderId="13" xfId="0" applyFont="1" applyBorder="1" applyAlignment="1">
      <alignment horizontal="left" vertical="center" wrapText="1"/>
    </xf>
    <xf numFmtId="0" fontId="20" fillId="0" borderId="8" xfId="0" applyFont="1" applyBorder="1" applyAlignment="1">
      <alignment horizontal="center" vertical="center"/>
    </xf>
    <xf numFmtId="0" fontId="20" fillId="0" borderId="13" xfId="0" applyFont="1" applyBorder="1"/>
    <xf numFmtId="0" fontId="20" fillId="0" borderId="14" xfId="0" applyFont="1" applyBorder="1"/>
    <xf numFmtId="0" fontId="24" fillId="0" borderId="22" xfId="0" applyFont="1" applyBorder="1" applyAlignment="1">
      <alignment horizontal="center" vertical="center"/>
    </xf>
    <xf numFmtId="0" fontId="20" fillId="0" borderId="22" xfId="0" applyFont="1" applyBorder="1" applyAlignment="1">
      <alignment horizontal="center" vertical="center"/>
    </xf>
    <xf numFmtId="0" fontId="24" fillId="0" borderId="23" xfId="0" applyFont="1" applyBorder="1" applyAlignment="1">
      <alignment horizontal="center" vertical="center"/>
    </xf>
    <xf numFmtId="0" fontId="20" fillId="0" borderId="15" xfId="0" applyFont="1" applyBorder="1" applyAlignment="1">
      <alignment horizontal="left" vertical="center" wrapText="1"/>
    </xf>
    <xf numFmtId="0" fontId="20" fillId="0" borderId="23" xfId="0" applyFont="1" applyBorder="1" applyAlignment="1">
      <alignment horizontal="center" vertical="center"/>
    </xf>
    <xf numFmtId="0" fontId="20" fillId="0" borderId="15" xfId="0" applyFont="1" applyBorder="1"/>
    <xf numFmtId="0" fontId="20" fillId="0" borderId="29" xfId="0" applyFont="1" applyBorder="1"/>
    <xf numFmtId="164" fontId="20" fillId="0" borderId="0" xfId="0" applyNumberFormat="1" applyFont="1"/>
    <xf numFmtId="0" fontId="20" fillId="38" borderId="13" xfId="0" applyFont="1" applyFill="1" applyBorder="1"/>
    <xf numFmtId="0" fontId="20" fillId="38" borderId="0" xfId="0" applyFont="1" applyFill="1"/>
    <xf numFmtId="0" fontId="20" fillId="0" borderId="23" xfId="0" applyFont="1" applyBorder="1" applyAlignment="1">
      <alignment horizontal="center" vertical="center" wrapText="1"/>
    </xf>
    <xf numFmtId="0" fontId="20" fillId="38" borderId="15" xfId="0" applyFont="1" applyFill="1" applyBorder="1"/>
    <xf numFmtId="49" fontId="20" fillId="0" borderId="0" xfId="0" applyNumberFormat="1" applyFont="1"/>
    <xf numFmtId="0" fontId="20" fillId="0" borderId="22" xfId="0" applyFont="1" applyBorder="1" applyAlignment="1">
      <alignment horizontal="center" vertical="center" wrapText="1"/>
    </xf>
    <xf numFmtId="0" fontId="44" fillId="44" borderId="6" xfId="0" applyFont="1" applyFill="1" applyBorder="1" applyAlignment="1">
      <alignment horizontal="center" vertical="center" wrapText="1"/>
    </xf>
    <xf numFmtId="0" fontId="44" fillId="44" borderId="65" xfId="0" applyFont="1" applyFill="1" applyBorder="1" applyAlignment="1">
      <alignment horizontal="center" vertical="center" wrapText="1"/>
    </xf>
    <xf numFmtId="0" fontId="44" fillId="44" borderId="64" xfId="0" applyFont="1" applyFill="1" applyBorder="1" applyAlignment="1">
      <alignment horizontal="center" vertical="center" wrapText="1"/>
    </xf>
    <xf numFmtId="0" fontId="44" fillId="44" borderId="16" xfId="0" applyFont="1" applyFill="1" applyBorder="1" applyAlignment="1">
      <alignment horizontal="center" vertical="center" wrapText="1"/>
    </xf>
    <xf numFmtId="0" fontId="44" fillId="44" borderId="7" xfId="0" applyFont="1" applyFill="1" applyBorder="1" applyAlignment="1">
      <alignment horizontal="center" vertical="center" wrapText="1"/>
    </xf>
    <xf numFmtId="0" fontId="20" fillId="0" borderId="1" xfId="5" applyFont="1" applyBorder="1" applyAlignment="1">
      <alignment vertical="center"/>
    </xf>
    <xf numFmtId="0" fontId="46" fillId="0" borderId="1" xfId="0" applyFont="1" applyBorder="1" applyAlignment="1">
      <alignment vertical="center"/>
    </xf>
    <xf numFmtId="0" fontId="20" fillId="26" borderId="1" xfId="0" applyFont="1" applyFill="1" applyBorder="1" applyAlignment="1">
      <alignment vertical="center"/>
    </xf>
    <xf numFmtId="0" fontId="20" fillId="0" borderId="1" xfId="0" applyFont="1" applyBorder="1" applyAlignment="1">
      <alignment vertical="center"/>
    </xf>
    <xf numFmtId="0" fontId="46" fillId="0" borderId="1" xfId="5" applyFont="1" applyBorder="1" applyAlignment="1">
      <alignment vertical="center"/>
    </xf>
    <xf numFmtId="11" fontId="46" fillId="0" borderId="1" xfId="0" applyNumberFormat="1" applyFont="1" applyBorder="1" applyAlignment="1">
      <alignment vertical="center"/>
    </xf>
    <xf numFmtId="0" fontId="43" fillId="44" borderId="62" xfId="0" applyFont="1" applyFill="1" applyBorder="1" applyAlignment="1">
      <alignment horizontal="center" vertical="center" wrapText="1"/>
    </xf>
    <xf numFmtId="0" fontId="20" fillId="0" borderId="4" xfId="0" applyFont="1" applyBorder="1" applyAlignment="1">
      <alignment horizontal="center" vertical="center"/>
    </xf>
    <xf numFmtId="49" fontId="20" fillId="0" borderId="1" xfId="0" applyNumberFormat="1" applyFont="1" applyBorder="1" applyAlignment="1">
      <alignment vertical="center" wrapText="1"/>
    </xf>
    <xf numFmtId="0" fontId="47" fillId="0" borderId="1" xfId="0" applyFont="1" applyBorder="1" applyAlignment="1">
      <alignment vertical="center" wrapText="1"/>
    </xf>
    <xf numFmtId="49" fontId="24" fillId="30" borderId="1" xfId="0" applyNumberFormat="1" applyFont="1" applyFill="1" applyBorder="1" applyAlignment="1">
      <alignment vertical="center" wrapText="1"/>
    </xf>
    <xf numFmtId="0" fontId="20" fillId="0" borderId="1" xfId="0" applyFont="1" applyBorder="1" applyAlignment="1">
      <alignment vertical="center" wrapText="1"/>
    </xf>
    <xf numFmtId="0" fontId="20" fillId="14" borderId="1" xfId="0" applyFont="1" applyFill="1" applyBorder="1" applyAlignment="1">
      <alignment vertical="center"/>
    </xf>
    <xf numFmtId="0" fontId="20" fillId="14" borderId="1" xfId="0" applyFont="1" applyFill="1" applyBorder="1" applyAlignment="1">
      <alignment horizontal="center" vertical="center"/>
    </xf>
    <xf numFmtId="0" fontId="40" fillId="0" borderId="1" xfId="0" applyFont="1" applyBorder="1" applyAlignment="1">
      <alignment horizontal="center" vertical="center"/>
    </xf>
    <xf numFmtId="0" fontId="20" fillId="0" borderId="1" xfId="0" applyFont="1" applyBorder="1" applyAlignment="1">
      <alignment horizontal="left" vertical="center"/>
    </xf>
    <xf numFmtId="0" fontId="20" fillId="0" borderId="0" xfId="0" applyFont="1" applyAlignment="1">
      <alignment horizontal="center"/>
    </xf>
    <xf numFmtId="0" fontId="20" fillId="0" borderId="1" xfId="0" applyFont="1" applyBorder="1" applyAlignment="1">
      <alignment horizontal="center"/>
    </xf>
    <xf numFmtId="2" fontId="20" fillId="0" borderId="1" xfId="0" applyNumberFormat="1" applyFont="1" applyBorder="1" applyAlignment="1">
      <alignment horizontal="center"/>
    </xf>
    <xf numFmtId="0" fontId="20" fillId="0" borderId="0" xfId="0" applyFont="1" applyAlignment="1">
      <alignment horizontal="left"/>
    </xf>
    <xf numFmtId="0" fontId="46" fillId="0" borderId="0" xfId="0" applyFont="1"/>
    <xf numFmtId="49" fontId="20" fillId="0" borderId="0" xfId="0" applyNumberFormat="1" applyFont="1" applyAlignment="1">
      <alignment horizontal="center" vertical="center"/>
    </xf>
    <xf numFmtId="49" fontId="20" fillId="0" borderId="0" xfId="0" applyNumberFormat="1" applyFont="1" applyAlignment="1">
      <alignment vertical="center"/>
    </xf>
    <xf numFmtId="0" fontId="20" fillId="0" borderId="0" xfId="0" applyFont="1" applyAlignment="1">
      <alignment vertical="center"/>
    </xf>
    <xf numFmtId="0" fontId="20" fillId="2" borderId="7" xfId="0" applyFont="1" applyFill="1" applyBorder="1" applyAlignment="1">
      <alignment vertical="center"/>
    </xf>
    <xf numFmtId="0" fontId="20" fillId="2" borderId="1" xfId="0" applyFont="1" applyFill="1" applyBorder="1" applyAlignment="1">
      <alignment horizontal="center" vertical="center"/>
    </xf>
    <xf numFmtId="0" fontId="20" fillId="26" borderId="7" xfId="0" applyFont="1" applyFill="1" applyBorder="1" applyAlignment="1">
      <alignment vertical="center"/>
    </xf>
    <xf numFmtId="0" fontId="20" fillId="26" borderId="6" xfId="0" applyFont="1" applyFill="1" applyBorder="1" applyAlignment="1">
      <alignment horizontal="center" vertical="center"/>
    </xf>
    <xf numFmtId="0" fontId="20" fillId="40" borderId="1" xfId="0" applyFont="1" applyFill="1" applyBorder="1" applyAlignment="1">
      <alignment horizontal="center" vertical="center"/>
    </xf>
    <xf numFmtId="0" fontId="20" fillId="2" borderId="6" xfId="0" applyFont="1" applyFill="1" applyBorder="1" applyAlignment="1">
      <alignment horizontal="center" vertical="center"/>
    </xf>
    <xf numFmtId="0" fontId="20" fillId="32" borderId="7" xfId="0" applyFont="1" applyFill="1" applyBorder="1" applyAlignment="1">
      <alignment vertical="center"/>
    </xf>
    <xf numFmtId="0" fontId="20" fillId="32" borderId="1" xfId="0" applyFont="1" applyFill="1" applyBorder="1" applyAlignment="1">
      <alignment horizontal="center" vertical="center"/>
    </xf>
    <xf numFmtId="0" fontId="20" fillId="32" borderId="6" xfId="0" applyFont="1" applyFill="1" applyBorder="1" applyAlignment="1">
      <alignment horizontal="center" vertical="center"/>
    </xf>
    <xf numFmtId="0" fontId="20" fillId="41" borderId="1" xfId="0" applyFont="1" applyFill="1" applyBorder="1" applyAlignment="1">
      <alignment horizontal="center" vertical="center"/>
    </xf>
    <xf numFmtId="0" fontId="20" fillId="26" borderId="1" xfId="0" applyFont="1" applyFill="1" applyBorder="1" applyAlignment="1">
      <alignment horizontal="center" vertical="center"/>
    </xf>
    <xf numFmtId="0" fontId="20" fillId="3" borderId="7" xfId="0" applyFont="1" applyFill="1" applyBorder="1" applyAlignment="1">
      <alignment vertical="center"/>
    </xf>
    <xf numFmtId="0" fontId="20" fillId="3" borderId="6" xfId="0" applyFont="1" applyFill="1" applyBorder="1" applyAlignment="1">
      <alignment horizontal="center" vertical="center"/>
    </xf>
    <xf numFmtId="0" fontId="20" fillId="3" borderId="1" xfId="0" applyFont="1" applyFill="1" applyBorder="1" applyAlignment="1">
      <alignment horizontal="center" vertical="center"/>
    </xf>
    <xf numFmtId="0" fontId="20" fillId="5" borderId="7" xfId="0" applyFont="1" applyFill="1" applyBorder="1" applyAlignment="1">
      <alignment vertical="center"/>
    </xf>
    <xf numFmtId="0" fontId="20" fillId="5" borderId="1" xfId="0" applyFont="1" applyFill="1" applyBorder="1" applyAlignment="1">
      <alignment horizontal="center" vertical="center"/>
    </xf>
    <xf numFmtId="0" fontId="20" fillId="5" borderId="6" xfId="0" applyFont="1" applyFill="1" applyBorder="1" applyAlignment="1">
      <alignment horizontal="center" vertical="center"/>
    </xf>
    <xf numFmtId="0" fontId="20" fillId="6" borderId="7" xfId="0" applyFont="1" applyFill="1" applyBorder="1" applyAlignment="1">
      <alignment vertical="center"/>
    </xf>
    <xf numFmtId="0" fontId="20" fillId="6" borderId="6" xfId="0" applyFont="1" applyFill="1" applyBorder="1" applyAlignment="1">
      <alignment horizontal="center" vertical="center"/>
    </xf>
    <xf numFmtId="0" fontId="20" fillId="6" borderId="1" xfId="0" applyFont="1" applyFill="1" applyBorder="1" applyAlignment="1">
      <alignment horizontal="center" vertical="center"/>
    </xf>
    <xf numFmtId="0" fontId="20" fillId="7" borderId="7" xfId="0" applyFont="1" applyFill="1" applyBorder="1" applyAlignment="1">
      <alignment vertical="center"/>
    </xf>
    <xf numFmtId="0" fontId="20" fillId="7" borderId="6" xfId="0" applyFont="1" applyFill="1" applyBorder="1" applyAlignment="1">
      <alignment horizontal="center" vertical="center"/>
    </xf>
    <xf numFmtId="0" fontId="20" fillId="7" borderId="1" xfId="0" applyFont="1" applyFill="1" applyBorder="1" applyAlignment="1">
      <alignment horizontal="center" vertical="center"/>
    </xf>
    <xf numFmtId="0" fontId="20" fillId="7" borderId="2" xfId="0" applyFont="1" applyFill="1" applyBorder="1" applyAlignment="1">
      <alignment vertical="center"/>
    </xf>
    <xf numFmtId="0" fontId="20" fillId="7" borderId="2" xfId="0" applyFont="1" applyFill="1" applyBorder="1" applyAlignment="1">
      <alignment horizontal="center" vertical="center"/>
    </xf>
    <xf numFmtId="0" fontId="20" fillId="27" borderId="7" xfId="0" applyFont="1" applyFill="1" applyBorder="1" applyAlignment="1">
      <alignment vertical="center"/>
    </xf>
    <xf numFmtId="0" fontId="20" fillId="27" borderId="6" xfId="0" applyFont="1" applyFill="1" applyBorder="1" applyAlignment="1">
      <alignment horizontal="center" vertical="center"/>
    </xf>
    <xf numFmtId="0" fontId="20" fillId="27" borderId="1" xfId="0" applyFont="1" applyFill="1" applyBorder="1" applyAlignment="1">
      <alignment horizontal="center" vertical="center"/>
    </xf>
    <xf numFmtId="0" fontId="20" fillId="24" borderId="7" xfId="0" applyFont="1" applyFill="1" applyBorder="1" applyAlignment="1">
      <alignment vertical="center"/>
    </xf>
    <xf numFmtId="0" fontId="20" fillId="24" borderId="6" xfId="0" applyFont="1" applyFill="1" applyBorder="1" applyAlignment="1">
      <alignment horizontal="center" vertical="center"/>
    </xf>
    <xf numFmtId="0" fontId="20" fillId="24" borderId="1" xfId="0" applyFont="1" applyFill="1" applyBorder="1" applyAlignment="1">
      <alignment horizontal="center" vertical="center"/>
    </xf>
    <xf numFmtId="0" fontId="20" fillId="28" borderId="7" xfId="0" applyFont="1" applyFill="1" applyBorder="1" applyAlignment="1">
      <alignment vertical="center"/>
    </xf>
    <xf numFmtId="0" fontId="20" fillId="28" borderId="6" xfId="0" applyFont="1" applyFill="1" applyBorder="1" applyAlignment="1">
      <alignment horizontal="center" vertical="center"/>
    </xf>
    <xf numFmtId="0" fontId="20" fillId="28" borderId="1" xfId="0" applyFont="1" applyFill="1" applyBorder="1" applyAlignment="1">
      <alignment horizontal="center" vertical="center"/>
    </xf>
    <xf numFmtId="0" fontId="20" fillId="37" borderId="7" xfId="0" applyFont="1" applyFill="1" applyBorder="1" applyAlignment="1">
      <alignment vertical="center"/>
    </xf>
    <xf numFmtId="0" fontId="20" fillId="37" borderId="1" xfId="0" applyFont="1" applyFill="1" applyBorder="1" applyAlignment="1">
      <alignment horizontal="center" vertical="center"/>
    </xf>
    <xf numFmtId="0" fontId="20" fillId="37" borderId="6" xfId="0" applyFont="1" applyFill="1" applyBorder="1" applyAlignment="1">
      <alignment horizontal="center" vertical="center"/>
    </xf>
    <xf numFmtId="0" fontId="20" fillId="0" borderId="0" xfId="0" applyFont="1" applyAlignment="1">
      <alignment horizontal="center" vertical="center" wrapText="1"/>
    </xf>
    <xf numFmtId="0" fontId="20" fillId="0" borderId="0" xfId="0" applyFont="1" applyAlignment="1">
      <alignment vertical="center" wrapText="1"/>
    </xf>
    <xf numFmtId="0" fontId="20" fillId="0" borderId="4" xfId="0" applyFont="1" applyBorder="1" applyAlignment="1">
      <alignment horizontal="center" vertical="center" wrapText="1"/>
    </xf>
    <xf numFmtId="164" fontId="20" fillId="14" borderId="1" xfId="0" applyNumberFormat="1" applyFont="1" applyFill="1" applyBorder="1" applyAlignment="1">
      <alignment horizontal="center" vertical="center" wrapText="1"/>
    </xf>
    <xf numFmtId="0" fontId="20" fillId="0" borderId="1" xfId="0" applyFont="1" applyBorder="1" applyAlignment="1">
      <alignment horizontal="center" vertical="center" wrapText="1"/>
    </xf>
    <xf numFmtId="2" fontId="51" fillId="0" borderId="1" xfId="0" applyNumberFormat="1" applyFont="1" applyBorder="1" applyAlignment="1">
      <alignment horizontal="center" vertical="center" wrapText="1"/>
    </xf>
    <xf numFmtId="0" fontId="23" fillId="39" borderId="1" xfId="0" applyFont="1" applyFill="1" applyBorder="1" applyAlignment="1">
      <alignment horizontal="center" vertical="center" wrapText="1"/>
    </xf>
    <xf numFmtId="0" fontId="20" fillId="21" borderId="1" xfId="0" applyFont="1" applyFill="1" applyBorder="1" applyAlignment="1">
      <alignment horizontal="center" vertical="center" wrapText="1"/>
    </xf>
    <xf numFmtId="0" fontId="22" fillId="2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20" fillId="0" borderId="0" xfId="0" applyFont="1" applyAlignment="1">
      <alignment wrapText="1"/>
    </xf>
    <xf numFmtId="0" fontId="52" fillId="0" borderId="1" xfId="0" applyFont="1" applyBorder="1" applyAlignment="1">
      <alignment horizontal="left" vertical="center" wrapText="1"/>
    </xf>
    <xf numFmtId="0" fontId="52" fillId="0" borderId="1" xfId="0" applyFont="1" applyBorder="1" applyAlignment="1">
      <alignment horizontal="center" vertical="center" wrapText="1"/>
    </xf>
    <xf numFmtId="0" fontId="20" fillId="0" borderId="1" xfId="0" applyFont="1" applyBorder="1" applyAlignment="1">
      <alignment wrapText="1"/>
    </xf>
    <xf numFmtId="0" fontId="20" fillId="0" borderId="0" xfId="0" applyFont="1" applyAlignment="1">
      <alignment horizontal="left" wrapText="1"/>
    </xf>
    <xf numFmtId="0" fontId="20" fillId="25"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20" fillId="24"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0" fillId="22"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0" fillId="0" borderId="1" xfId="0" applyFont="1" applyBorder="1"/>
    <xf numFmtId="0" fontId="20" fillId="2" borderId="1" xfId="0" applyFont="1" applyFill="1" applyBorder="1" applyAlignment="1">
      <alignment horizontal="center" vertical="center" wrapText="1"/>
    </xf>
    <xf numFmtId="1" fontId="20" fillId="0" borderId="0" xfId="0" applyNumberFormat="1" applyFont="1"/>
    <xf numFmtId="9" fontId="20" fillId="0" borderId="1" xfId="0" applyNumberFormat="1" applyFont="1" applyBorder="1" applyAlignment="1">
      <alignment horizontal="center" vertical="center" wrapText="1"/>
    </xf>
    <xf numFmtId="0" fontId="20" fillId="0" borderId="30" xfId="0" applyFont="1" applyBorder="1"/>
    <xf numFmtId="0" fontId="20" fillId="17" borderId="1" xfId="0" applyFont="1" applyFill="1" applyBorder="1" applyAlignment="1">
      <alignment horizontal="center"/>
    </xf>
    <xf numFmtId="9" fontId="20" fillId="17" borderId="1" xfId="0" applyNumberFormat="1"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9" fillId="32"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9" fontId="6" fillId="0" borderId="1" xfId="2" applyFont="1" applyFill="1" applyBorder="1" applyAlignment="1">
      <alignment horizontal="center" vertical="center" wrapText="1"/>
    </xf>
    <xf numFmtId="0" fontId="5" fillId="6" borderId="2"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26" fillId="0" borderId="4" xfId="0" applyFont="1" applyBorder="1" applyAlignment="1">
      <alignment horizontal="center" vertical="center" wrapText="1"/>
    </xf>
    <xf numFmtId="9" fontId="31" fillId="0" borderId="55" xfId="2" applyFont="1" applyBorder="1" applyAlignment="1">
      <alignment horizontal="center" vertical="center" wrapText="1"/>
    </xf>
    <xf numFmtId="9" fontId="31" fillId="0" borderId="54" xfId="2" applyFont="1" applyBorder="1" applyAlignment="1">
      <alignment horizontal="center" vertical="center" wrapText="1"/>
    </xf>
    <xf numFmtId="49" fontId="22" fillId="43" borderId="53" xfId="0" applyNumberFormat="1" applyFont="1" applyFill="1" applyBorder="1" applyAlignment="1">
      <alignment horizontal="center" vertical="center" wrapText="1"/>
    </xf>
    <xf numFmtId="49" fontId="22" fillId="43" borderId="13" xfId="0" applyNumberFormat="1" applyFont="1" applyFill="1" applyBorder="1" applyAlignment="1">
      <alignment horizontal="center" vertical="center" wrapText="1"/>
    </xf>
    <xf numFmtId="49" fontId="22" fillId="43" borderId="57" xfId="0" applyNumberFormat="1" applyFont="1" applyFill="1" applyBorder="1" applyAlignment="1">
      <alignment horizontal="center" vertical="center" wrapText="1"/>
    </xf>
    <xf numFmtId="49" fontId="22" fillId="43" borderId="52" xfId="0" applyNumberFormat="1" applyFont="1" applyFill="1" applyBorder="1" applyAlignment="1">
      <alignment horizontal="center" vertical="center" wrapText="1"/>
    </xf>
    <xf numFmtId="49" fontId="22" fillId="43" borderId="15" xfId="0" applyNumberFormat="1" applyFont="1" applyFill="1" applyBorder="1" applyAlignment="1">
      <alignment horizontal="center" vertical="center" wrapText="1"/>
    </xf>
    <xf numFmtId="49" fontId="22" fillId="43" borderId="58" xfId="0" applyNumberFormat="1" applyFont="1" applyFill="1" applyBorder="1" applyAlignment="1">
      <alignment horizontal="center" vertical="center" wrapText="1"/>
    </xf>
    <xf numFmtId="9" fontId="29" fillId="0" borderId="19" xfId="2" applyFont="1" applyBorder="1" applyAlignment="1">
      <alignment horizontal="center" vertical="center" wrapText="1"/>
    </xf>
    <xf numFmtId="9" fontId="29" fillId="0" borderId="21" xfId="2" applyFont="1" applyBorder="1" applyAlignment="1">
      <alignment horizontal="center" vertical="center" wrapText="1"/>
    </xf>
    <xf numFmtId="9" fontId="31" fillId="0" borderId="1" xfId="2" applyFont="1" applyBorder="1" applyAlignment="1">
      <alignment horizontal="center" vertical="center" wrapText="1"/>
    </xf>
    <xf numFmtId="9" fontId="31" fillId="0" borderId="20" xfId="2" applyFont="1" applyBorder="1" applyAlignment="1">
      <alignment horizontal="center" vertical="center" wrapText="1"/>
    </xf>
    <xf numFmtId="9" fontId="22" fillId="43" borderId="51" xfId="2" applyFont="1" applyFill="1" applyBorder="1" applyAlignment="1">
      <alignment horizontal="center" vertical="center" wrapText="1"/>
    </xf>
    <xf numFmtId="9" fontId="22" fillId="43" borderId="48" xfId="2" applyFont="1" applyFill="1" applyBorder="1" applyAlignment="1">
      <alignment horizontal="center" vertical="center" wrapText="1"/>
    </xf>
    <xf numFmtId="0" fontId="3" fillId="4" borderId="53"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7" fillId="44" borderId="54" xfId="0" applyFont="1" applyFill="1" applyBorder="1" applyAlignment="1">
      <alignment horizontal="center" vertical="center" textRotation="90"/>
    </xf>
    <xf numFmtId="0" fontId="37" fillId="44" borderId="37" xfId="0" applyFont="1" applyFill="1" applyBorder="1" applyAlignment="1">
      <alignment horizontal="center" vertical="center" textRotation="90"/>
    </xf>
    <xf numFmtId="0" fontId="37" fillId="44" borderId="55" xfId="0" applyFont="1" applyFill="1" applyBorder="1" applyAlignment="1">
      <alignment horizontal="center" vertical="center" textRotation="90"/>
    </xf>
    <xf numFmtId="0" fontId="37" fillId="44" borderId="59" xfId="0" applyFont="1" applyFill="1" applyBorder="1" applyAlignment="1">
      <alignment horizontal="center" vertical="center" textRotation="90"/>
    </xf>
    <xf numFmtId="0" fontId="37" fillId="44" borderId="38" xfId="0" applyFont="1" applyFill="1" applyBorder="1" applyAlignment="1">
      <alignment horizontal="center" vertical="center" textRotation="90"/>
    </xf>
    <xf numFmtId="0" fontId="26" fillId="0" borderId="1" xfId="0" applyFont="1" applyBorder="1" applyAlignment="1">
      <alignment horizontal="left" vertical="center" wrapText="1"/>
    </xf>
    <xf numFmtId="0" fontId="26" fillId="0" borderId="20" xfId="0" applyFont="1" applyBorder="1" applyAlignment="1">
      <alignment horizontal="left" vertical="center" wrapText="1"/>
    </xf>
    <xf numFmtId="0" fontId="26" fillId="0" borderId="2" xfId="0" applyFont="1" applyBorder="1" applyAlignment="1">
      <alignment horizontal="left" vertical="center" wrapText="1"/>
    </xf>
    <xf numFmtId="0" fontId="26" fillId="0" borderId="3" xfId="0" applyFont="1" applyBorder="1" applyAlignment="1">
      <alignment horizontal="left" vertical="center" wrapText="1"/>
    </xf>
    <xf numFmtId="0" fontId="26" fillId="0" borderId="4" xfId="0" applyFont="1" applyBorder="1" applyAlignment="1">
      <alignment horizontal="left" vertical="center" wrapText="1"/>
    </xf>
    <xf numFmtId="49" fontId="22" fillId="43" borderId="39" xfId="0" applyNumberFormat="1" applyFont="1" applyFill="1" applyBorder="1" applyAlignment="1">
      <alignment horizontal="center" vertical="center" wrapText="1"/>
    </xf>
    <xf numFmtId="49" fontId="22" fillId="43" borderId="11" xfId="0" applyNumberFormat="1" applyFont="1" applyFill="1" applyBorder="1" applyAlignment="1">
      <alignment horizontal="center" vertical="center" wrapText="1"/>
    </xf>
    <xf numFmtId="0" fontId="28" fillId="0" borderId="19" xfId="0" applyFont="1" applyBorder="1" applyAlignment="1">
      <alignment horizontal="center" vertical="center"/>
    </xf>
    <xf numFmtId="0" fontId="28" fillId="0" borderId="21" xfId="0" applyFont="1" applyBorder="1" applyAlignment="1">
      <alignment horizontal="center" vertical="center"/>
    </xf>
    <xf numFmtId="0" fontId="32" fillId="9" borderId="37" xfId="0" applyFont="1" applyFill="1" applyBorder="1" applyAlignment="1">
      <alignment horizontal="left" vertical="center" wrapText="1"/>
    </xf>
    <xf numFmtId="0" fontId="0" fillId="9" borderId="1" xfId="0" applyFill="1" applyBorder="1" applyAlignment="1">
      <alignment horizontal="left" vertical="center" wrapText="1"/>
    </xf>
    <xf numFmtId="0" fontId="0" fillId="9" borderId="37" xfId="0" applyFill="1" applyBorder="1" applyAlignment="1">
      <alignment horizontal="left" vertical="center" wrapText="1"/>
    </xf>
    <xf numFmtId="0" fontId="0" fillId="9" borderId="38" xfId="0" applyFill="1" applyBorder="1" applyAlignment="1">
      <alignment horizontal="left" vertical="center" wrapText="1"/>
    </xf>
    <xf numFmtId="0" fontId="0" fillId="9" borderId="20" xfId="0" applyFill="1" applyBorder="1" applyAlignment="1">
      <alignment horizontal="left" vertical="center" wrapText="1"/>
    </xf>
    <xf numFmtId="0" fontId="2" fillId="3" borderId="1" xfId="0" applyFont="1" applyFill="1" applyBorder="1" applyAlignment="1">
      <alignment horizontal="center" vertical="center" wrapText="1"/>
    </xf>
    <xf numFmtId="1" fontId="0" fillId="0" borderId="2" xfId="2" applyNumberFormat="1" applyFont="1" applyFill="1" applyBorder="1" applyAlignment="1">
      <alignment horizontal="center" vertical="center" wrapText="1"/>
    </xf>
    <xf numFmtId="1" fontId="0" fillId="0" borderId="3" xfId="2" applyNumberFormat="1" applyFont="1" applyFill="1" applyBorder="1" applyAlignment="1">
      <alignment horizontal="center" vertical="center" wrapText="1"/>
    </xf>
    <xf numFmtId="1" fontId="0" fillId="0" borderId="4" xfId="2" applyNumberFormat="1" applyFont="1" applyFill="1" applyBorder="1" applyAlignment="1">
      <alignment horizontal="center" vertical="center" wrapText="1"/>
    </xf>
    <xf numFmtId="0" fontId="11" fillId="16" borderId="1" xfId="0" applyFont="1" applyFill="1" applyBorder="1" applyAlignment="1">
      <alignment horizontal="center" vertical="center" wrapText="1"/>
    </xf>
    <xf numFmtId="9" fontId="0" fillId="0" borderId="1" xfId="0" applyNumberFormat="1" applyBorder="1" applyAlignment="1">
      <alignment horizontal="center" vertical="center" wrapText="1"/>
    </xf>
    <xf numFmtId="0" fontId="12" fillId="11" borderId="1" xfId="0" applyFont="1" applyFill="1" applyBorder="1" applyAlignment="1">
      <alignment horizontal="center" vertical="center" wrapText="1"/>
    </xf>
    <xf numFmtId="9" fontId="0" fillId="0" borderId="1" xfId="2" applyFont="1" applyFill="1" applyBorder="1" applyAlignment="1">
      <alignment horizontal="center" vertical="center" wrapText="1"/>
    </xf>
    <xf numFmtId="0" fontId="11" fillId="13" borderId="1" xfId="0" applyFont="1" applyFill="1" applyBorder="1" applyAlignment="1">
      <alignment horizontal="center" vertical="center" wrapText="1"/>
    </xf>
    <xf numFmtId="1" fontId="6" fillId="0" borderId="2" xfId="2" applyNumberFormat="1" applyFont="1" applyFill="1" applyBorder="1" applyAlignment="1">
      <alignment horizontal="center" vertical="center" wrapText="1"/>
    </xf>
    <xf numFmtId="1" fontId="6" fillId="0" borderId="4" xfId="2" applyNumberFormat="1"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9" fontId="6" fillId="0" borderId="1" xfId="2"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9" fontId="0" fillId="0" borderId="2" xfId="2" applyFont="1" applyFill="1" applyBorder="1" applyAlignment="1">
      <alignment horizontal="center" vertical="center" wrapText="1"/>
    </xf>
    <xf numFmtId="9" fontId="0" fillId="0" borderId="4" xfId="2" applyFont="1" applyFill="1" applyBorder="1" applyAlignment="1">
      <alignment horizontal="center" vertical="center" wrapText="1"/>
    </xf>
    <xf numFmtId="0" fontId="6" fillId="0" borderId="2" xfId="2" applyNumberFormat="1" applyFont="1" applyFill="1" applyBorder="1" applyAlignment="1">
      <alignment horizontal="center" vertical="center" wrapText="1"/>
    </xf>
    <xf numFmtId="0" fontId="6" fillId="0" borderId="4" xfId="2" applyNumberFormat="1" applyFont="1" applyFill="1" applyBorder="1" applyAlignment="1">
      <alignment horizontal="center" vertical="center" wrapText="1"/>
    </xf>
    <xf numFmtId="0" fontId="0" fillId="0" borderId="2" xfId="2" applyNumberFormat="1" applyFont="1" applyFill="1" applyBorder="1" applyAlignment="1">
      <alignment horizontal="center" vertical="center" wrapText="1"/>
    </xf>
    <xf numFmtId="0" fontId="0" fillId="0" borderId="3" xfId="2" applyNumberFormat="1" applyFont="1" applyFill="1" applyBorder="1" applyAlignment="1">
      <alignment horizontal="center" vertical="center" wrapText="1"/>
    </xf>
    <xf numFmtId="0" fontId="0" fillId="0" borderId="4" xfId="2"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9" fontId="0" fillId="0" borderId="3" xfId="2"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1" fontId="6" fillId="0" borderId="3" xfId="2" applyNumberFormat="1" applyFont="1" applyFill="1" applyBorder="1" applyAlignment="1">
      <alignment horizontal="center" vertical="center" wrapText="1"/>
    </xf>
    <xf numFmtId="0" fontId="9" fillId="13" borderId="1" xfId="0" applyFont="1" applyFill="1" applyBorder="1" applyAlignment="1">
      <alignment horizontal="center" vertical="center" wrapText="1"/>
    </xf>
    <xf numFmtId="0" fontId="11" fillId="20" borderId="3" xfId="0" applyFont="1" applyFill="1" applyBorder="1" applyAlignment="1">
      <alignment horizontal="center" vertical="center" wrapText="1"/>
    </xf>
    <xf numFmtId="0" fontId="11" fillId="20" borderId="4"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23" fillId="43" borderId="9" xfId="0" applyFont="1" applyFill="1" applyBorder="1" applyAlignment="1">
      <alignment horizontal="center" vertical="center" wrapText="1"/>
    </xf>
    <xf numFmtId="0" fontId="23" fillId="43" borderId="10" xfId="0" applyFont="1" applyFill="1" applyBorder="1" applyAlignment="1">
      <alignment horizontal="center" vertical="center" wrapText="1"/>
    </xf>
    <xf numFmtId="0" fontId="23" fillId="43" borderId="11" xfId="0" applyFont="1" applyFill="1" applyBorder="1" applyAlignment="1">
      <alignment horizontal="center" vertical="center" wrapText="1"/>
    </xf>
    <xf numFmtId="0" fontId="20" fillId="0" borderId="1" xfId="0" applyFont="1" applyBorder="1" applyAlignment="1">
      <alignment horizontal="center" vertical="center"/>
    </xf>
    <xf numFmtId="0" fontId="39" fillId="44" borderId="17" xfId="0" applyFont="1" applyFill="1" applyBorder="1" applyAlignment="1">
      <alignment horizontal="center" vertical="center" wrapText="1"/>
    </xf>
    <xf numFmtId="0" fontId="39" fillId="44" borderId="18" xfId="0" applyFont="1" applyFill="1" applyBorder="1" applyAlignment="1">
      <alignment horizontal="center" vertical="center" wrapText="1"/>
    </xf>
    <xf numFmtId="0" fontId="52" fillId="0" borderId="1" xfId="0" applyFont="1" applyBorder="1" applyAlignment="1">
      <alignment horizontal="center" vertical="center" wrapText="1"/>
    </xf>
    <xf numFmtId="0" fontId="38" fillId="4" borderId="36" xfId="0" applyFont="1" applyFill="1" applyBorder="1" applyAlignment="1">
      <alignment horizontal="center" vertical="center" wrapText="1"/>
    </xf>
    <xf numFmtId="0" fontId="38" fillId="4" borderId="38" xfId="0" applyFont="1" applyFill="1" applyBorder="1" applyAlignment="1">
      <alignment horizontal="center" vertical="center" wrapText="1"/>
    </xf>
    <xf numFmtId="0" fontId="38" fillId="4" borderId="17" xfId="0" applyFont="1" applyFill="1" applyBorder="1" applyAlignment="1">
      <alignment horizontal="center" vertical="center" wrapText="1"/>
    </xf>
    <xf numFmtId="0" fontId="38" fillId="4" borderId="20" xfId="0" applyFont="1" applyFill="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39" fillId="44" borderId="60" xfId="0" applyFont="1" applyFill="1" applyBorder="1" applyAlignment="1">
      <alignment horizontal="center" vertical="center" textRotation="90" wrapText="1"/>
    </xf>
    <xf numFmtId="0" fontId="39" fillId="44" borderId="1" xfId="0" applyFont="1" applyFill="1" applyBorder="1" applyAlignment="1">
      <alignment horizontal="center" vertical="center" textRotation="90" wrapText="1"/>
    </xf>
    <xf numFmtId="0" fontId="39" fillId="44" borderId="61" xfId="0" applyFont="1" applyFill="1" applyBorder="1" applyAlignment="1">
      <alignment horizontal="center" vertical="center" textRotation="90" wrapText="1"/>
    </xf>
    <xf numFmtId="0" fontId="52" fillId="0" borderId="1" xfId="0" applyFont="1" applyBorder="1" applyAlignment="1">
      <alignment horizontal="left" vertical="center" wrapText="1"/>
    </xf>
    <xf numFmtId="0" fontId="20" fillId="0" borderId="6" xfId="0" applyFont="1" applyBorder="1" applyAlignment="1">
      <alignment horizontal="center" wrapText="1"/>
    </xf>
    <xf numFmtId="0" fontId="20" fillId="0" borderId="7" xfId="0" applyFont="1" applyBorder="1" applyAlignment="1">
      <alignment horizontal="center" wrapText="1"/>
    </xf>
    <xf numFmtId="0" fontId="39" fillId="44" borderId="3" xfId="0" applyFont="1" applyFill="1" applyBorder="1" applyAlignment="1">
      <alignment horizontal="center" vertical="center" textRotation="90" wrapText="1"/>
    </xf>
    <xf numFmtId="0" fontId="36" fillId="45" borderId="37" xfId="0" applyFont="1" applyFill="1" applyBorder="1" applyAlignment="1">
      <alignment vertical="center" wrapText="1"/>
    </xf>
    <xf numFmtId="0" fontId="36" fillId="45" borderId="38" xfId="0" applyFont="1" applyFill="1" applyBorder="1" applyAlignment="1">
      <alignment vertical="center" wrapText="1"/>
    </xf>
    <xf numFmtId="0" fontId="36" fillId="45" borderId="19" xfId="0" applyFont="1" applyFill="1" applyBorder="1" applyAlignment="1">
      <alignment vertical="center" wrapText="1"/>
    </xf>
    <xf numFmtId="0" fontId="36" fillId="45" borderId="21" xfId="0" applyFont="1" applyFill="1" applyBorder="1" applyAlignment="1">
      <alignment vertical="center" wrapText="1"/>
    </xf>
    <xf numFmtId="0" fontId="36" fillId="0" borderId="37" xfId="0" applyFont="1" applyBorder="1" applyAlignment="1">
      <alignment vertical="center" wrapText="1"/>
    </xf>
    <xf numFmtId="0" fontId="36" fillId="0" borderId="19" xfId="0" applyFont="1" applyBorder="1" applyAlignment="1">
      <alignment vertical="center" wrapText="1"/>
    </xf>
    <xf numFmtId="0" fontId="36" fillId="0" borderId="37" xfId="0" applyFont="1" applyBorder="1" applyAlignment="1">
      <alignment vertical="center"/>
    </xf>
    <xf numFmtId="0" fontId="36" fillId="0" borderId="19" xfId="0" applyFont="1" applyBorder="1" applyAlignment="1">
      <alignment vertical="center"/>
    </xf>
    <xf numFmtId="0" fontId="36" fillId="45" borderId="19" xfId="0" applyFont="1" applyFill="1" applyBorder="1" applyAlignment="1">
      <alignment vertical="center"/>
    </xf>
    <xf numFmtId="0" fontId="36" fillId="45" borderId="37" xfId="0" applyFont="1" applyFill="1" applyBorder="1" applyAlignment="1">
      <alignment vertical="center"/>
    </xf>
    <xf numFmtId="0" fontId="41" fillId="43" borderId="36" xfId="0" applyFont="1" applyFill="1" applyBorder="1" applyAlignment="1">
      <alignment horizontal="center" vertical="center"/>
    </xf>
    <xf numFmtId="0" fontId="41" fillId="43" borderId="17" xfId="0" applyFont="1" applyFill="1" applyBorder="1" applyAlignment="1">
      <alignment horizontal="center" vertical="center"/>
    </xf>
    <xf numFmtId="0" fontId="41" fillId="43" borderId="18" xfId="0" applyFont="1" applyFill="1" applyBorder="1" applyAlignment="1">
      <alignment horizontal="center" vertical="center"/>
    </xf>
    <xf numFmtId="0" fontId="20" fillId="0" borderId="1" xfId="0" applyFont="1" applyBorder="1" applyAlignment="1">
      <alignment horizontal="center" vertical="center" wrapText="1"/>
    </xf>
    <xf numFmtId="0" fontId="20" fillId="28" borderId="2" xfId="0" applyFont="1" applyFill="1" applyBorder="1" applyAlignment="1">
      <alignment horizontal="center" vertical="center"/>
    </xf>
    <xf numFmtId="0" fontId="20" fillId="28" borderId="4" xfId="0" applyFont="1" applyFill="1" applyBorder="1" applyAlignment="1">
      <alignment horizontal="center" vertical="center"/>
    </xf>
    <xf numFmtId="0" fontId="20" fillId="28" borderId="3" xfId="0" applyFont="1" applyFill="1" applyBorder="1" applyAlignment="1">
      <alignment horizontal="center" vertical="center"/>
    </xf>
    <xf numFmtId="0" fontId="20" fillId="37" borderId="2" xfId="0" applyFont="1" applyFill="1" applyBorder="1" applyAlignment="1">
      <alignment horizontal="center" vertical="center"/>
    </xf>
    <xf numFmtId="0" fontId="20" fillId="37" borderId="3" xfId="0" applyFont="1" applyFill="1" applyBorder="1" applyAlignment="1">
      <alignment horizontal="center" vertical="center"/>
    </xf>
    <xf numFmtId="0" fontId="20" fillId="37" borderId="4" xfId="0" applyFont="1" applyFill="1" applyBorder="1" applyAlignment="1">
      <alignment horizontal="center" vertical="center"/>
    </xf>
    <xf numFmtId="0" fontId="20" fillId="7" borderId="2" xfId="0" applyFont="1" applyFill="1" applyBorder="1" applyAlignment="1">
      <alignment horizontal="center" vertical="center"/>
    </xf>
    <xf numFmtId="0" fontId="20" fillId="7" borderId="4" xfId="0" applyFont="1" applyFill="1" applyBorder="1" applyAlignment="1">
      <alignment horizontal="center" vertical="center"/>
    </xf>
    <xf numFmtId="0" fontId="20" fillId="27" borderId="2" xfId="0" applyFont="1" applyFill="1" applyBorder="1" applyAlignment="1">
      <alignment horizontal="center" vertical="center"/>
    </xf>
    <xf numFmtId="0" fontId="20" fillId="27" borderId="3" xfId="0" applyFont="1" applyFill="1" applyBorder="1" applyAlignment="1">
      <alignment horizontal="center" vertical="center"/>
    </xf>
    <xf numFmtId="0" fontId="20" fillId="27" borderId="4" xfId="0" applyFont="1" applyFill="1" applyBorder="1" applyAlignment="1">
      <alignment horizontal="center" vertical="center"/>
    </xf>
    <xf numFmtId="0" fontId="20" fillId="24" borderId="2" xfId="0" applyFont="1" applyFill="1" applyBorder="1" applyAlignment="1">
      <alignment horizontal="center" vertical="center"/>
    </xf>
    <xf numFmtId="0" fontId="20" fillId="24" borderId="3" xfId="0" applyFont="1" applyFill="1" applyBorder="1" applyAlignment="1">
      <alignment horizontal="center" vertical="center"/>
    </xf>
    <xf numFmtId="0" fontId="20" fillId="24" borderId="4" xfId="0" applyFont="1" applyFill="1" applyBorder="1" applyAlignment="1">
      <alignment horizontal="center" vertical="center"/>
    </xf>
    <xf numFmtId="0" fontId="20" fillId="6" borderId="2" xfId="0" applyFont="1" applyFill="1" applyBorder="1" applyAlignment="1">
      <alignment horizontal="center" vertical="center"/>
    </xf>
    <xf numFmtId="0" fontId="20" fillId="6" borderId="3" xfId="0" applyFont="1" applyFill="1" applyBorder="1" applyAlignment="1">
      <alignment horizontal="center" vertical="center"/>
    </xf>
    <xf numFmtId="0" fontId="20" fillId="6" borderId="4" xfId="0" applyFont="1" applyFill="1" applyBorder="1" applyAlignment="1">
      <alignment horizontal="center" vertical="center"/>
    </xf>
    <xf numFmtId="0" fontId="20" fillId="7" borderId="3" xfId="0" applyFont="1" applyFill="1" applyBorder="1" applyAlignment="1">
      <alignment horizontal="center" vertical="center"/>
    </xf>
    <xf numFmtId="0" fontId="20" fillId="5" borderId="2" xfId="0" applyFont="1" applyFill="1" applyBorder="1" applyAlignment="1">
      <alignment horizontal="center"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40" borderId="2" xfId="0" applyFont="1" applyFill="1" applyBorder="1" applyAlignment="1">
      <alignment horizontal="center" vertical="center"/>
    </xf>
    <xf numFmtId="0" fontId="20" fillId="40" borderId="4" xfId="0" applyFont="1" applyFill="1" applyBorder="1" applyAlignment="1">
      <alignment horizontal="center" vertical="center"/>
    </xf>
    <xf numFmtId="0" fontId="20" fillId="41" borderId="2" xfId="0" applyFont="1" applyFill="1" applyBorder="1" applyAlignment="1">
      <alignment horizontal="center" vertical="center"/>
    </xf>
    <xf numFmtId="0" fontId="20" fillId="41" borderId="3" xfId="0" applyFont="1" applyFill="1" applyBorder="1" applyAlignment="1">
      <alignment horizontal="center" vertical="center"/>
    </xf>
    <xf numFmtId="0" fontId="20" fillId="41" borderId="4" xfId="0" applyFont="1" applyFill="1" applyBorder="1" applyAlignment="1">
      <alignment horizontal="center" vertical="center"/>
    </xf>
    <xf numFmtId="0" fontId="20" fillId="3" borderId="2" xfId="0" applyFont="1" applyFill="1" applyBorder="1" applyAlignment="1">
      <alignment horizontal="center" vertical="center"/>
    </xf>
    <xf numFmtId="0" fontId="20" fillId="3" borderId="3" xfId="0" applyFont="1" applyFill="1" applyBorder="1" applyAlignment="1">
      <alignment horizontal="center" vertical="center"/>
    </xf>
    <xf numFmtId="0" fontId="20" fillId="3" borderId="4" xfId="0" applyFont="1" applyFill="1" applyBorder="1" applyAlignment="1">
      <alignment horizontal="center" vertical="center"/>
    </xf>
    <xf numFmtId="0" fontId="20" fillId="0" borderId="0" xfId="0" applyFont="1" applyAlignment="1">
      <alignment horizontal="center"/>
    </xf>
    <xf numFmtId="0" fontId="20" fillId="36" borderId="31" xfId="0" applyFont="1" applyFill="1" applyBorder="1" applyAlignment="1">
      <alignment horizontal="center" vertical="center" wrapText="1"/>
    </xf>
    <xf numFmtId="0" fontId="20" fillId="36" borderId="26" xfId="0" applyFont="1" applyFill="1" applyBorder="1" applyAlignment="1">
      <alignment horizontal="center" vertical="center" wrapText="1"/>
    </xf>
    <xf numFmtId="0" fontId="20" fillId="36" borderId="30" xfId="0" applyFont="1" applyFill="1" applyBorder="1" applyAlignment="1">
      <alignment horizontal="center" vertical="center" wrapText="1"/>
    </xf>
    <xf numFmtId="0" fontId="20" fillId="36" borderId="35" xfId="0" applyFont="1" applyFill="1" applyBorder="1" applyAlignment="1">
      <alignment horizontal="center" vertical="center" wrapText="1"/>
    </xf>
    <xf numFmtId="0" fontId="20" fillId="36" borderId="32" xfId="0" applyFont="1" applyFill="1" applyBorder="1" applyAlignment="1">
      <alignment horizontal="center" vertical="center" wrapText="1"/>
    </xf>
    <xf numFmtId="0" fontId="20" fillId="36" borderId="25" xfId="0" applyFont="1" applyFill="1" applyBorder="1" applyAlignment="1">
      <alignment horizontal="center" vertical="center" wrapText="1"/>
    </xf>
    <xf numFmtId="0" fontId="20" fillId="37" borderId="2" xfId="0" applyFont="1" applyFill="1" applyBorder="1" applyAlignment="1">
      <alignment horizontal="center" vertical="center" wrapText="1"/>
    </xf>
    <xf numFmtId="0" fontId="20" fillId="37" borderId="3" xfId="0" applyFont="1" applyFill="1" applyBorder="1" applyAlignment="1">
      <alignment horizontal="center" vertical="center" wrapText="1"/>
    </xf>
    <xf numFmtId="0" fontId="20" fillId="37" borderId="4" xfId="0" applyFont="1" applyFill="1" applyBorder="1" applyAlignment="1">
      <alignment horizontal="center" vertical="center" wrapText="1"/>
    </xf>
    <xf numFmtId="0" fontId="20" fillId="37" borderId="2" xfId="0" applyFont="1" applyFill="1" applyBorder="1" applyAlignment="1">
      <alignment vertical="center"/>
    </xf>
    <xf numFmtId="0" fontId="20" fillId="37" borderId="3" xfId="0" applyFont="1" applyFill="1" applyBorder="1" applyAlignment="1">
      <alignment vertical="center"/>
    </xf>
    <xf numFmtId="0" fontId="20" fillId="37" borderId="4" xfId="0" applyFont="1" applyFill="1" applyBorder="1" applyAlignment="1">
      <alignment vertical="center"/>
    </xf>
    <xf numFmtId="0" fontId="20" fillId="35" borderId="2" xfId="0" applyFont="1" applyFill="1" applyBorder="1" applyAlignment="1">
      <alignment horizontal="center" vertical="center" wrapText="1"/>
    </xf>
    <xf numFmtId="0" fontId="20" fillId="35" borderId="3" xfId="0" applyFont="1" applyFill="1" applyBorder="1" applyAlignment="1">
      <alignment horizontal="center" vertical="center" wrapText="1"/>
    </xf>
    <xf numFmtId="0" fontId="20" fillId="35" borderId="4" xfId="0" applyFont="1" applyFill="1" applyBorder="1" applyAlignment="1">
      <alignment horizontal="center" vertical="center" wrapText="1"/>
    </xf>
    <xf numFmtId="0" fontId="20" fillId="24" borderId="2" xfId="0" applyFont="1" applyFill="1" applyBorder="1" applyAlignment="1">
      <alignment vertical="center"/>
    </xf>
    <xf numFmtId="0" fontId="20" fillId="24" borderId="3" xfId="0" applyFont="1" applyFill="1" applyBorder="1" applyAlignment="1">
      <alignment vertical="center"/>
    </xf>
    <xf numFmtId="0" fontId="20" fillId="24" borderId="4" xfId="0" applyFont="1" applyFill="1" applyBorder="1" applyAlignment="1">
      <alignment vertical="center"/>
    </xf>
    <xf numFmtId="0" fontId="20" fillId="24" borderId="2" xfId="0" applyFont="1" applyFill="1" applyBorder="1" applyAlignment="1">
      <alignment horizontal="center" vertical="center" wrapText="1"/>
    </xf>
    <xf numFmtId="0" fontId="20" fillId="24" borderId="4" xfId="0" applyFont="1" applyFill="1" applyBorder="1" applyAlignment="1">
      <alignment horizontal="center" vertical="center" wrapText="1"/>
    </xf>
    <xf numFmtId="0" fontId="20" fillId="28" borderId="2" xfId="0" applyFont="1" applyFill="1" applyBorder="1" applyAlignment="1">
      <alignment horizontal="center" vertical="center" wrapText="1"/>
    </xf>
    <xf numFmtId="0" fontId="20" fillId="28" borderId="3"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2" xfId="0" applyFont="1" applyFill="1" applyBorder="1" applyAlignment="1">
      <alignment vertical="center"/>
    </xf>
    <xf numFmtId="0" fontId="20" fillId="28" borderId="3" xfId="0" applyFont="1" applyFill="1" applyBorder="1" applyAlignment="1">
      <alignment vertical="center"/>
    </xf>
    <xf numFmtId="0" fontId="20" fillId="28" borderId="4" xfId="0" applyFont="1" applyFill="1" applyBorder="1" applyAlignment="1">
      <alignment vertical="center"/>
    </xf>
    <xf numFmtId="0" fontId="20" fillId="27" borderId="2" xfId="0" applyFont="1" applyFill="1" applyBorder="1" applyAlignment="1">
      <alignment horizontal="center" vertical="center" wrapText="1"/>
    </xf>
    <xf numFmtId="0" fontId="20" fillId="27" borderId="3" xfId="0" applyFont="1" applyFill="1" applyBorder="1" applyAlignment="1">
      <alignment horizontal="center" vertical="center" wrapText="1"/>
    </xf>
    <xf numFmtId="0" fontId="20" fillId="27" borderId="4" xfId="0" applyFont="1" applyFill="1" applyBorder="1" applyAlignment="1">
      <alignment horizontal="center" vertical="center" wrapText="1"/>
    </xf>
    <xf numFmtId="0" fontId="20" fillId="27" borderId="2" xfId="0" applyFont="1" applyFill="1" applyBorder="1" applyAlignment="1">
      <alignment vertical="center"/>
    </xf>
    <xf numFmtId="0" fontId="20" fillId="27" borderId="3" xfId="0" applyFont="1" applyFill="1" applyBorder="1" applyAlignment="1">
      <alignment vertical="center"/>
    </xf>
    <xf numFmtId="0" fontId="20" fillId="27" borderId="4" xfId="0" applyFont="1" applyFill="1" applyBorder="1" applyAlignment="1">
      <alignment vertical="center"/>
    </xf>
    <xf numFmtId="0" fontId="20" fillId="28" borderId="2" xfId="0" applyFont="1" applyFill="1" applyBorder="1" applyAlignment="1">
      <alignment horizontal="left" vertical="center"/>
    </xf>
    <xf numFmtId="0" fontId="20" fillId="28" borderId="3" xfId="0" applyFont="1" applyFill="1" applyBorder="1" applyAlignment="1">
      <alignment horizontal="left" vertical="center"/>
    </xf>
    <xf numFmtId="0" fontId="20" fillId="28" borderId="4" xfId="0" applyFont="1" applyFill="1" applyBorder="1" applyAlignment="1">
      <alignment horizontal="left" vertical="center"/>
    </xf>
    <xf numFmtId="0" fontId="20" fillId="24" borderId="3"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20" fillId="7" borderId="4" xfId="0" applyFont="1" applyFill="1" applyBorder="1" applyAlignment="1">
      <alignment horizontal="center" vertical="center" wrapText="1"/>
    </xf>
    <xf numFmtId="0" fontId="20" fillId="7" borderId="2" xfId="0" applyFont="1" applyFill="1" applyBorder="1" applyAlignment="1">
      <alignment horizontal="left" vertical="center"/>
    </xf>
    <xf numFmtId="0" fontId="20" fillId="7" borderId="4" xfId="0" applyFont="1" applyFill="1" applyBorder="1" applyAlignment="1">
      <alignment horizontal="left" vertical="center"/>
    </xf>
    <xf numFmtId="0" fontId="20" fillId="7" borderId="2" xfId="0" applyFont="1" applyFill="1" applyBorder="1" applyAlignment="1">
      <alignment vertical="center"/>
    </xf>
    <xf numFmtId="0" fontId="20" fillId="7" borderId="4" xfId="0" applyFont="1" applyFill="1" applyBorder="1" applyAlignment="1">
      <alignment vertical="center"/>
    </xf>
    <xf numFmtId="0" fontId="20" fillId="7" borderId="3" xfId="0" applyFont="1" applyFill="1" applyBorder="1" applyAlignment="1">
      <alignment horizontal="left" vertical="center"/>
    </xf>
    <xf numFmtId="0" fontId="20" fillId="7" borderId="3" xfId="0" applyFont="1" applyFill="1" applyBorder="1" applyAlignment="1">
      <alignment vertical="center"/>
    </xf>
    <xf numFmtId="0" fontId="20" fillId="5" borderId="2" xfId="0" applyFont="1" applyFill="1" applyBorder="1" applyAlignment="1">
      <alignment vertical="center"/>
    </xf>
    <xf numFmtId="0" fontId="20" fillId="5" borderId="3" xfId="0" applyFont="1" applyFill="1" applyBorder="1" applyAlignment="1">
      <alignment vertical="center"/>
    </xf>
    <xf numFmtId="0" fontId="20" fillId="5" borderId="4" xfId="0" applyFont="1" applyFill="1" applyBorder="1" applyAlignment="1">
      <alignment vertical="center"/>
    </xf>
    <xf numFmtId="0" fontId="20" fillId="5" borderId="2"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20" fillId="6" borderId="3"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20" fillId="6" borderId="2" xfId="0" applyFont="1" applyFill="1" applyBorder="1" applyAlignment="1">
      <alignment horizontal="left" vertical="center"/>
    </xf>
    <xf numFmtId="0" fontId="20" fillId="6" borderId="3" xfId="0" applyFont="1" applyFill="1" applyBorder="1" applyAlignment="1">
      <alignment horizontal="left" vertical="center"/>
    </xf>
    <xf numFmtId="0" fontId="20" fillId="6" borderId="4" xfId="0" applyFont="1" applyFill="1" applyBorder="1" applyAlignment="1">
      <alignment horizontal="left" vertical="center"/>
    </xf>
    <xf numFmtId="0" fontId="20" fillId="17" borderId="2" xfId="0" applyFont="1" applyFill="1" applyBorder="1" applyAlignment="1">
      <alignment horizontal="center" vertical="center" wrapText="1"/>
    </xf>
    <xf numFmtId="0" fontId="20" fillId="17" borderId="3" xfId="0" applyFont="1" applyFill="1" applyBorder="1" applyAlignment="1">
      <alignment horizontal="center" vertical="center" wrapText="1"/>
    </xf>
    <xf numFmtId="0" fontId="20" fillId="17" borderId="4"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0" fillId="3" borderId="2" xfId="0" applyFont="1" applyFill="1" applyBorder="1" applyAlignment="1">
      <alignment vertical="center"/>
    </xf>
    <xf numFmtId="0" fontId="20" fillId="3" borderId="3" xfId="0" applyFont="1" applyFill="1" applyBorder="1" applyAlignment="1">
      <alignment vertical="center"/>
    </xf>
    <xf numFmtId="0" fontId="20" fillId="3" borderId="4" xfId="0" applyFont="1" applyFill="1" applyBorder="1" applyAlignment="1">
      <alignment vertical="center"/>
    </xf>
    <xf numFmtId="0" fontId="20" fillId="3" borderId="2" xfId="0" applyFont="1" applyFill="1" applyBorder="1" applyAlignment="1">
      <alignment horizontal="left" vertical="center"/>
    </xf>
    <xf numFmtId="0" fontId="20" fillId="3" borderId="3" xfId="0" applyFont="1" applyFill="1" applyBorder="1" applyAlignment="1">
      <alignment horizontal="left" vertical="center"/>
    </xf>
    <xf numFmtId="0" fontId="20" fillId="3" borderId="4" xfId="0" applyFont="1" applyFill="1" applyBorder="1" applyAlignment="1">
      <alignment horizontal="left" vertical="center"/>
    </xf>
    <xf numFmtId="0" fontId="20" fillId="31" borderId="2" xfId="0" applyFont="1" applyFill="1" applyBorder="1" applyAlignment="1">
      <alignment horizontal="center" vertical="center" wrapText="1"/>
    </xf>
    <xf numFmtId="0" fontId="20" fillId="31" borderId="3" xfId="0" applyFont="1" applyFill="1" applyBorder="1" applyAlignment="1">
      <alignment horizontal="center" vertical="center" wrapText="1"/>
    </xf>
    <xf numFmtId="0" fontId="20" fillId="31" borderId="4"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20" fillId="2" borderId="2" xfId="0" applyFont="1" applyFill="1" applyBorder="1" applyAlignment="1">
      <alignment horizontal="left" vertical="center"/>
    </xf>
    <xf numFmtId="0" fontId="20" fillId="2" borderId="4" xfId="0" applyFont="1" applyFill="1" applyBorder="1" applyAlignment="1">
      <alignment horizontal="left" vertical="center"/>
    </xf>
    <xf numFmtId="0" fontId="20" fillId="2" borderId="2" xfId="0" applyFont="1" applyFill="1" applyBorder="1" applyAlignment="1">
      <alignment horizontal="center" vertical="center"/>
    </xf>
    <xf numFmtId="0" fontId="20" fillId="2" borderId="4" xfId="0" applyFont="1" applyFill="1" applyBorder="1" applyAlignment="1">
      <alignment horizontal="center" vertical="center"/>
    </xf>
    <xf numFmtId="0" fontId="20" fillId="32" borderId="2" xfId="0" applyFont="1" applyFill="1" applyBorder="1" applyAlignment="1">
      <alignment horizontal="center" vertical="center" wrapText="1"/>
    </xf>
    <xf numFmtId="0" fontId="20" fillId="32" borderId="3" xfId="0" applyFont="1" applyFill="1" applyBorder="1" applyAlignment="1">
      <alignment horizontal="center" vertical="center" wrapText="1"/>
    </xf>
    <xf numFmtId="0" fontId="20" fillId="32" borderId="4" xfId="0" applyFont="1" applyFill="1" applyBorder="1" applyAlignment="1">
      <alignment horizontal="center" vertical="center" wrapText="1"/>
    </xf>
    <xf numFmtId="0" fontId="20" fillId="32" borderId="2" xfId="0" applyFont="1" applyFill="1" applyBorder="1" applyAlignment="1">
      <alignment vertical="center"/>
    </xf>
    <xf numFmtId="0" fontId="20" fillId="32" borderId="3" xfId="0" applyFont="1" applyFill="1" applyBorder="1" applyAlignment="1">
      <alignment vertical="center"/>
    </xf>
    <xf numFmtId="0" fontId="20" fillId="32" borderId="4" xfId="0" applyFont="1" applyFill="1" applyBorder="1" applyAlignment="1">
      <alignment vertical="center"/>
    </xf>
    <xf numFmtId="0" fontId="20" fillId="32" borderId="2" xfId="0" applyFont="1" applyFill="1" applyBorder="1" applyAlignment="1">
      <alignment horizontal="center" vertical="center"/>
    </xf>
    <xf numFmtId="0" fontId="20" fillId="32" borderId="3" xfId="0" applyFont="1" applyFill="1" applyBorder="1" applyAlignment="1">
      <alignment horizontal="center" vertical="center"/>
    </xf>
    <xf numFmtId="0" fontId="20" fillId="32" borderId="4" xfId="0" applyFont="1" applyFill="1" applyBorder="1" applyAlignment="1">
      <alignment horizontal="center" vertical="center"/>
    </xf>
    <xf numFmtId="0" fontId="20" fillId="0" borderId="22" xfId="0" applyFont="1" applyBorder="1" applyAlignment="1">
      <alignment horizontal="center" vertical="center"/>
    </xf>
    <xf numFmtId="0" fontId="20" fillId="0" borderId="23" xfId="0" applyFont="1" applyBorder="1" applyAlignment="1">
      <alignment horizontal="center" vertical="center"/>
    </xf>
    <xf numFmtId="0" fontId="20" fillId="0" borderId="8" xfId="0" applyFont="1" applyBorder="1" applyAlignment="1">
      <alignment horizontal="center" vertical="center"/>
    </xf>
    <xf numFmtId="0" fontId="24" fillId="34" borderId="45" xfId="0" applyFont="1" applyFill="1" applyBorder="1" applyAlignment="1">
      <alignment horizontal="center" vertical="center"/>
    </xf>
    <xf numFmtId="0" fontId="24" fillId="34" borderId="34" xfId="0" applyFont="1" applyFill="1" applyBorder="1" applyAlignment="1">
      <alignment horizontal="center" vertical="center"/>
    </xf>
    <xf numFmtId="0" fontId="24" fillId="34" borderId="33" xfId="0" applyFont="1" applyFill="1" applyBorder="1" applyAlignment="1">
      <alignment horizontal="center" vertical="center"/>
    </xf>
    <xf numFmtId="0" fontId="24" fillId="0" borderId="8" xfId="0" applyFont="1" applyBorder="1" applyAlignment="1">
      <alignment horizontal="center" vertical="center"/>
    </xf>
    <xf numFmtId="0" fontId="24" fillId="0" borderId="22" xfId="0" applyFont="1" applyBorder="1" applyAlignment="1">
      <alignment horizontal="center" vertical="center"/>
    </xf>
    <xf numFmtId="0" fontId="20" fillId="0" borderId="8" xfId="0" applyFont="1" applyBorder="1" applyAlignment="1">
      <alignment horizontal="left" vertical="center" wrapText="1"/>
    </xf>
    <xf numFmtId="0" fontId="20" fillId="0" borderId="22" xfId="0" applyFont="1" applyBorder="1" applyAlignment="1">
      <alignment horizontal="left" vertical="center" wrapText="1"/>
    </xf>
    <xf numFmtId="0" fontId="35" fillId="9" borderId="9" xfId="0" applyFont="1" applyFill="1" applyBorder="1" applyAlignment="1">
      <alignment horizontal="center" vertical="center"/>
    </xf>
    <xf numFmtId="0" fontId="35" fillId="9" borderId="10" xfId="0" applyFont="1" applyFill="1" applyBorder="1" applyAlignment="1">
      <alignment horizontal="center" vertical="center"/>
    </xf>
    <xf numFmtId="0" fontId="24" fillId="34" borderId="28" xfId="0" applyFont="1" applyFill="1" applyBorder="1" applyAlignment="1">
      <alignment horizontal="center" vertical="center"/>
    </xf>
    <xf numFmtId="0" fontId="24" fillId="34" borderId="15" xfId="0" applyFont="1" applyFill="1" applyBorder="1" applyAlignment="1">
      <alignment horizontal="center" vertical="center"/>
    </xf>
    <xf numFmtId="0" fontId="24" fillId="34" borderId="29" xfId="0" applyFont="1" applyFill="1" applyBorder="1" applyAlignment="1">
      <alignment horizontal="center" vertical="center"/>
    </xf>
    <xf numFmtId="0" fontId="24" fillId="0" borderId="23" xfId="0" applyFont="1" applyBorder="1" applyAlignment="1">
      <alignment horizontal="center" vertical="center"/>
    </xf>
    <xf numFmtId="0" fontId="20" fillId="0" borderId="23" xfId="0" applyFont="1" applyBorder="1" applyAlignment="1">
      <alignment horizontal="left" vertical="center" wrapText="1"/>
    </xf>
    <xf numFmtId="0" fontId="20" fillId="0" borderId="12" xfId="0" applyFont="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35" fillId="9" borderId="46" xfId="0" applyFont="1" applyFill="1" applyBorder="1" applyAlignment="1">
      <alignment horizontal="center" vertical="center"/>
    </xf>
    <xf numFmtId="0" fontId="35" fillId="9" borderId="16" xfId="0" applyFont="1" applyFill="1" applyBorder="1" applyAlignment="1">
      <alignment horizontal="center" vertical="center"/>
    </xf>
    <xf numFmtId="0" fontId="35" fillId="9" borderId="47" xfId="0" applyFont="1" applyFill="1" applyBorder="1" applyAlignment="1">
      <alignment horizontal="center" vertical="center"/>
    </xf>
    <xf numFmtId="0" fontId="35" fillId="9" borderId="45" xfId="0" applyFont="1" applyFill="1" applyBorder="1" applyAlignment="1">
      <alignment horizontal="center" vertical="center"/>
    </xf>
    <xf numFmtId="0" fontId="35" fillId="9" borderId="34" xfId="0" applyFont="1" applyFill="1" applyBorder="1" applyAlignment="1">
      <alignment horizontal="center" vertical="center"/>
    </xf>
    <xf numFmtId="0" fontId="35" fillId="9" borderId="33" xfId="0" applyFont="1" applyFill="1" applyBorder="1" applyAlignment="1">
      <alignment horizontal="center" vertical="center"/>
    </xf>
    <xf numFmtId="0" fontId="24" fillId="34" borderId="9" xfId="0" applyFont="1" applyFill="1" applyBorder="1" applyAlignment="1">
      <alignment horizontal="center" vertical="center"/>
    </xf>
    <xf numFmtId="0" fontId="24" fillId="34" borderId="10" xfId="0" applyFont="1" applyFill="1" applyBorder="1" applyAlignment="1">
      <alignment horizontal="center" vertical="center"/>
    </xf>
    <xf numFmtId="0" fontId="24" fillId="34" borderId="11" xfId="0" applyFont="1" applyFill="1" applyBorder="1" applyAlignment="1">
      <alignment horizontal="center" vertical="center"/>
    </xf>
    <xf numFmtId="0" fontId="20" fillId="0" borderId="8"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14" xfId="0" applyFont="1" applyBorder="1" applyAlignment="1">
      <alignment horizontal="left" vertical="center" wrapText="1"/>
    </xf>
    <xf numFmtId="0" fontId="20" fillId="0" borderId="24" xfId="0" applyFont="1" applyBorder="1" applyAlignment="1">
      <alignment horizontal="left" vertical="center" wrapText="1"/>
    </xf>
    <xf numFmtId="0" fontId="20" fillId="0" borderId="29" xfId="0" applyFont="1" applyBorder="1" applyAlignment="1">
      <alignment horizontal="left" vertical="center" wrapText="1"/>
    </xf>
    <xf numFmtId="0" fontId="20" fillId="0" borderId="2" xfId="0" applyFont="1" applyBorder="1" applyAlignment="1">
      <alignment horizontal="center" vertical="center"/>
    </xf>
    <xf numFmtId="0" fontId="20" fillId="0" borderId="4" xfId="0" applyFont="1" applyBorder="1" applyAlignment="1">
      <alignment horizontal="center" vertical="center"/>
    </xf>
    <xf numFmtId="0" fontId="20" fillId="0" borderId="3" xfId="0" applyFont="1" applyBorder="1" applyAlignment="1">
      <alignment horizontal="center" vertical="center"/>
    </xf>
    <xf numFmtId="0" fontId="20" fillId="0" borderId="1" xfId="5" applyFont="1" applyBorder="1" applyAlignment="1">
      <alignment vertical="center"/>
    </xf>
    <xf numFmtId="0" fontId="46" fillId="0" borderId="1" xfId="5" applyFont="1" applyBorder="1" applyAlignment="1">
      <alignment vertical="center"/>
    </xf>
    <xf numFmtId="0" fontId="46" fillId="0" borderId="1" xfId="0" applyFont="1" applyBorder="1" applyAlignment="1">
      <alignment vertical="center"/>
    </xf>
    <xf numFmtId="49" fontId="22" fillId="25" borderId="1" xfId="0" applyNumberFormat="1" applyFont="1" applyFill="1" applyBorder="1" applyAlignment="1">
      <alignment horizontal="center" vertical="center" wrapText="1"/>
    </xf>
    <xf numFmtId="49" fontId="24" fillId="30" borderId="1" xfId="0" applyNumberFormat="1" applyFont="1" applyFill="1" applyBorder="1" applyAlignment="1">
      <alignment horizontal="center" vertical="center" wrapText="1"/>
    </xf>
    <xf numFmtId="49" fontId="20" fillId="0" borderId="1" xfId="0" applyNumberFormat="1" applyFont="1" applyBorder="1" applyAlignment="1">
      <alignment horizontal="left" vertical="center" wrapText="1"/>
    </xf>
    <xf numFmtId="49" fontId="20" fillId="0" borderId="2" xfId="0" applyNumberFormat="1" applyFont="1" applyBorder="1" applyAlignment="1">
      <alignment horizontal="left" vertical="center" wrapText="1"/>
    </xf>
    <xf numFmtId="49" fontId="20" fillId="0" borderId="4" xfId="0" applyNumberFormat="1" applyFont="1" applyBorder="1" applyAlignment="1">
      <alignment horizontal="left" vertical="center" wrapText="1"/>
    </xf>
    <xf numFmtId="49" fontId="22" fillId="25" borderId="4" xfId="0" applyNumberFormat="1" applyFont="1" applyFill="1" applyBorder="1" applyAlignment="1">
      <alignment horizontal="center" vertical="center" wrapText="1"/>
    </xf>
    <xf numFmtId="0" fontId="35" fillId="30" borderId="1" xfId="0" applyFont="1" applyFill="1" applyBorder="1" applyAlignment="1">
      <alignment horizontal="center" vertical="center"/>
    </xf>
    <xf numFmtId="0" fontId="22" fillId="7" borderId="1" xfId="0" applyFont="1" applyFill="1" applyBorder="1" applyAlignment="1">
      <alignment horizontal="center" vertical="center"/>
    </xf>
    <xf numFmtId="0" fontId="22" fillId="9" borderId="1" xfId="0" applyFont="1" applyFill="1" applyBorder="1" applyAlignment="1">
      <alignment horizontal="center" vertical="center"/>
    </xf>
    <xf numFmtId="0" fontId="22" fillId="4" borderId="1" xfId="0" applyFont="1" applyFill="1" applyBorder="1" applyAlignment="1">
      <alignment horizontal="center" vertical="center"/>
    </xf>
    <xf numFmtId="0" fontId="20" fillId="0" borderId="1" xfId="0" applyFont="1" applyBorder="1" applyAlignment="1">
      <alignment horizontal="left" vertical="center"/>
    </xf>
    <xf numFmtId="0" fontId="22" fillId="23" borderId="6" xfId="0" applyFont="1" applyFill="1" applyBorder="1" applyAlignment="1">
      <alignment horizontal="center" vertical="center"/>
    </xf>
    <xf numFmtId="0" fontId="22" fillId="23" borderId="16" xfId="0" applyFont="1" applyFill="1" applyBorder="1" applyAlignment="1">
      <alignment horizontal="center" vertical="center"/>
    </xf>
    <xf numFmtId="0" fontId="22" fillId="23" borderId="7" xfId="0" applyFont="1" applyFill="1" applyBorder="1" applyAlignment="1">
      <alignment horizontal="center" vertical="center"/>
    </xf>
    <xf numFmtId="0" fontId="35" fillId="30" borderId="6" xfId="0" applyFont="1" applyFill="1" applyBorder="1" applyAlignment="1">
      <alignment horizontal="center" vertical="center"/>
    </xf>
    <xf numFmtId="0" fontId="35" fillId="30" borderId="16" xfId="0" applyFont="1" applyFill="1" applyBorder="1" applyAlignment="1">
      <alignment horizontal="center" vertical="center"/>
    </xf>
    <xf numFmtId="0" fontId="35" fillId="30" borderId="7" xfId="0" applyFont="1" applyFill="1" applyBorder="1" applyAlignment="1">
      <alignment horizontal="center" vertical="center"/>
    </xf>
    <xf numFmtId="0" fontId="16" fillId="0" borderId="40" xfId="0" applyFont="1" applyBorder="1" applyAlignment="1">
      <alignment horizontal="right" vertical="center" wrapText="1"/>
    </xf>
    <xf numFmtId="0" fontId="17" fillId="0" borderId="41" xfId="0" applyFont="1" applyBorder="1" applyAlignment="1">
      <alignment horizontal="center" vertical="center" wrapText="1"/>
    </xf>
    <xf numFmtId="0" fontId="17" fillId="0" borderId="42" xfId="0" applyFont="1" applyBorder="1" applyAlignment="1">
      <alignment horizontal="center" vertical="center" wrapText="1"/>
    </xf>
    <xf numFmtId="0" fontId="17" fillId="0" borderId="43" xfId="0" applyFont="1" applyBorder="1" applyAlignment="1">
      <alignment horizontal="center" vertical="center" wrapText="1"/>
    </xf>
    <xf numFmtId="0" fontId="17" fillId="30" borderId="40" xfId="0" applyFont="1" applyFill="1" applyBorder="1" applyAlignment="1">
      <alignment horizontal="left" wrapText="1"/>
    </xf>
    <xf numFmtId="0" fontId="17" fillId="18" borderId="41" xfId="0" applyFont="1" applyFill="1" applyBorder="1" applyAlignment="1">
      <alignment horizontal="center" vertical="center" wrapText="1"/>
    </xf>
    <xf numFmtId="0" fontId="17" fillId="18" borderId="42" xfId="0" applyFont="1" applyFill="1" applyBorder="1" applyAlignment="1">
      <alignment horizontal="center" vertical="center" wrapText="1"/>
    </xf>
    <xf numFmtId="0" fontId="17" fillId="18" borderId="43" xfId="0" applyFont="1" applyFill="1" applyBorder="1" applyAlignment="1">
      <alignment horizontal="center" vertical="center" wrapText="1"/>
    </xf>
    <xf numFmtId="0" fontId="17" fillId="0" borderId="40" xfId="0" applyFont="1" applyBorder="1" applyAlignment="1">
      <alignment horizontal="center" vertical="center" wrapText="1"/>
    </xf>
    <xf numFmtId="0" fontId="16" fillId="18" borderId="40" xfId="0" applyFont="1" applyFill="1" applyBorder="1" applyAlignment="1">
      <alignment horizontal="right" vertical="center" wrapText="1"/>
    </xf>
    <xf numFmtId="0" fontId="16" fillId="29" borderId="40" xfId="0" applyFont="1" applyFill="1" applyBorder="1" applyAlignment="1">
      <alignment horizontal="center" vertical="center"/>
    </xf>
    <xf numFmtId="0" fontId="17" fillId="0" borderId="40" xfId="0" applyFont="1" applyBorder="1" applyAlignment="1">
      <alignment horizontal="center"/>
    </xf>
    <xf numFmtId="0" fontId="53" fillId="0" borderId="15" xfId="4" applyFont="1" applyBorder="1" applyAlignment="1">
      <alignment horizontal="center" vertical="center"/>
    </xf>
    <xf numFmtId="0" fontId="35" fillId="9" borderId="11" xfId="0" applyFont="1" applyFill="1" applyBorder="1" applyAlignment="1">
      <alignment vertical="center"/>
    </xf>
    <xf numFmtId="0" fontId="17" fillId="30" borderId="41" xfId="0" applyFont="1" applyFill="1" applyBorder="1" applyAlignment="1">
      <alignment horizontal="center" wrapText="1"/>
    </xf>
    <xf numFmtId="0" fontId="17" fillId="30" borderId="42" xfId="0" applyFont="1" applyFill="1" applyBorder="1" applyAlignment="1">
      <alignment horizontal="center" wrapText="1"/>
    </xf>
    <xf numFmtId="0" fontId="17" fillId="30" borderId="43" xfId="0" applyFont="1" applyFill="1" applyBorder="1" applyAlignment="1">
      <alignment horizontal="center" wrapText="1"/>
    </xf>
    <xf numFmtId="0" fontId="12" fillId="32" borderId="1" xfId="0" applyFont="1" applyFill="1" applyBorder="1" applyAlignment="1">
      <alignment horizontal="center" vertical="center" wrapText="1"/>
    </xf>
    <xf numFmtId="0" fontId="12" fillId="32" borderId="6" xfId="0" applyFont="1" applyFill="1" applyBorder="1" applyAlignment="1">
      <alignment vertical="center" wrapText="1"/>
    </xf>
    <xf numFmtId="0" fontId="12" fillId="32" borderId="16" xfId="0" applyFont="1" applyFill="1" applyBorder="1" applyAlignment="1">
      <alignment vertical="center" wrapText="1"/>
    </xf>
    <xf numFmtId="0" fontId="12" fillId="32" borderId="7" xfId="0" applyFont="1" applyFill="1" applyBorder="1" applyAlignment="1">
      <alignment vertical="center" wrapText="1"/>
    </xf>
    <xf numFmtId="0" fontId="11" fillId="32" borderId="1" xfId="0" applyFont="1" applyFill="1" applyBorder="1" applyAlignment="1">
      <alignment horizontal="center" vertical="center" wrapText="1"/>
    </xf>
    <xf numFmtId="0" fontId="6" fillId="0" borderId="1" xfId="0" applyFont="1" applyBorder="1" applyAlignment="1">
      <alignment horizontal="left" wrapText="1"/>
    </xf>
    <xf numFmtId="49" fontId="6" fillId="0" borderId="1" xfId="0" applyNumberFormat="1" applyFont="1" applyFill="1" applyBorder="1" applyAlignment="1">
      <alignment horizontal="center" vertical="center" wrapText="1"/>
    </xf>
    <xf numFmtId="9" fontId="6" fillId="0" borderId="1" xfId="0" applyNumberFormat="1" applyFont="1" applyBorder="1" applyAlignment="1">
      <alignment horizontal="center" vertical="center" wrapText="1"/>
    </xf>
  </cellXfs>
  <cellStyles count="7">
    <cellStyle name="Гиперссылка" xfId="4" builtinId="8"/>
    <cellStyle name="Обычный" xfId="0" builtinId="0"/>
    <cellStyle name="Обычный 2" xfId="3" xr:uid="{00000000-0005-0000-0000-000005000000}"/>
    <cellStyle name="Обычный 3" xfId="5" xr:uid="{00000000-0005-0000-0000-000006000000}"/>
    <cellStyle name="Процентный" xfId="2" builtinId="5"/>
    <cellStyle name="Финансовый" xfId="1" builtinId="3"/>
    <cellStyle name="Финансовый 2" xfId="6" xr:uid="{00000000-0005-0000-0000-000009000000}"/>
  </cellStyles>
  <dxfs count="729">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ont>
        <color rgb="FF9C0006"/>
      </font>
      <fill>
        <patternFill>
          <bgColor rgb="FFFF5050"/>
        </patternFill>
      </fill>
    </dxf>
    <dxf>
      <fill>
        <patternFill>
          <bgColor theme="5" tint="0.39994506668294322"/>
        </patternFill>
      </fill>
    </dxf>
    <dxf>
      <fill>
        <patternFill>
          <bgColor theme="7" tint="0.39994506668294322"/>
        </patternFill>
      </fill>
    </dxf>
    <dxf>
      <fill>
        <patternFill>
          <bgColor theme="9" tint="0.79998168889431442"/>
        </patternFill>
      </fill>
    </dxf>
    <dxf>
      <fill>
        <patternFill>
          <bgColor theme="9" tint="0.39994506668294322"/>
        </patternFill>
      </fill>
    </dxf>
    <dxf>
      <fill>
        <patternFill>
          <bgColor theme="0" tint="-0.34998626667073579"/>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0" tint="-0.34998626667073579"/>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ont>
        <color rgb="FF9C0006"/>
      </font>
      <fill>
        <patternFill>
          <bgColor rgb="FFFFC7CE"/>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7C80"/>
        </patternFill>
      </fill>
    </dxf>
    <dxf>
      <fill>
        <patternFill>
          <bgColor theme="9" tint="0.39994506668294322"/>
        </patternFill>
      </fill>
    </dxf>
    <dxf>
      <font>
        <strike val="0"/>
        <outline val="0"/>
        <shadow val="0"/>
        <vertAlign val="baseline"/>
        <name val="Segoe UI"/>
        <scheme val="none"/>
      </font>
      <alignment horizontal="center" vertical="center" textRotation="0" wrapText="1" indent="0" justifyLastLine="0" shrinkToFit="0" readingOrder="0"/>
    </dxf>
    <dxf>
      <font>
        <strike val="0"/>
        <outline val="0"/>
        <shadow val="0"/>
        <vertAlign val="baseline"/>
        <name val="Segoe UI"/>
        <scheme val="none"/>
      </font>
      <alignment horizontal="general" vertical="center" textRotation="0" wrapText="1" indent="0" justifyLastLine="0" shrinkToFit="0" readingOrder="0"/>
    </dxf>
    <dxf>
      <font>
        <strike val="0"/>
        <outline val="0"/>
        <shadow val="0"/>
        <vertAlign val="baseline"/>
        <name val="Segoe UI"/>
        <scheme val="none"/>
      </font>
    </dxf>
    <dxf>
      <font>
        <strike val="0"/>
        <outline val="0"/>
        <shadow val="0"/>
        <vertAlign val="baseline"/>
        <name val="Segoe UI"/>
        <scheme val="none"/>
      </font>
    </dxf>
    <dxf>
      <font>
        <strike val="0"/>
        <outline val="0"/>
        <shadow val="0"/>
        <vertAlign val="baseline"/>
        <name val="Segoe UI"/>
        <scheme val="none"/>
      </font>
      <alignment horizontal="center" vertical="center" textRotation="0" wrapText="1" indent="0" justifyLastLine="0" shrinkToFit="0" readingOrder="0"/>
    </dxf>
    <dxf>
      <font>
        <strike val="0"/>
        <outline val="0"/>
        <shadow val="0"/>
        <vertAlign val="baseline"/>
        <name val="Segoe UI"/>
        <scheme val="none"/>
      </font>
      <alignment horizontal="center" vertical="center" textRotation="0" wrapText="1" indent="0" justifyLastLine="0" shrinkToFit="0" readingOrder="0"/>
    </dxf>
    <dxf>
      <font>
        <strike val="0"/>
        <outline val="0"/>
        <shadow val="0"/>
        <vertAlign val="baseline"/>
        <name val="Segoe UI"/>
        <scheme val="none"/>
      </font>
      <alignment horizontal="center" vertical="center" textRotation="0" wrapText="1" indent="0" justifyLastLine="0" shrinkToFit="0" readingOrder="0"/>
    </dxf>
    <dxf>
      <font>
        <strike val="0"/>
        <outline val="0"/>
        <shadow val="0"/>
        <vertAlign val="baseline"/>
        <name val="Segoe UI"/>
        <scheme val="none"/>
      </font>
      <alignment horizontal="general" vertical="center" textRotation="0" wrapText="1" indent="0" justifyLastLine="0" shrinkToFit="0" readingOrder="0"/>
    </dxf>
    <dxf>
      <font>
        <strike val="0"/>
        <outline val="0"/>
        <shadow val="0"/>
        <vertAlign val="baseline"/>
        <name val="Segoe UI"/>
        <scheme val="none"/>
      </font>
    </dxf>
    <dxf>
      <font>
        <strike val="0"/>
        <outline val="0"/>
        <shadow val="0"/>
        <vertAlign val="baseline"/>
        <name val="Segoe UI"/>
        <scheme val="none"/>
      </font>
      <alignment horizontal="center" vertical="center" textRotation="0" wrapText="1" indent="0" justifyLastLine="0" shrinkToFit="0" readingOrder="0"/>
    </dxf>
  </dxfs>
  <tableStyles count="0" defaultTableStyle="TableStyleMedium2" defaultPivotStyle="PivotStyleLight16"/>
  <colors>
    <mruColors>
      <color rgb="FFFCE4D6"/>
      <color rgb="FFC6E0B4"/>
      <color rgb="FF00B0F0"/>
      <color rgb="FFFFE699"/>
      <color rgb="FFFFF2CC"/>
      <color rgb="FFD9E1F2"/>
      <color rgb="FFBFBFBF"/>
      <color rgb="FFEDEDED"/>
      <color rgb="FF990033"/>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соответствие</a:t>
            </a:r>
            <a:r>
              <a:rPr lang="ru-RU" baseline="0"/>
              <a:t> </a:t>
            </a:r>
            <a:r>
              <a:rPr lang="ru-RU"/>
              <a:t>Уровням</a:t>
            </a:r>
            <a:r>
              <a:rPr lang="ru-RU" baseline="0"/>
              <a:t> Кирилламиды </a:t>
            </a:r>
            <a:endParaRPr lang="ru-RU"/>
          </a:p>
        </c:rich>
      </c:tx>
      <c:layout>
        <c:manualLayout>
          <c:xMode val="edge"/>
          <c:yMode val="edge"/>
          <c:x val="0.10827704252087489"/>
          <c:y val="1.785030342001974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1"/>
          <c:order val="0"/>
          <c:spPr>
            <a:solidFill>
              <a:schemeClr val="accent2">
                <a:alpha val="50196"/>
              </a:schemeClr>
            </a:solidFill>
            <a:ln w="25400">
              <a:noFill/>
              <a:prstDash val="sysDot"/>
            </a:ln>
            <a:effectLst/>
          </c:spPr>
          <c:cat>
            <c:strRef>
              <c:f>('Результаты аудита'!$P$3,'Результаты аудита'!$P$4,'Результаты аудита'!$P$5,'Результаты аудита'!$P$6,'Результаты аудита'!$P$7,'Результаты аудита'!$P$8,'Результаты аудита'!$P$9,'Результаты аудита'!$P$10)</c:f>
              <c:strCache>
                <c:ptCount val="8"/>
                <c:pt idx="0">
                  <c:v>Хаос</c:v>
                </c:pt>
                <c:pt idx="1">
                  <c:v>Минимальный</c:v>
                </c:pt>
                <c:pt idx="2">
                  <c:v>Базовый</c:v>
                </c:pt>
                <c:pt idx="3">
                  <c:v>Повышенный</c:v>
                </c:pt>
                <c:pt idx="4">
                  <c:v>Продвинутый</c:v>
                </c:pt>
                <c:pt idx="5">
                  <c:v>Развитый</c:v>
                </c:pt>
                <c:pt idx="6">
                  <c:v>Экспертный</c:v>
                </c:pt>
                <c:pt idx="7">
                  <c:v>Космический</c:v>
                </c:pt>
              </c:strCache>
            </c:strRef>
          </c:cat>
          <c:val>
            <c:numRef>
              <c:f>('Результаты аудита'!$Q$3,'Результаты аудита'!$Q$4,'Результаты аудита'!$Q$5,'Результаты аудита'!$Q$6,'Результаты аудита'!$Q$7,'Результаты аудита'!$Q$8,'Результаты аудита'!$Q$9,'Результаты аудита'!$Q$10)</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8F83-4AB0-8DE2-C0158DF930A4}"/>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cross"/>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851551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baseline="0"/>
              <a:t>выполнение практик</a:t>
            </a:r>
            <a:r>
              <a:rPr lang="en-US" baseline="0"/>
              <a:t> </a:t>
            </a:r>
            <a:r>
              <a:rPr lang="ru-RU" baseline="0"/>
              <a:t>доменов </a:t>
            </a:r>
            <a:r>
              <a:rPr lang="en-US" baseline="0"/>
              <a:t>DAF</a:t>
            </a:r>
            <a:endParaRPr lang="ru-RU"/>
          </a:p>
        </c:rich>
      </c:tx>
      <c:overlay val="0"/>
      <c:spPr>
        <a:noFill/>
        <a:ln>
          <a:noFill/>
        </a:ln>
        <a:effectLst/>
      </c:spPr>
    </c:title>
    <c:autoTitleDeleted val="0"/>
    <c:plotArea>
      <c:layout/>
      <c:radarChart>
        <c:radarStyle val="filled"/>
        <c:varyColors val="0"/>
        <c:ser>
          <c:idx val="0"/>
          <c:order val="0"/>
          <c:cat>
            <c:strRef>
              <c:f>('Результаты аудита'!$C$3,'Результаты аудита'!$C$5,'Результаты аудита'!$C$11,'Результаты аудита'!$C$17,'Результаты аудита'!$C$22,'Результаты аудита'!$C$30,'Результаты аудита'!$C$32,'Результаты аудита'!$C$37,'Результаты аудита'!$C$39,'Результаты аудита'!$C$41)</c:f>
              <c:strCache>
                <c:ptCount val="10"/>
                <c:pt idx="0">
                  <c:v>Контроль ИБ артефактов, зависимостей и образов</c:v>
                </c:pt>
                <c:pt idx="1">
                  <c:v>Защита окружения разработки</c:v>
                </c:pt>
                <c:pt idx="2">
                  <c:v>Инструментальный анализ на наличие дефектов ИБ</c:v>
                </c:pt>
                <c:pt idx="3">
                  <c:v>Анализ ПО в режиме runtime - Preprod</c:v>
                </c:pt>
                <c:pt idx="4">
                  <c:v>Защита ПО и инфраструктуры в режиме runtime</c:v>
                </c:pt>
                <c:pt idx="5">
                  <c:v>Обучение и база знаний</c:v>
                </c:pt>
                <c:pt idx="6">
                  <c:v>Контроль и формирование требований ИБ к ПО</c:v>
                </c:pt>
                <c:pt idx="7">
                  <c:v>Управление ИБ дефектами</c:v>
                </c:pt>
                <c:pt idx="8">
                  <c:v>Оценка эффективности процессов</c:v>
                </c:pt>
                <c:pt idx="9">
                  <c:v>Функциональные роли</c:v>
                </c:pt>
              </c:strCache>
            </c:strRef>
          </c:cat>
          <c:val>
            <c:numRef>
              <c:f>('Результаты аудита'!$L$3,'Результаты аудита'!$L$5,'Результаты аудита'!$L$11,'Результаты аудита'!$L$17,'Результаты аудита'!$L$22,'Результаты аудита'!$L$30,'Результаты аудита'!$L$32,'Результаты аудита'!$L$37,'Результаты аудита'!$L$39,'Результаты аудита'!$L$41)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34F6-4BCE-A8D4-F198DC368955}"/>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cross"/>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851551568"/>
        <c:crosses val="autoZero"/>
        <c:crossBetween val="between"/>
      </c:valAx>
    </c:plotArea>
    <c:plotVisOnly val="1"/>
    <c:dispBlanksAs val="span"/>
    <c:showDLblsOverMax val="0"/>
  </c:chart>
  <c:txPr>
    <a:bodyPr/>
    <a:lstStyle/>
    <a:p>
      <a:pPr>
        <a:defRPr/>
      </a:pPr>
      <a:endParaRPr lang="ru-RU"/>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0</xdr:colOff>
      <xdr:row>76</xdr:row>
      <xdr:rowOff>92819</xdr:rowOff>
    </xdr:from>
    <xdr:to>
      <xdr:col>19</xdr:col>
      <xdr:colOff>291353</xdr:colOff>
      <xdr:row>113</xdr:row>
      <xdr:rowOff>112059</xdr:rowOff>
    </xdr:to>
    <xdr:sp macro="" textlink="">
      <xdr:nvSpPr>
        <xdr:cNvPr id="613" name="Скругленный прямоугольник 4">
          <a:extLst>
            <a:ext uri="{FF2B5EF4-FFF2-40B4-BE49-F238E27FC236}">
              <a16:creationId xmlns:a16="http://schemas.microsoft.com/office/drawing/2014/main" id="{498263F0-9EB0-136B-E608-618B1C14459C}"/>
            </a:ext>
          </a:extLst>
        </xdr:cNvPr>
        <xdr:cNvSpPr/>
      </xdr:nvSpPr>
      <xdr:spPr>
        <a:xfrm>
          <a:off x="0" y="13719172"/>
          <a:ext cx="11788588" cy="6653122"/>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6</xdr:col>
      <xdr:colOff>380999</xdr:colOff>
      <xdr:row>104</xdr:row>
      <xdr:rowOff>93980</xdr:rowOff>
    </xdr:from>
    <xdr:to>
      <xdr:col>10</xdr:col>
      <xdr:colOff>295274</xdr:colOff>
      <xdr:row>110</xdr:row>
      <xdr:rowOff>94398</xdr:rowOff>
    </xdr:to>
    <xdr:sp macro="" textlink="">
      <xdr:nvSpPr>
        <xdr:cNvPr id="2" name="Скругленный прямоугольник 16">
          <a:extLst>
            <a:ext uri="{FF2B5EF4-FFF2-40B4-BE49-F238E27FC236}">
              <a16:creationId xmlns:a16="http://schemas.microsoft.com/office/drawing/2014/main" id="{EB256791-D02D-439B-9C66-F9F07C55C494}"/>
            </a:ext>
          </a:extLst>
        </xdr:cNvPr>
        <xdr:cNvSpPr/>
      </xdr:nvSpPr>
      <xdr:spPr>
        <a:xfrm>
          <a:off x="4038599" y="18915380"/>
          <a:ext cx="2352675" cy="1086268"/>
        </a:xfrm>
        <a:prstGeom prst="roundRect">
          <a:avLst>
            <a:gd name="adj" fmla="val 478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solidFill>
                <a:srgbClr val="001031"/>
              </a:solidFill>
              <a:latin typeface="Segoe UI" panose="020B0502040204020203" pitchFamily="34" charset="0"/>
            </a:rPr>
            <a:t>Оценка эффективности процессов</a:t>
          </a:r>
          <a:endParaRPr lang="en-US" sz="1050" b="1">
            <a:solidFill>
              <a:srgbClr val="001031"/>
            </a:solidFill>
            <a:latin typeface="Segoe UI" panose="020B0502040204020203" pitchFamily="34" charset="0"/>
          </a:endParaRPr>
        </a:p>
      </xdr:txBody>
    </xdr:sp>
    <xdr:clientData/>
  </xdr:twoCellAnchor>
  <xdr:twoCellAnchor>
    <xdr:from>
      <xdr:col>0</xdr:col>
      <xdr:colOff>1</xdr:colOff>
      <xdr:row>0</xdr:row>
      <xdr:rowOff>0</xdr:rowOff>
    </xdr:from>
    <xdr:to>
      <xdr:col>19</xdr:col>
      <xdr:colOff>268941</xdr:colOff>
      <xdr:row>27</xdr:row>
      <xdr:rowOff>22412</xdr:rowOff>
    </xdr:to>
    <xdr:sp macro="" textlink="">
      <xdr:nvSpPr>
        <xdr:cNvPr id="612" name="Скругленный прямоугольник 4">
          <a:extLst>
            <a:ext uri="{FF2B5EF4-FFF2-40B4-BE49-F238E27FC236}">
              <a16:creationId xmlns:a16="http://schemas.microsoft.com/office/drawing/2014/main" id="{77DD883B-A35A-4298-BC97-3C415FAE1DC3}"/>
            </a:ext>
          </a:extLst>
        </xdr:cNvPr>
        <xdr:cNvSpPr/>
      </xdr:nvSpPr>
      <xdr:spPr>
        <a:xfrm>
          <a:off x="1" y="0"/>
          <a:ext cx="11766175" cy="4863353"/>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0</xdr:col>
      <xdr:colOff>0</xdr:colOff>
      <xdr:row>33</xdr:row>
      <xdr:rowOff>16283</xdr:rowOff>
    </xdr:from>
    <xdr:to>
      <xdr:col>19</xdr:col>
      <xdr:colOff>291353</xdr:colOff>
      <xdr:row>69</xdr:row>
      <xdr:rowOff>11206</xdr:rowOff>
    </xdr:to>
    <xdr:sp macro="" textlink="">
      <xdr:nvSpPr>
        <xdr:cNvPr id="611" name="Скругленный прямоугольник 4">
          <a:extLst>
            <a:ext uri="{FF2B5EF4-FFF2-40B4-BE49-F238E27FC236}">
              <a16:creationId xmlns:a16="http://schemas.microsoft.com/office/drawing/2014/main" id="{34732DBE-2419-473D-82DB-5345CC4F1501}"/>
            </a:ext>
          </a:extLst>
        </xdr:cNvPr>
        <xdr:cNvSpPr/>
      </xdr:nvSpPr>
      <xdr:spPr>
        <a:xfrm>
          <a:off x="0" y="5932989"/>
          <a:ext cx="11788588" cy="6449511"/>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1</xdr:col>
      <xdr:colOff>268098</xdr:colOff>
      <xdr:row>0</xdr:row>
      <xdr:rowOff>662</xdr:rowOff>
    </xdr:from>
    <xdr:to>
      <xdr:col>16</xdr:col>
      <xdr:colOff>389769</xdr:colOff>
      <xdr:row>5</xdr:row>
      <xdr:rowOff>77165</xdr:rowOff>
    </xdr:to>
    <xdr:sp macro="" textlink="">
      <xdr:nvSpPr>
        <xdr:cNvPr id="377" name="Заголовок 1">
          <a:extLst>
            <a:ext uri="{FF2B5EF4-FFF2-40B4-BE49-F238E27FC236}">
              <a16:creationId xmlns:a16="http://schemas.microsoft.com/office/drawing/2014/main" id="{442F2AC2-1714-870A-1250-3F4A93DC486E}"/>
            </a:ext>
          </a:extLst>
        </xdr:cNvPr>
        <xdr:cNvSpPr>
          <a:spLocks noGrp="1"/>
        </xdr:cNvSpPr>
      </xdr:nvSpPr>
      <xdr:spPr>
        <a:xfrm>
          <a:off x="881011" y="662"/>
          <a:ext cx="9315367" cy="987590"/>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ru-RU"/>
            <a:t>ЧТО НАДО анализировать и ЗАЩИЩАТЬ?</a:t>
          </a:r>
        </a:p>
      </xdr:txBody>
    </xdr:sp>
    <xdr:clientData/>
  </xdr:twoCellAnchor>
  <xdr:twoCellAnchor>
    <xdr:from>
      <xdr:col>6</xdr:col>
      <xdr:colOff>58242</xdr:colOff>
      <xdr:row>3</xdr:row>
      <xdr:rowOff>120512</xdr:rowOff>
    </xdr:from>
    <xdr:to>
      <xdr:col>10</xdr:col>
      <xdr:colOff>586279</xdr:colOff>
      <xdr:row>11</xdr:row>
      <xdr:rowOff>152318</xdr:rowOff>
    </xdr:to>
    <xdr:sp macro="" textlink="">
      <xdr:nvSpPr>
        <xdr:cNvPr id="378" name="Полилиния: фигура 377">
          <a:extLst>
            <a:ext uri="{FF2B5EF4-FFF2-40B4-BE49-F238E27FC236}">
              <a16:creationId xmlns:a16="http://schemas.microsoft.com/office/drawing/2014/main" id="{39EF1ED6-22F5-54CB-5A44-BD2B8AFEA560}"/>
            </a:ext>
          </a:extLst>
        </xdr:cNvPr>
        <xdr:cNvSpPr/>
      </xdr:nvSpPr>
      <xdr:spPr bwMode="auto">
        <a:xfrm>
          <a:off x="3735720" y="667164"/>
          <a:ext cx="2979689" cy="1489545"/>
        </a:xfrm>
        <a:custGeom>
          <a:avLst/>
          <a:gdLst>
            <a:gd name="connsiteX0" fmla="*/ 1482514 w 2965028"/>
            <a:gd name="connsiteY0" fmla="*/ 0 h 1487226"/>
            <a:gd name="connsiteX1" fmla="*/ 2965028 w 2965028"/>
            <a:gd name="connsiteY1" fmla="*/ 1482514 h 1487226"/>
            <a:gd name="connsiteX2" fmla="*/ 2964790 w 2965028"/>
            <a:gd name="connsiteY2" fmla="*/ 1487226 h 1487226"/>
            <a:gd name="connsiteX3" fmla="*/ 2886085 w 2965028"/>
            <a:gd name="connsiteY3" fmla="*/ 1487226 h 1487226"/>
            <a:gd name="connsiteX4" fmla="*/ 2886323 w 2965028"/>
            <a:gd name="connsiteY4" fmla="*/ 1482514 h 1487226"/>
            <a:gd name="connsiteX5" fmla="*/ 1482514 w 2965028"/>
            <a:gd name="connsiteY5" fmla="*/ 78705 h 1487226"/>
            <a:gd name="connsiteX6" fmla="*/ 78705 w 2965028"/>
            <a:gd name="connsiteY6" fmla="*/ 1482514 h 1487226"/>
            <a:gd name="connsiteX7" fmla="*/ 78943 w 2965028"/>
            <a:gd name="connsiteY7" fmla="*/ 1487226 h 1487226"/>
            <a:gd name="connsiteX8" fmla="*/ 238 w 2965028"/>
            <a:gd name="connsiteY8" fmla="*/ 1487226 h 1487226"/>
            <a:gd name="connsiteX9" fmla="*/ 0 w 2965028"/>
            <a:gd name="connsiteY9" fmla="*/ 1482514 h 1487226"/>
            <a:gd name="connsiteX10" fmla="*/ 1482514 w 2965028"/>
            <a:gd name="connsiteY10" fmla="*/ 0 h 14872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965028" h="1487226">
              <a:moveTo>
                <a:pt x="1482514" y="0"/>
              </a:moveTo>
              <a:cubicBezTo>
                <a:pt x="2301284" y="0"/>
                <a:pt x="2965028" y="663744"/>
                <a:pt x="2965028" y="1482514"/>
              </a:cubicBezTo>
              <a:lnTo>
                <a:pt x="2964790" y="1487226"/>
              </a:lnTo>
              <a:lnTo>
                <a:pt x="2886085" y="1487226"/>
              </a:lnTo>
              <a:lnTo>
                <a:pt x="2886323" y="1482514"/>
              </a:lnTo>
              <a:cubicBezTo>
                <a:pt x="2886323" y="707212"/>
                <a:pt x="2257816" y="78705"/>
                <a:pt x="1482514" y="78705"/>
              </a:cubicBezTo>
              <a:cubicBezTo>
                <a:pt x="707212" y="78705"/>
                <a:pt x="78705" y="707212"/>
                <a:pt x="78705" y="1482514"/>
              </a:cubicBezTo>
              <a:lnTo>
                <a:pt x="78943" y="1487226"/>
              </a:lnTo>
              <a:lnTo>
                <a:pt x="238" y="1487226"/>
              </a:lnTo>
              <a:lnTo>
                <a:pt x="0" y="1482514"/>
              </a:lnTo>
              <a:cubicBezTo>
                <a:pt x="0" y="663744"/>
                <a:pt x="663744" y="0"/>
                <a:pt x="1482514" y="0"/>
              </a:cubicBezTo>
              <a:close/>
            </a:path>
          </a:pathLst>
        </a:custGeom>
        <a:solidFill>
          <a:srgbClr val="FFFFFF">
            <a:lumMod val="95000"/>
          </a:srgbClr>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240488</xdr:colOff>
      <xdr:row>8</xdr:row>
      <xdr:rowOff>153320</xdr:rowOff>
    </xdr:from>
    <xdr:to>
      <xdr:col>13</xdr:col>
      <xdr:colOff>99730</xdr:colOff>
      <xdr:row>14</xdr:row>
      <xdr:rowOff>155438</xdr:rowOff>
    </xdr:to>
    <xdr:sp macro="" textlink="">
      <xdr:nvSpPr>
        <xdr:cNvPr id="379" name="Полилиния: фигура 378">
          <a:extLst>
            <a:ext uri="{FF2B5EF4-FFF2-40B4-BE49-F238E27FC236}">
              <a16:creationId xmlns:a16="http://schemas.microsoft.com/office/drawing/2014/main" id="{09F0FAC5-FF4E-D2A2-7D05-DA0A7F5BE0F9}"/>
            </a:ext>
          </a:extLst>
        </xdr:cNvPr>
        <xdr:cNvSpPr/>
      </xdr:nvSpPr>
      <xdr:spPr bwMode="auto">
        <a:xfrm>
          <a:off x="6982531" y="1611059"/>
          <a:ext cx="1085069" cy="1095422"/>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3</xdr:col>
      <xdr:colOff>548600</xdr:colOff>
      <xdr:row>8</xdr:row>
      <xdr:rowOff>153320</xdr:rowOff>
    </xdr:from>
    <xdr:to>
      <xdr:col>5</xdr:col>
      <xdr:colOff>402625</xdr:colOff>
      <xdr:row>14</xdr:row>
      <xdr:rowOff>155438</xdr:rowOff>
    </xdr:to>
    <xdr:sp macro="" textlink="">
      <xdr:nvSpPr>
        <xdr:cNvPr id="380" name="Полилиния: фигура 379">
          <a:extLst>
            <a:ext uri="{FF2B5EF4-FFF2-40B4-BE49-F238E27FC236}">
              <a16:creationId xmlns:a16="http://schemas.microsoft.com/office/drawing/2014/main" id="{7429F84E-1034-E8AB-CA8A-37774519FF85}"/>
            </a:ext>
          </a:extLst>
        </xdr:cNvPr>
        <xdr:cNvSpPr/>
      </xdr:nvSpPr>
      <xdr:spPr bwMode="auto">
        <a:xfrm>
          <a:off x="2387339" y="1611059"/>
          <a:ext cx="1079851" cy="1095422"/>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53768</xdr:colOff>
      <xdr:row>12</xdr:row>
      <xdr:rowOff>1364</xdr:rowOff>
    </xdr:from>
    <xdr:to>
      <xdr:col>10</xdr:col>
      <xdr:colOff>594566</xdr:colOff>
      <xdr:row>20</xdr:row>
      <xdr:rowOff>9628</xdr:rowOff>
    </xdr:to>
    <xdr:sp macro="" textlink="">
      <xdr:nvSpPr>
        <xdr:cNvPr id="381" name="Полилиния: фигура 380">
          <a:extLst>
            <a:ext uri="{FF2B5EF4-FFF2-40B4-BE49-F238E27FC236}">
              <a16:creationId xmlns:a16="http://schemas.microsoft.com/office/drawing/2014/main" id="{263EB120-1E3E-77E8-19B6-298251F1DDB9}"/>
            </a:ext>
          </a:extLst>
        </xdr:cNvPr>
        <xdr:cNvSpPr/>
      </xdr:nvSpPr>
      <xdr:spPr bwMode="auto">
        <a:xfrm>
          <a:off x="3731246" y="2187973"/>
          <a:ext cx="2992450" cy="1466003"/>
        </a:xfrm>
        <a:custGeom>
          <a:avLst/>
          <a:gdLst>
            <a:gd name="connsiteX0" fmla="*/ 0 w 2962549"/>
            <a:gd name="connsiteY0" fmla="*/ 0 h 1457969"/>
            <a:gd name="connsiteX1" fmla="*/ 78705 w 2962549"/>
            <a:gd name="connsiteY1" fmla="*/ 0 h 1457969"/>
            <a:gd name="connsiteX2" fmla="*/ 84713 w 2962549"/>
            <a:gd name="connsiteY2" fmla="*/ 118986 h 1457969"/>
            <a:gd name="connsiteX3" fmla="*/ 1481274 w 2962549"/>
            <a:gd name="connsiteY3" fmla="*/ 1379264 h 1457969"/>
            <a:gd name="connsiteX4" fmla="*/ 2877836 w 2962549"/>
            <a:gd name="connsiteY4" fmla="*/ 118986 h 1457969"/>
            <a:gd name="connsiteX5" fmla="*/ 2883844 w 2962549"/>
            <a:gd name="connsiteY5" fmla="*/ 0 h 1457969"/>
            <a:gd name="connsiteX6" fmla="*/ 2962549 w 2962549"/>
            <a:gd name="connsiteY6" fmla="*/ 0 h 1457969"/>
            <a:gd name="connsiteX7" fmla="*/ 2956134 w 2962549"/>
            <a:gd name="connsiteY7" fmla="*/ 127034 h 1457969"/>
            <a:gd name="connsiteX8" fmla="*/ 1481274 w 2962549"/>
            <a:gd name="connsiteY8" fmla="*/ 1457969 h 1457969"/>
            <a:gd name="connsiteX9" fmla="*/ 6414 w 2962549"/>
            <a:gd name="connsiteY9" fmla="*/ 127034 h 1457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62549" h="1457969">
              <a:moveTo>
                <a:pt x="0" y="0"/>
              </a:moveTo>
              <a:lnTo>
                <a:pt x="78705" y="0"/>
              </a:lnTo>
              <a:lnTo>
                <a:pt x="84713" y="118986"/>
              </a:lnTo>
              <a:cubicBezTo>
                <a:pt x="156602" y="826865"/>
                <a:pt x="754429" y="1379264"/>
                <a:pt x="1481274" y="1379264"/>
              </a:cubicBezTo>
              <a:cubicBezTo>
                <a:pt x="2208120" y="1379264"/>
                <a:pt x="2805946" y="826865"/>
                <a:pt x="2877836" y="118986"/>
              </a:cubicBezTo>
              <a:lnTo>
                <a:pt x="2883844" y="0"/>
              </a:lnTo>
              <a:lnTo>
                <a:pt x="2962549" y="0"/>
              </a:lnTo>
              <a:lnTo>
                <a:pt x="2956134" y="127034"/>
              </a:lnTo>
              <a:cubicBezTo>
                <a:pt x="2880215" y="874600"/>
                <a:pt x="2248871" y="1457969"/>
                <a:pt x="1481274" y="1457969"/>
              </a:cubicBezTo>
              <a:cubicBezTo>
                <a:pt x="713677" y="1457969"/>
                <a:pt x="82334" y="874600"/>
                <a:pt x="6414" y="127034"/>
              </a:cubicBezTo>
              <a:close/>
            </a:path>
          </a:pathLst>
        </a:cu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395003</xdr:colOff>
      <xdr:row>5</xdr:row>
      <xdr:rowOff>95323</xdr:rowOff>
    </xdr:from>
    <xdr:to>
      <xdr:col>10</xdr:col>
      <xdr:colOff>246204</xdr:colOff>
      <xdr:row>18</xdr:row>
      <xdr:rowOff>37964</xdr:rowOff>
    </xdr:to>
    <xdr:sp macro="" textlink="">
      <xdr:nvSpPr>
        <xdr:cNvPr id="382" name="Овал 381">
          <a:extLst>
            <a:ext uri="{FF2B5EF4-FFF2-40B4-BE49-F238E27FC236}">
              <a16:creationId xmlns:a16="http://schemas.microsoft.com/office/drawing/2014/main" id="{CE960244-A5AA-3DFC-F07F-93973D75213A}"/>
            </a:ext>
          </a:extLst>
        </xdr:cNvPr>
        <xdr:cNvSpPr/>
      </xdr:nvSpPr>
      <xdr:spPr bwMode="auto">
        <a:xfrm>
          <a:off x="4072481" y="1006410"/>
          <a:ext cx="2302853" cy="2311467"/>
        </a:xfrm>
        <a:prstGeom prst="ellipse">
          <a:avLst/>
        </a:prstGeom>
        <a:solidFill>
          <a:srgbClr val="FFFFFF">
            <a:lumMod val="95000"/>
          </a:srgbClr>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556855</xdr:colOff>
      <xdr:row>6</xdr:row>
      <xdr:rowOff>67172</xdr:rowOff>
    </xdr:from>
    <xdr:to>
      <xdr:col>10</xdr:col>
      <xdr:colOff>91475</xdr:colOff>
      <xdr:row>17</xdr:row>
      <xdr:rowOff>66114</xdr:rowOff>
    </xdr:to>
    <xdr:sp macro="" textlink="">
      <xdr:nvSpPr>
        <xdr:cNvPr id="383" name="Овал 382">
          <a:extLst>
            <a:ext uri="{FF2B5EF4-FFF2-40B4-BE49-F238E27FC236}">
              <a16:creationId xmlns:a16="http://schemas.microsoft.com/office/drawing/2014/main" id="{ECFCF77C-0F23-D78F-01BC-FE53DB13CAAB}"/>
            </a:ext>
          </a:extLst>
        </xdr:cNvPr>
        <xdr:cNvSpPr/>
      </xdr:nvSpPr>
      <xdr:spPr bwMode="auto">
        <a:xfrm>
          <a:off x="4234333" y="1160476"/>
          <a:ext cx="1986272" cy="2003334"/>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603226</xdr:colOff>
      <xdr:row>11</xdr:row>
      <xdr:rowOff>40714</xdr:rowOff>
    </xdr:from>
    <xdr:to>
      <xdr:col>6</xdr:col>
      <xdr:colOff>246218</xdr:colOff>
      <xdr:row>12</xdr:row>
      <xdr:rowOff>113738</xdr:rowOff>
    </xdr:to>
    <xdr:sp macro="" textlink="">
      <xdr:nvSpPr>
        <xdr:cNvPr id="384" name="Овал 383">
          <a:extLst>
            <a:ext uri="{FF2B5EF4-FFF2-40B4-BE49-F238E27FC236}">
              <a16:creationId xmlns:a16="http://schemas.microsoft.com/office/drawing/2014/main" id="{F19AEEE9-152C-18B3-AA10-456E7DF8B06A}"/>
            </a:ext>
          </a:extLst>
        </xdr:cNvPr>
        <xdr:cNvSpPr/>
      </xdr:nvSpPr>
      <xdr:spPr bwMode="auto">
        <a:xfrm>
          <a:off x="3667791" y="2045105"/>
          <a:ext cx="255905" cy="255242"/>
        </a:xfrm>
        <a:prstGeom prst="ellipse">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21428</xdr:colOff>
      <xdr:row>11</xdr:row>
      <xdr:rowOff>75639</xdr:rowOff>
    </xdr:from>
    <xdr:to>
      <xdr:col>6</xdr:col>
      <xdr:colOff>205578</xdr:colOff>
      <xdr:row>12</xdr:row>
      <xdr:rowOff>78813</xdr:rowOff>
    </xdr:to>
    <xdr:sp macro="" textlink="">
      <xdr:nvSpPr>
        <xdr:cNvPr id="385" name="Овал 384">
          <a:extLst>
            <a:ext uri="{FF2B5EF4-FFF2-40B4-BE49-F238E27FC236}">
              <a16:creationId xmlns:a16="http://schemas.microsoft.com/office/drawing/2014/main" id="{7D2F9FF8-A8AC-410D-85E4-F9F1A949853E}"/>
            </a:ext>
          </a:extLst>
        </xdr:cNvPr>
        <xdr:cNvSpPr/>
      </xdr:nvSpPr>
      <xdr:spPr bwMode="auto">
        <a:xfrm>
          <a:off x="3698906" y="2080030"/>
          <a:ext cx="184150" cy="185392"/>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10</xdr:col>
      <xdr:colOff>398424</xdr:colOff>
      <xdr:row>11</xdr:row>
      <xdr:rowOff>40714</xdr:rowOff>
    </xdr:from>
    <xdr:to>
      <xdr:col>11</xdr:col>
      <xdr:colOff>56160</xdr:colOff>
      <xdr:row>12</xdr:row>
      <xdr:rowOff>113738</xdr:rowOff>
    </xdr:to>
    <xdr:sp macro="" textlink="">
      <xdr:nvSpPr>
        <xdr:cNvPr id="386" name="Овал 385">
          <a:extLst>
            <a:ext uri="{FF2B5EF4-FFF2-40B4-BE49-F238E27FC236}">
              <a16:creationId xmlns:a16="http://schemas.microsoft.com/office/drawing/2014/main" id="{076297FF-BC30-9B51-4FBD-3F62DB4DF62E}"/>
            </a:ext>
          </a:extLst>
        </xdr:cNvPr>
        <xdr:cNvSpPr/>
      </xdr:nvSpPr>
      <xdr:spPr bwMode="auto">
        <a:xfrm>
          <a:off x="6527554" y="2045105"/>
          <a:ext cx="270649" cy="255242"/>
        </a:xfrm>
        <a:prstGeom prst="ellipse">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10</xdr:col>
      <xdr:colOff>439064</xdr:colOff>
      <xdr:row>11</xdr:row>
      <xdr:rowOff>75639</xdr:rowOff>
    </xdr:from>
    <xdr:to>
      <xdr:col>11</xdr:col>
      <xdr:colOff>11710</xdr:colOff>
      <xdr:row>12</xdr:row>
      <xdr:rowOff>78813</xdr:rowOff>
    </xdr:to>
    <xdr:sp macro="" textlink="">
      <xdr:nvSpPr>
        <xdr:cNvPr id="387" name="Овал 386">
          <a:extLst>
            <a:ext uri="{FF2B5EF4-FFF2-40B4-BE49-F238E27FC236}">
              <a16:creationId xmlns:a16="http://schemas.microsoft.com/office/drawing/2014/main" id="{D9D28F4B-8922-F153-41D1-C00086096AD1}"/>
            </a:ext>
          </a:extLst>
        </xdr:cNvPr>
        <xdr:cNvSpPr/>
      </xdr:nvSpPr>
      <xdr:spPr bwMode="auto">
        <a:xfrm>
          <a:off x="6568194" y="2080030"/>
          <a:ext cx="185559" cy="185392"/>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23529</xdr:colOff>
      <xdr:row>11</xdr:row>
      <xdr:rowOff>142209</xdr:rowOff>
    </xdr:from>
    <xdr:to>
      <xdr:col>11</xdr:col>
      <xdr:colOff>279434</xdr:colOff>
      <xdr:row>12</xdr:row>
      <xdr:rowOff>1900</xdr:rowOff>
    </xdr:to>
    <xdr:sp macro="" textlink="">
      <xdr:nvSpPr>
        <xdr:cNvPr id="388" name="Прямоугольник 387">
          <a:extLst>
            <a:ext uri="{FF2B5EF4-FFF2-40B4-BE49-F238E27FC236}">
              <a16:creationId xmlns:a16="http://schemas.microsoft.com/office/drawing/2014/main" id="{D101865C-DD89-BD41-F957-C0E85950347B}"/>
            </a:ext>
          </a:extLst>
        </xdr:cNvPr>
        <xdr:cNvSpPr/>
      </xdr:nvSpPr>
      <xdr:spPr bwMode="auto">
        <a:xfrm>
          <a:off x="6765572" y="2146600"/>
          <a:ext cx="255905" cy="41909"/>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384648</xdr:colOff>
      <xdr:row>11</xdr:row>
      <xdr:rowOff>142209</xdr:rowOff>
    </xdr:from>
    <xdr:to>
      <xdr:col>6</xdr:col>
      <xdr:colOff>21428</xdr:colOff>
      <xdr:row>12</xdr:row>
      <xdr:rowOff>1900</xdr:rowOff>
    </xdr:to>
    <xdr:sp macro="" textlink="">
      <xdr:nvSpPr>
        <xdr:cNvPr id="389" name="Прямоугольник 388">
          <a:extLst>
            <a:ext uri="{FF2B5EF4-FFF2-40B4-BE49-F238E27FC236}">
              <a16:creationId xmlns:a16="http://schemas.microsoft.com/office/drawing/2014/main" id="{F9CDA4AC-DDE3-33A3-E36D-5C982D3F28E5}"/>
            </a:ext>
          </a:extLst>
        </xdr:cNvPr>
        <xdr:cNvSpPr/>
      </xdr:nvSpPr>
      <xdr:spPr bwMode="auto">
        <a:xfrm>
          <a:off x="3449213" y="2146600"/>
          <a:ext cx="249693" cy="41909"/>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250339</xdr:colOff>
      <xdr:row>7</xdr:row>
      <xdr:rowOff>36174</xdr:rowOff>
    </xdr:from>
    <xdr:to>
      <xdr:col>3</xdr:col>
      <xdr:colOff>248320</xdr:colOff>
      <xdr:row>10</xdr:row>
      <xdr:rowOff>83466</xdr:rowOff>
    </xdr:to>
    <xdr:sp macro="" textlink="">
      <xdr:nvSpPr>
        <xdr:cNvPr id="390" name="TextBox 16">
          <a:extLst>
            <a:ext uri="{FF2B5EF4-FFF2-40B4-BE49-F238E27FC236}">
              <a16:creationId xmlns:a16="http://schemas.microsoft.com/office/drawing/2014/main" id="{D2152968-3C83-597D-C7AE-34B731738FFD}"/>
            </a:ext>
          </a:extLst>
        </xdr:cNvPr>
        <xdr:cNvSpPr txBox="1"/>
      </xdr:nvSpPr>
      <xdr:spPr>
        <a:xfrm>
          <a:off x="250339" y="1291233"/>
          <a:ext cx="1813334" cy="585174"/>
        </a:xfrm>
        <a:prstGeom prst="rect">
          <a:avLst/>
        </a:prstGeom>
        <a:noFill/>
      </xdr:spPr>
      <xdr:txBody>
        <a:bodyPr wrap="square" lIns="91440" tIns="0" rIns="9144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r"/>
          <a:r>
            <a:rPr lang="ru-RU" sz="1400" b="1">
              <a:solidFill>
                <a:srgbClr val="00C3FF"/>
              </a:solidFill>
              <a:latin typeface="Segoe UI" panose="020B0502040204020203" pitchFamily="34" charset="0"/>
              <a:ea typeface="Segoe UI" panose="020B0502040204020203" pitchFamily="34" charset="0"/>
              <a:cs typeface="Segoe UI" panose="020B0502040204020203" pitchFamily="34" charset="0"/>
            </a:rPr>
            <a:t>КОМПОНЕНТЫ  </a:t>
          </a:r>
          <a:r>
            <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rPr>
            <a:t>01</a:t>
          </a:r>
        </a:p>
      </xdr:txBody>
    </xdr:sp>
    <xdr:clientData/>
  </xdr:twoCellAnchor>
  <xdr:twoCellAnchor>
    <xdr:from>
      <xdr:col>13</xdr:col>
      <xdr:colOff>388672</xdr:colOff>
      <xdr:row>7</xdr:row>
      <xdr:rowOff>76267</xdr:rowOff>
    </xdr:from>
    <xdr:to>
      <xdr:col>18</xdr:col>
      <xdr:colOff>84765</xdr:colOff>
      <xdr:row>10</xdr:row>
      <xdr:rowOff>125464</xdr:rowOff>
    </xdr:to>
    <xdr:sp macro="" textlink="">
      <xdr:nvSpPr>
        <xdr:cNvPr id="391" name="TextBox 17">
          <a:extLst>
            <a:ext uri="{FF2B5EF4-FFF2-40B4-BE49-F238E27FC236}">
              <a16:creationId xmlns:a16="http://schemas.microsoft.com/office/drawing/2014/main" id="{879F5844-D231-B3A0-F75A-54FD6E7E9620}"/>
            </a:ext>
          </a:extLst>
        </xdr:cNvPr>
        <xdr:cNvSpPr txBox="1"/>
      </xdr:nvSpPr>
      <xdr:spPr>
        <a:xfrm>
          <a:off x="8255201" y="1331326"/>
          <a:ext cx="2721682" cy="587079"/>
        </a:xfrm>
        <a:prstGeom prst="rect">
          <a:avLst/>
        </a:prstGeom>
        <a:noFill/>
      </xdr:spPr>
      <xdr:txBody>
        <a:bodyPr wrap="square" lIns="91440" tIns="0" rIns="9144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rPr>
            <a:t>0</a:t>
          </a:r>
          <a:r>
            <a:rPr lang="ru-RU" sz="1400" b="1">
              <a:solidFill>
                <a:srgbClr val="00C3FF"/>
              </a:solidFill>
              <a:ea typeface="Segoe UI" panose="020B0502040204020203" pitchFamily="34" charset="0"/>
              <a:cs typeface="Segoe UI" panose="020B0502040204020203" pitchFamily="34" charset="0"/>
            </a:rPr>
            <a:t>4  ПРИЛОЖЕНИЕ</a:t>
          </a:r>
          <a:endParaRPr lang="en-US" sz="1400" b="1">
            <a:solidFill>
              <a:srgbClr val="00C3FF"/>
            </a:solidFill>
            <a:ea typeface="Segoe UI" panose="020B0502040204020203" pitchFamily="34" charset="0"/>
            <a:cs typeface="Segoe UI" panose="020B0502040204020203" pitchFamily="34" charset="0"/>
          </a:endParaRPr>
        </a:p>
      </xdr:txBody>
    </xdr:sp>
    <xdr:clientData/>
  </xdr:twoCellAnchor>
  <xdr:twoCellAnchor>
    <xdr:from>
      <xdr:col>3</xdr:col>
      <xdr:colOff>250225</xdr:colOff>
      <xdr:row>8</xdr:row>
      <xdr:rowOff>138195</xdr:rowOff>
    </xdr:from>
    <xdr:to>
      <xdr:col>3</xdr:col>
      <xdr:colOff>299754</xdr:colOff>
      <xdr:row>12</xdr:row>
      <xdr:rowOff>1364</xdr:rowOff>
    </xdr:to>
    <xdr:sp macro="" textlink="">
      <xdr:nvSpPr>
        <xdr:cNvPr id="392" name="Прямоугольник 391">
          <a:extLst>
            <a:ext uri="{FF2B5EF4-FFF2-40B4-BE49-F238E27FC236}">
              <a16:creationId xmlns:a16="http://schemas.microsoft.com/office/drawing/2014/main" id="{24EABE5F-C50B-BFED-76B1-8CA64E75685C}"/>
            </a:ext>
          </a:extLst>
        </xdr:cNvPr>
        <xdr:cNvSpPr/>
      </xdr:nvSpPr>
      <xdr:spPr bwMode="auto">
        <a:xfrm>
          <a:off x="2088964" y="1595934"/>
          <a:ext cx="49529" cy="592039"/>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13</xdr:col>
      <xdr:colOff>347449</xdr:colOff>
      <xdr:row>8</xdr:row>
      <xdr:rowOff>138195</xdr:rowOff>
    </xdr:from>
    <xdr:to>
      <xdr:col>13</xdr:col>
      <xdr:colOff>398883</xdr:colOff>
      <xdr:row>12</xdr:row>
      <xdr:rowOff>1364</xdr:rowOff>
    </xdr:to>
    <xdr:sp macro="" textlink="">
      <xdr:nvSpPr>
        <xdr:cNvPr id="393" name="Прямоугольник 392">
          <a:extLst>
            <a:ext uri="{FF2B5EF4-FFF2-40B4-BE49-F238E27FC236}">
              <a16:creationId xmlns:a16="http://schemas.microsoft.com/office/drawing/2014/main" id="{A7B1C3B5-B880-CBC0-4C89-54C13911686F}"/>
            </a:ext>
          </a:extLst>
        </xdr:cNvPr>
        <xdr:cNvSpPr/>
      </xdr:nvSpPr>
      <xdr:spPr bwMode="auto">
        <a:xfrm>
          <a:off x="8315319" y="1595934"/>
          <a:ext cx="51434" cy="592039"/>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0</xdr:colOff>
      <xdr:row>10</xdr:row>
      <xdr:rowOff>4470</xdr:rowOff>
    </xdr:from>
    <xdr:to>
      <xdr:col>3</xdr:col>
      <xdr:colOff>143096</xdr:colOff>
      <xdr:row>12</xdr:row>
      <xdr:rowOff>154476</xdr:rowOff>
    </xdr:to>
    <xdr:sp macro="" textlink="">
      <xdr:nvSpPr>
        <xdr:cNvPr id="394" name="Прямоугольник 393">
          <a:extLst>
            <a:ext uri="{FF2B5EF4-FFF2-40B4-BE49-F238E27FC236}">
              <a16:creationId xmlns:a16="http://schemas.microsoft.com/office/drawing/2014/main" id="{D1C44CF7-92C7-B5BA-A08F-0F38738A8741}"/>
            </a:ext>
          </a:extLst>
        </xdr:cNvPr>
        <xdr:cNvSpPr/>
      </xdr:nvSpPr>
      <xdr:spPr bwMode="auto">
        <a:xfrm>
          <a:off x="0" y="1826644"/>
          <a:ext cx="1981835" cy="514441"/>
        </a:xfrm>
        <a:prstGeom prst="rect">
          <a:avLst/>
        </a:prstGeom>
        <a:no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Анализ ПО во время разработки</a:t>
          </a:r>
          <a:endParaRPr lang="en-US" sz="1200" kern="0">
            <a:solidFill>
              <a:srgbClr val="001031"/>
            </a:solidFill>
            <a:latin typeface="Segoe UI"/>
          </a:endParaRPr>
        </a:p>
        <a:p>
          <a:pPr marL="0" marR="0" indent="0" algn="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и устранение ИБ-дефектов</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15215</xdr:colOff>
      <xdr:row>18</xdr:row>
      <xdr:rowOff>44071</xdr:rowOff>
    </xdr:from>
    <xdr:to>
      <xdr:col>18</xdr:col>
      <xdr:colOff>54639</xdr:colOff>
      <xdr:row>21</xdr:row>
      <xdr:rowOff>78028</xdr:rowOff>
    </xdr:to>
    <xdr:sp macro="" textlink="">
      <xdr:nvSpPr>
        <xdr:cNvPr id="395" name="TextBox 21">
          <a:extLst>
            <a:ext uri="{FF2B5EF4-FFF2-40B4-BE49-F238E27FC236}">
              <a16:creationId xmlns:a16="http://schemas.microsoft.com/office/drawing/2014/main" id="{EC5A32A2-A980-21E8-0AC7-0D30B826B42C}"/>
            </a:ext>
          </a:extLst>
        </xdr:cNvPr>
        <xdr:cNvSpPr txBox="1"/>
      </xdr:nvSpPr>
      <xdr:spPr>
        <a:xfrm>
          <a:off x="7370172" y="3323984"/>
          <a:ext cx="3716902" cy="580609"/>
        </a:xfrm>
        <a:prstGeom prst="rect">
          <a:avLst/>
        </a:prstGeom>
        <a:noFill/>
      </xdr:spPr>
      <xdr:txBody>
        <a:bodyPr wrap="square" lIns="91440" tIns="0" rIns="9144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rPr>
            <a:t>0</a:t>
          </a:r>
          <a:r>
            <a:rPr lang="ru-RU" sz="1400" b="1">
              <a:solidFill>
                <a:srgbClr val="00C3FF"/>
              </a:solidFill>
              <a:latin typeface="Segoe UI" panose="020B0502040204020203" pitchFamily="34" charset="0"/>
              <a:ea typeface="Segoe UI" panose="020B0502040204020203" pitchFamily="34" charset="0"/>
              <a:cs typeface="Segoe UI" panose="020B0502040204020203" pitchFamily="34" charset="0"/>
            </a:rPr>
            <a:t>3</a:t>
          </a:r>
          <a:r>
            <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rPr>
            <a:t>  </a:t>
          </a:r>
          <a:r>
            <a:rPr lang="ru-RU" sz="1400" b="1">
              <a:solidFill>
                <a:srgbClr val="00C3FF"/>
              </a:solidFill>
              <a:latin typeface="Segoe UI" panose="020B0502040204020203" pitchFamily="34" charset="0"/>
              <a:ea typeface="Segoe UI" panose="020B0502040204020203" pitchFamily="34" charset="0"/>
              <a:cs typeface="Segoe UI" panose="020B0502040204020203" pitchFamily="34" charset="0"/>
            </a:rPr>
            <a:t>СРЕДА ЭКСПЛУТАЦИИ</a:t>
          </a:r>
          <a:endParaRPr lang="en-US" sz="1400" b="1">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11</xdr:col>
      <xdr:colOff>575125</xdr:colOff>
      <xdr:row>19</xdr:row>
      <xdr:rowOff>50256</xdr:rowOff>
    </xdr:from>
    <xdr:to>
      <xdr:col>12</xdr:col>
      <xdr:colOff>11740</xdr:colOff>
      <xdr:row>22</xdr:row>
      <xdr:rowOff>91832</xdr:rowOff>
    </xdr:to>
    <xdr:sp macro="" textlink="">
      <xdr:nvSpPr>
        <xdr:cNvPr id="396" name="Прямоугольник 395">
          <a:extLst>
            <a:ext uri="{FF2B5EF4-FFF2-40B4-BE49-F238E27FC236}">
              <a16:creationId xmlns:a16="http://schemas.microsoft.com/office/drawing/2014/main" id="{CF777D15-9105-0B4F-D6B5-16DEBE21E33C}"/>
            </a:ext>
          </a:extLst>
        </xdr:cNvPr>
        <xdr:cNvSpPr/>
      </xdr:nvSpPr>
      <xdr:spPr bwMode="auto">
        <a:xfrm>
          <a:off x="7317168" y="3512386"/>
          <a:ext cx="49529" cy="588229"/>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130632</xdr:colOff>
      <xdr:row>20</xdr:row>
      <xdr:rowOff>137696</xdr:rowOff>
    </xdr:from>
    <xdr:to>
      <xdr:col>18</xdr:col>
      <xdr:colOff>170056</xdr:colOff>
      <xdr:row>23</xdr:row>
      <xdr:rowOff>97866</xdr:rowOff>
    </xdr:to>
    <xdr:sp macro="" textlink="">
      <xdr:nvSpPr>
        <xdr:cNvPr id="397" name="Прямоугольник 396">
          <a:extLst>
            <a:ext uri="{FF2B5EF4-FFF2-40B4-BE49-F238E27FC236}">
              <a16:creationId xmlns:a16="http://schemas.microsoft.com/office/drawing/2014/main" id="{3743AFF8-F94B-5660-FA0B-73E5B05AD642}"/>
            </a:ext>
          </a:extLst>
        </xdr:cNvPr>
        <xdr:cNvSpPr/>
      </xdr:nvSpPr>
      <xdr:spPr bwMode="auto">
        <a:xfrm>
          <a:off x="7485589" y="3782044"/>
          <a:ext cx="3716902" cy="506822"/>
        </a:xfrm>
        <a:prstGeom prst="rect">
          <a:avLst/>
        </a:prstGeom>
        <a:no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eaLnBrk="1" fontAlgn="auto" hangingPunct="1">
            <a:spcBef>
              <a:spcPts val="0"/>
            </a:spcBef>
            <a:spcAft>
              <a:spcPts val="0"/>
            </a:spcAft>
          </a:pPr>
          <a:r>
            <a:rPr lang="ru-RU" sz="1200" kern="0">
              <a:solidFill>
                <a:srgbClr val="001031"/>
              </a:solidFill>
              <a:latin typeface="Segoe UI"/>
            </a:rPr>
            <a:t>Контроль настроек информационной безопасности и средств защиты в среде эксплуатации</a:t>
          </a:r>
          <a:endParaRPr lang="en-US" sz="1200" kern="0">
            <a:solidFill>
              <a:srgbClr val="001031"/>
            </a:solidFill>
            <a:latin typeface="Segoe UI"/>
          </a:endParaRPr>
        </a:p>
      </xdr:txBody>
    </xdr:sp>
    <xdr:clientData/>
  </xdr:twoCellAnchor>
  <xdr:twoCellAnchor>
    <xdr:from>
      <xdr:col>13</xdr:col>
      <xdr:colOff>499784</xdr:colOff>
      <xdr:row>10</xdr:row>
      <xdr:rowOff>41995</xdr:rowOff>
    </xdr:from>
    <xdr:to>
      <xdr:col>18</xdr:col>
      <xdr:colOff>190659</xdr:colOff>
      <xdr:row>12</xdr:row>
      <xdr:rowOff>181234</xdr:rowOff>
    </xdr:to>
    <xdr:sp macro="" textlink="">
      <xdr:nvSpPr>
        <xdr:cNvPr id="398" name="Прямоугольник 397">
          <a:extLst>
            <a:ext uri="{FF2B5EF4-FFF2-40B4-BE49-F238E27FC236}">
              <a16:creationId xmlns:a16="http://schemas.microsoft.com/office/drawing/2014/main" id="{6908EFFE-39BF-5029-88B7-7254D740F54E}"/>
            </a:ext>
          </a:extLst>
        </xdr:cNvPr>
        <xdr:cNvSpPr/>
      </xdr:nvSpPr>
      <xdr:spPr bwMode="auto">
        <a:xfrm>
          <a:off x="8467654" y="1864169"/>
          <a:ext cx="2755440" cy="503674"/>
        </a:xfrm>
        <a:prstGeom prst="rect">
          <a:avLst/>
        </a:prstGeom>
        <a:no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Контроль активности</a:t>
          </a:r>
        </a:p>
        <a:p>
          <a:pPr marL="0" marR="0" indent="0"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запущенного ПО и его защита</a:t>
          </a:r>
          <a:endParaRPr lang="en-US" sz="1200" kern="0">
            <a:solidFill>
              <a:srgbClr val="001031"/>
            </a:solidFill>
            <a:latin typeface="Segoe UI"/>
          </a:endParaRPr>
        </a:p>
      </xdr:txBody>
    </xdr:sp>
    <xdr:clientData/>
  </xdr:twoCellAnchor>
  <xdr:twoCellAnchor>
    <xdr:from>
      <xdr:col>9</xdr:col>
      <xdr:colOff>457659</xdr:colOff>
      <xdr:row>19</xdr:row>
      <xdr:rowOff>77544</xdr:rowOff>
    </xdr:from>
    <xdr:to>
      <xdr:col>11</xdr:col>
      <xdr:colOff>323115</xdr:colOff>
      <xdr:row>25</xdr:row>
      <xdr:rowOff>79661</xdr:rowOff>
    </xdr:to>
    <xdr:sp macro="" textlink="">
      <xdr:nvSpPr>
        <xdr:cNvPr id="399" name="Полилиния: фигура 398">
          <a:extLst>
            <a:ext uri="{FF2B5EF4-FFF2-40B4-BE49-F238E27FC236}">
              <a16:creationId xmlns:a16="http://schemas.microsoft.com/office/drawing/2014/main" id="{32B22808-23C3-5DFD-2E98-588C53B8F6B5}"/>
            </a:ext>
          </a:extLst>
        </xdr:cNvPr>
        <xdr:cNvSpPr/>
      </xdr:nvSpPr>
      <xdr:spPr bwMode="auto">
        <a:xfrm>
          <a:off x="5973876" y="3539674"/>
          <a:ext cx="1091282" cy="1095422"/>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259404</xdr:colOff>
      <xdr:row>18</xdr:row>
      <xdr:rowOff>48273</xdr:rowOff>
    </xdr:from>
    <xdr:to>
      <xdr:col>9</xdr:col>
      <xdr:colOff>518622</xdr:colOff>
      <xdr:row>19</xdr:row>
      <xdr:rowOff>117488</xdr:rowOff>
    </xdr:to>
    <xdr:sp macro="" textlink="">
      <xdr:nvSpPr>
        <xdr:cNvPr id="400" name="Овал 399">
          <a:extLst>
            <a:ext uri="{FF2B5EF4-FFF2-40B4-BE49-F238E27FC236}">
              <a16:creationId xmlns:a16="http://schemas.microsoft.com/office/drawing/2014/main" id="{81851B62-C3BF-919F-0D58-BB789B705676}"/>
            </a:ext>
          </a:extLst>
        </xdr:cNvPr>
        <xdr:cNvSpPr/>
      </xdr:nvSpPr>
      <xdr:spPr bwMode="auto">
        <a:xfrm>
          <a:off x="5775621" y="3328186"/>
          <a:ext cx="259218" cy="251432"/>
        </a:xfrm>
        <a:prstGeom prst="ellipse">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294329</xdr:colOff>
      <xdr:row>18</xdr:row>
      <xdr:rowOff>79388</xdr:rowOff>
    </xdr:from>
    <xdr:to>
      <xdr:col>9</xdr:col>
      <xdr:colOff>477982</xdr:colOff>
      <xdr:row>19</xdr:row>
      <xdr:rowOff>86373</xdr:rowOff>
    </xdr:to>
    <xdr:sp macro="" textlink="">
      <xdr:nvSpPr>
        <xdr:cNvPr id="401" name="Овал 400">
          <a:extLst>
            <a:ext uri="{FF2B5EF4-FFF2-40B4-BE49-F238E27FC236}">
              <a16:creationId xmlns:a16="http://schemas.microsoft.com/office/drawing/2014/main" id="{94F7246B-C937-3ABF-B9E0-7B94DCDC2804}"/>
            </a:ext>
          </a:extLst>
        </xdr:cNvPr>
        <xdr:cNvSpPr/>
      </xdr:nvSpPr>
      <xdr:spPr bwMode="auto">
        <a:xfrm>
          <a:off x="5810546" y="3359301"/>
          <a:ext cx="183653" cy="189202"/>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431867</xdr:colOff>
      <xdr:row>19</xdr:row>
      <xdr:rowOff>137174</xdr:rowOff>
    </xdr:from>
    <xdr:to>
      <xdr:col>10</xdr:col>
      <xdr:colOff>68647</xdr:colOff>
      <xdr:row>19</xdr:row>
      <xdr:rowOff>180988</xdr:rowOff>
    </xdr:to>
    <xdr:sp macro="" textlink="">
      <xdr:nvSpPr>
        <xdr:cNvPr id="402" name="Прямоугольник 401">
          <a:extLst>
            <a:ext uri="{FF2B5EF4-FFF2-40B4-BE49-F238E27FC236}">
              <a16:creationId xmlns:a16="http://schemas.microsoft.com/office/drawing/2014/main" id="{543A768A-9C82-BB39-6801-8C98BF400603}"/>
            </a:ext>
          </a:extLst>
        </xdr:cNvPr>
        <xdr:cNvSpPr/>
      </xdr:nvSpPr>
      <xdr:spPr bwMode="auto">
        <a:xfrm rot="2700000" flipH="1">
          <a:off x="5948084" y="3599304"/>
          <a:ext cx="249693" cy="43814"/>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10</xdr:col>
      <xdr:colOff>152940</xdr:colOff>
      <xdr:row>20</xdr:row>
      <xdr:rowOff>154956</xdr:rowOff>
    </xdr:from>
    <xdr:to>
      <xdr:col>11</xdr:col>
      <xdr:colOff>94932</xdr:colOff>
      <xdr:row>24</xdr:row>
      <xdr:rowOff>1007</xdr:rowOff>
    </xdr:to>
    <xdr:grpSp>
      <xdr:nvGrpSpPr>
        <xdr:cNvPr id="403" name="Группа 402">
          <a:extLst>
            <a:ext uri="{FF2B5EF4-FFF2-40B4-BE49-F238E27FC236}">
              <a16:creationId xmlns:a16="http://schemas.microsoft.com/office/drawing/2014/main" id="{DEB33F03-1FD9-F6D8-A7C8-2CA475247572}"/>
            </a:ext>
          </a:extLst>
        </xdr:cNvPr>
        <xdr:cNvGrpSpPr>
          <a:grpSpLocks noChangeAspect="1"/>
        </xdr:cNvGrpSpPr>
      </xdr:nvGrpSpPr>
      <xdr:grpSpPr>
        <a:xfrm>
          <a:off x="6204116" y="3740838"/>
          <a:ext cx="550920" cy="563228"/>
          <a:chOff x="6044217" y="3060700"/>
          <a:chExt cx="1585308" cy="1653540"/>
        </a:xfrm>
      </xdr:grpSpPr>
      <xdr:sp macro="" textlink="">
        <xdr:nvSpPr>
          <xdr:cNvPr id="444" name="Скругленный прямоугольник 42">
            <a:extLst>
              <a:ext uri="{FF2B5EF4-FFF2-40B4-BE49-F238E27FC236}">
                <a16:creationId xmlns:a16="http://schemas.microsoft.com/office/drawing/2014/main" id="{84E27DDE-41CE-8115-D354-52B64A094C07}"/>
              </a:ext>
            </a:extLst>
          </xdr:cNvPr>
          <xdr:cNvSpPr/>
        </xdr:nvSpPr>
        <xdr:spPr>
          <a:xfrm>
            <a:off x="6044217" y="3060700"/>
            <a:ext cx="1358398" cy="1653540"/>
          </a:xfrm>
          <a:prstGeom prst="roundRect">
            <a:avLst>
              <a:gd name="adj" fmla="val 5485"/>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45" name="Овал 444">
            <a:extLst>
              <a:ext uri="{FF2B5EF4-FFF2-40B4-BE49-F238E27FC236}">
                <a16:creationId xmlns:a16="http://schemas.microsoft.com/office/drawing/2014/main" id="{FB7C51DF-7661-C519-1801-37972367DFFB}"/>
              </a:ext>
            </a:extLst>
          </xdr:cNvPr>
          <xdr:cNvSpPr/>
        </xdr:nvSpPr>
        <xdr:spPr>
          <a:xfrm>
            <a:off x="7057771" y="4043594"/>
            <a:ext cx="571754" cy="571754"/>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46" name="Скругленный прямоугольник 43">
            <a:extLst>
              <a:ext uri="{FF2B5EF4-FFF2-40B4-BE49-F238E27FC236}">
                <a16:creationId xmlns:a16="http://schemas.microsoft.com/office/drawing/2014/main" id="{9715D112-7FDD-C756-D20B-96C1B2551A80}"/>
              </a:ext>
            </a:extLst>
          </xdr:cNvPr>
          <xdr:cNvSpPr/>
        </xdr:nvSpPr>
        <xdr:spPr>
          <a:xfrm>
            <a:off x="6162151" y="3178016"/>
            <a:ext cx="1122531" cy="1418908"/>
          </a:xfrm>
          <a:prstGeom prst="roundRect">
            <a:avLst>
              <a:gd name="adj" fmla="val 1195"/>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nvGrpSpPr>
          <xdr:cNvPr id="447" name="Группа 446">
            <a:extLst>
              <a:ext uri="{FF2B5EF4-FFF2-40B4-BE49-F238E27FC236}">
                <a16:creationId xmlns:a16="http://schemas.microsoft.com/office/drawing/2014/main" id="{A559DE5E-C4DD-26AE-3089-4E4C80281BC1}"/>
              </a:ext>
            </a:extLst>
          </xdr:cNvPr>
          <xdr:cNvGrpSpPr/>
        </xdr:nvGrpSpPr>
        <xdr:grpSpPr>
          <a:xfrm>
            <a:off x="6277113" y="3370508"/>
            <a:ext cx="892606" cy="720105"/>
            <a:chOff x="1802607" y="1871663"/>
            <a:chExt cx="1835944" cy="1481135"/>
          </a:xfrm>
          <a:solidFill>
            <a:srgbClr val="00B0F0"/>
          </a:solidFill>
        </xdr:grpSpPr>
        <xdr:sp macro="" textlink="">
          <xdr:nvSpPr>
            <xdr:cNvPr id="449" name="Скругленный прямоугольник 49">
              <a:extLst>
                <a:ext uri="{FF2B5EF4-FFF2-40B4-BE49-F238E27FC236}">
                  <a16:creationId xmlns:a16="http://schemas.microsoft.com/office/drawing/2014/main" id="{F12102B2-0D66-078E-CFD0-B68603902120}"/>
                </a:ext>
              </a:extLst>
            </xdr:cNvPr>
            <xdr:cNvSpPr/>
          </xdr:nvSpPr>
          <xdr:spPr>
            <a:xfrm>
              <a:off x="1802607" y="1871663"/>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50" name="Скругленный прямоугольник 50">
              <a:extLst>
                <a:ext uri="{FF2B5EF4-FFF2-40B4-BE49-F238E27FC236}">
                  <a16:creationId xmlns:a16="http://schemas.microsoft.com/office/drawing/2014/main" id="{D75CFBCF-E438-A0BD-2C22-150352E7EC76}"/>
                </a:ext>
              </a:extLst>
            </xdr:cNvPr>
            <xdr:cNvSpPr/>
          </xdr:nvSpPr>
          <xdr:spPr>
            <a:xfrm>
              <a:off x="1802607" y="2209800"/>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51" name="Скругленный прямоугольник 52">
              <a:extLst>
                <a:ext uri="{FF2B5EF4-FFF2-40B4-BE49-F238E27FC236}">
                  <a16:creationId xmlns:a16="http://schemas.microsoft.com/office/drawing/2014/main" id="{447A4B9E-0AB1-4174-241E-407439C77151}"/>
                </a:ext>
              </a:extLst>
            </xdr:cNvPr>
            <xdr:cNvSpPr/>
          </xdr:nvSpPr>
          <xdr:spPr>
            <a:xfrm>
              <a:off x="1802607" y="2547937"/>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52" name="Скругленный прямоугольник 66">
              <a:extLst>
                <a:ext uri="{FF2B5EF4-FFF2-40B4-BE49-F238E27FC236}">
                  <a16:creationId xmlns:a16="http://schemas.microsoft.com/office/drawing/2014/main" id="{1F4210F6-9FF4-4EC4-C071-725EFA79631F}"/>
                </a:ext>
              </a:extLst>
            </xdr:cNvPr>
            <xdr:cNvSpPr/>
          </xdr:nvSpPr>
          <xdr:spPr>
            <a:xfrm>
              <a:off x="1802607" y="2886074"/>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53" name="Скругленный прямоугольник 67">
              <a:extLst>
                <a:ext uri="{FF2B5EF4-FFF2-40B4-BE49-F238E27FC236}">
                  <a16:creationId xmlns:a16="http://schemas.microsoft.com/office/drawing/2014/main" id="{0FBCE687-302F-FA04-E45D-D3178E0D9DC6}"/>
                </a:ext>
              </a:extLst>
            </xdr:cNvPr>
            <xdr:cNvSpPr/>
          </xdr:nvSpPr>
          <xdr:spPr>
            <a:xfrm>
              <a:off x="1802607" y="3224211"/>
              <a:ext cx="821531"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sp macro="" textlink="">
        <xdr:nvSpPr>
          <xdr:cNvPr id="448" name="Freeform 67">
            <a:extLst>
              <a:ext uri="{FF2B5EF4-FFF2-40B4-BE49-F238E27FC236}">
                <a16:creationId xmlns:a16="http://schemas.microsoft.com/office/drawing/2014/main" id="{5CADF68C-24C3-54D0-4A86-596C1FBCB4CE}"/>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clientData/>
  </xdr:twoCellAnchor>
  <xdr:twoCellAnchor>
    <xdr:from>
      <xdr:col>0</xdr:col>
      <xdr:colOff>89647</xdr:colOff>
      <xdr:row>18</xdr:row>
      <xdr:rowOff>18422</xdr:rowOff>
    </xdr:from>
    <xdr:to>
      <xdr:col>4</xdr:col>
      <xdr:colOff>593831</xdr:colOff>
      <xdr:row>21</xdr:row>
      <xdr:rowOff>44097</xdr:rowOff>
    </xdr:to>
    <xdr:sp macro="" textlink="">
      <xdr:nvSpPr>
        <xdr:cNvPr id="404" name="TextBox 30">
          <a:extLst>
            <a:ext uri="{FF2B5EF4-FFF2-40B4-BE49-F238E27FC236}">
              <a16:creationId xmlns:a16="http://schemas.microsoft.com/office/drawing/2014/main" id="{5309C11F-262D-18B5-7454-33282AAEEE4A}"/>
            </a:ext>
          </a:extLst>
        </xdr:cNvPr>
        <xdr:cNvSpPr txBox="1"/>
      </xdr:nvSpPr>
      <xdr:spPr>
        <a:xfrm>
          <a:off x="89647" y="3245716"/>
          <a:ext cx="2924655" cy="563557"/>
        </a:xfrm>
        <a:prstGeom prst="rect">
          <a:avLst/>
        </a:prstGeom>
        <a:noFill/>
      </xdr:spPr>
      <xdr:txBody>
        <a:bodyPr wrap="square" lIns="91440" tIns="0" rIns="9144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r"/>
          <a:r>
            <a:rPr lang="ru-RU" sz="1400" b="1">
              <a:solidFill>
                <a:srgbClr val="00C3FF"/>
              </a:solidFill>
              <a:ea typeface="Segoe UI" panose="020B0502040204020203" pitchFamily="34" charset="0"/>
              <a:cs typeface="Segoe UI" panose="020B0502040204020203" pitchFamily="34" charset="0"/>
            </a:rPr>
            <a:t>ОКРУЖЕНИЕ РАЗРАБОТКИ</a:t>
          </a:r>
          <a:r>
            <a:rPr lang="en-US" sz="1400" b="1">
              <a:solidFill>
                <a:srgbClr val="00C3FF"/>
              </a:solidFill>
              <a:ea typeface="Segoe UI" panose="020B0502040204020203" pitchFamily="34" charset="0"/>
              <a:cs typeface="Segoe UI" panose="020B0502040204020203" pitchFamily="34" charset="0"/>
            </a:rPr>
            <a:t>   02</a:t>
          </a:r>
        </a:p>
      </xdr:txBody>
    </xdr:sp>
    <xdr:clientData/>
  </xdr:twoCellAnchor>
  <xdr:twoCellAnchor>
    <xdr:from>
      <xdr:col>0</xdr:col>
      <xdr:colOff>488</xdr:colOff>
      <xdr:row>20</xdr:row>
      <xdr:rowOff>142969</xdr:rowOff>
    </xdr:from>
    <xdr:to>
      <xdr:col>4</xdr:col>
      <xdr:colOff>504907</xdr:colOff>
      <xdr:row>23</xdr:row>
      <xdr:rowOff>101234</xdr:rowOff>
    </xdr:to>
    <xdr:sp macro="" textlink="">
      <xdr:nvSpPr>
        <xdr:cNvPr id="405" name="Прямоугольник 404">
          <a:extLst>
            <a:ext uri="{FF2B5EF4-FFF2-40B4-BE49-F238E27FC236}">
              <a16:creationId xmlns:a16="http://schemas.microsoft.com/office/drawing/2014/main" id="{7AE72E06-B3F7-74FC-BFEE-EE92EB4D38DD}"/>
            </a:ext>
          </a:extLst>
        </xdr:cNvPr>
        <xdr:cNvSpPr/>
      </xdr:nvSpPr>
      <xdr:spPr bwMode="auto">
        <a:xfrm>
          <a:off x="488" y="3787317"/>
          <a:ext cx="2956071" cy="504917"/>
        </a:xfrm>
        <a:prstGeom prst="rect">
          <a:avLst/>
        </a:prstGeom>
        <a:no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r" eaLnBrk="1" fontAlgn="auto" hangingPunct="1">
            <a:spcBef>
              <a:spcPts val="0"/>
            </a:spcBef>
            <a:spcAft>
              <a:spcPts val="0"/>
            </a:spcAft>
          </a:pPr>
          <a:r>
            <a:rPr lang="ru-RU" sz="1200" kern="0">
              <a:solidFill>
                <a:srgbClr val="001031"/>
              </a:solidFill>
              <a:latin typeface="Segoe UI"/>
            </a:rPr>
            <a:t>Безопасная настройка ИС, используемых</a:t>
          </a:r>
          <a:endParaRPr lang="en-US" sz="1200" kern="0">
            <a:solidFill>
              <a:srgbClr val="001031"/>
            </a:solidFill>
            <a:latin typeface="Segoe UI"/>
          </a:endParaRPr>
        </a:p>
        <a:p>
          <a:pPr algn="r" eaLnBrk="1" fontAlgn="auto" hangingPunct="1">
            <a:spcBef>
              <a:spcPts val="0"/>
            </a:spcBef>
            <a:spcAft>
              <a:spcPts val="0"/>
            </a:spcAft>
          </a:pPr>
          <a:r>
            <a:rPr lang="ru-RU" sz="1200" kern="0">
              <a:solidFill>
                <a:srgbClr val="001031"/>
              </a:solidFill>
              <a:latin typeface="Segoe UI"/>
            </a:rPr>
            <a:t>для автоматизации процесса разработки </a:t>
          </a:r>
          <a:endParaRPr lang="en-US" sz="1200" kern="0">
            <a:solidFill>
              <a:srgbClr val="001031"/>
            </a:solidFill>
            <a:latin typeface="Segoe UI"/>
          </a:endParaRPr>
        </a:p>
      </xdr:txBody>
    </xdr:sp>
    <xdr:clientData/>
  </xdr:twoCellAnchor>
  <xdr:twoCellAnchor>
    <xdr:from>
      <xdr:col>4</xdr:col>
      <xdr:colOff>598490</xdr:colOff>
      <xdr:row>19</xdr:row>
      <xdr:rowOff>50256</xdr:rowOff>
    </xdr:from>
    <xdr:to>
      <xdr:col>5</xdr:col>
      <xdr:colOff>35106</xdr:colOff>
      <xdr:row>22</xdr:row>
      <xdr:rowOff>91832</xdr:rowOff>
    </xdr:to>
    <xdr:sp macro="" textlink="">
      <xdr:nvSpPr>
        <xdr:cNvPr id="406" name="Прямоугольник 405">
          <a:extLst>
            <a:ext uri="{FF2B5EF4-FFF2-40B4-BE49-F238E27FC236}">
              <a16:creationId xmlns:a16="http://schemas.microsoft.com/office/drawing/2014/main" id="{C3B05039-7306-331E-CA2F-14500CC19DBE}"/>
            </a:ext>
          </a:extLst>
        </xdr:cNvPr>
        <xdr:cNvSpPr/>
      </xdr:nvSpPr>
      <xdr:spPr bwMode="auto">
        <a:xfrm>
          <a:off x="3050142" y="3512386"/>
          <a:ext cx="49529" cy="588229"/>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280281</xdr:colOff>
      <xdr:row>19</xdr:row>
      <xdr:rowOff>77544</xdr:rowOff>
    </xdr:from>
    <xdr:to>
      <xdr:col>7</xdr:col>
      <xdr:colOff>141429</xdr:colOff>
      <xdr:row>25</xdr:row>
      <xdr:rowOff>79661</xdr:rowOff>
    </xdr:to>
    <xdr:sp macro="" textlink="">
      <xdr:nvSpPr>
        <xdr:cNvPr id="407" name="Полилиния: фигура 406">
          <a:extLst>
            <a:ext uri="{FF2B5EF4-FFF2-40B4-BE49-F238E27FC236}">
              <a16:creationId xmlns:a16="http://schemas.microsoft.com/office/drawing/2014/main" id="{02E8E1AA-9A9C-DAD7-67E6-1123F960F547}"/>
            </a:ext>
          </a:extLst>
        </xdr:cNvPr>
        <xdr:cNvSpPr/>
      </xdr:nvSpPr>
      <xdr:spPr bwMode="auto">
        <a:xfrm>
          <a:off x="3344846" y="3539674"/>
          <a:ext cx="1086974" cy="1095422"/>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90841</xdr:colOff>
      <xdr:row>18</xdr:row>
      <xdr:rowOff>40771</xdr:rowOff>
    </xdr:from>
    <xdr:to>
      <xdr:col>7</xdr:col>
      <xdr:colOff>346746</xdr:colOff>
      <xdr:row>19</xdr:row>
      <xdr:rowOff>113796</xdr:rowOff>
    </xdr:to>
    <xdr:sp macro="" textlink="">
      <xdr:nvSpPr>
        <xdr:cNvPr id="408" name="Овал 407">
          <a:extLst>
            <a:ext uri="{FF2B5EF4-FFF2-40B4-BE49-F238E27FC236}">
              <a16:creationId xmlns:a16="http://schemas.microsoft.com/office/drawing/2014/main" id="{13A0DA19-5F9B-74DA-6536-7329B0080480}"/>
            </a:ext>
          </a:extLst>
        </xdr:cNvPr>
        <xdr:cNvSpPr/>
      </xdr:nvSpPr>
      <xdr:spPr bwMode="auto">
        <a:xfrm>
          <a:off x="4381232" y="3320684"/>
          <a:ext cx="255905" cy="255242"/>
        </a:xfrm>
        <a:prstGeom prst="ellipse">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133386</xdr:colOff>
      <xdr:row>18</xdr:row>
      <xdr:rowOff>75696</xdr:rowOff>
    </xdr:from>
    <xdr:to>
      <xdr:col>7</xdr:col>
      <xdr:colOff>315631</xdr:colOff>
      <xdr:row>19</xdr:row>
      <xdr:rowOff>78871</xdr:rowOff>
    </xdr:to>
    <xdr:sp macro="" textlink="">
      <xdr:nvSpPr>
        <xdr:cNvPr id="409" name="Овал 408">
          <a:extLst>
            <a:ext uri="{FF2B5EF4-FFF2-40B4-BE49-F238E27FC236}">
              <a16:creationId xmlns:a16="http://schemas.microsoft.com/office/drawing/2014/main" id="{5C8DBCC8-BAB3-E684-26FD-D1409B5770F2}"/>
            </a:ext>
          </a:extLst>
        </xdr:cNvPr>
        <xdr:cNvSpPr/>
      </xdr:nvSpPr>
      <xdr:spPr bwMode="auto">
        <a:xfrm>
          <a:off x="4423777" y="3355609"/>
          <a:ext cx="182245" cy="185392"/>
        </a:xfrm>
        <a:prstGeom prst="ellipse">
          <a:avLst/>
        </a:prstGeom>
        <a:solidFill>
          <a:srgbClr val="FFFF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531749</xdr:colOff>
      <xdr:row>19</xdr:row>
      <xdr:rowOff>126149</xdr:rowOff>
    </xdr:from>
    <xdr:to>
      <xdr:col>7</xdr:col>
      <xdr:colOff>167121</xdr:colOff>
      <xdr:row>19</xdr:row>
      <xdr:rowOff>177583</xdr:rowOff>
    </xdr:to>
    <xdr:sp macro="" textlink="">
      <xdr:nvSpPr>
        <xdr:cNvPr id="410" name="Прямоугольник 409">
          <a:extLst>
            <a:ext uri="{FF2B5EF4-FFF2-40B4-BE49-F238E27FC236}">
              <a16:creationId xmlns:a16="http://schemas.microsoft.com/office/drawing/2014/main" id="{62FDB552-8CC8-1186-D329-88E6E962D171}"/>
            </a:ext>
          </a:extLst>
        </xdr:cNvPr>
        <xdr:cNvSpPr/>
      </xdr:nvSpPr>
      <xdr:spPr bwMode="auto">
        <a:xfrm rot="18900000">
          <a:off x="4209227" y="3588279"/>
          <a:ext cx="248285" cy="51434"/>
        </a:xfrm>
        <a:prstGeom prst="rect">
          <a:avLst/>
        </a:prstGeom>
        <a:solidFill>
          <a:srgbClr val="00C3FF"/>
        </a:solid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533306</xdr:colOff>
      <xdr:row>20</xdr:row>
      <xdr:rowOff>154956</xdr:rowOff>
    </xdr:from>
    <xdr:to>
      <xdr:col>6</xdr:col>
      <xdr:colOff>504631</xdr:colOff>
      <xdr:row>24</xdr:row>
      <xdr:rowOff>1007</xdr:rowOff>
    </xdr:to>
    <xdr:grpSp>
      <xdr:nvGrpSpPr>
        <xdr:cNvPr id="411" name="Группа 410">
          <a:extLst>
            <a:ext uri="{FF2B5EF4-FFF2-40B4-BE49-F238E27FC236}">
              <a16:creationId xmlns:a16="http://schemas.microsoft.com/office/drawing/2014/main" id="{59AF3DCB-4C5B-9FE2-ECC7-9E9CA80294D0}"/>
            </a:ext>
          </a:extLst>
        </xdr:cNvPr>
        <xdr:cNvGrpSpPr>
          <a:grpSpLocks noChangeAspect="1"/>
        </xdr:cNvGrpSpPr>
      </xdr:nvGrpSpPr>
      <xdr:grpSpPr>
        <a:xfrm>
          <a:off x="3558894" y="3740838"/>
          <a:ext cx="578348" cy="563228"/>
          <a:chOff x="-1361378" y="658496"/>
          <a:chExt cx="1173998" cy="1169644"/>
        </a:xfrm>
        <a:solidFill>
          <a:srgbClr val="00C3FF"/>
        </a:solidFill>
      </xdr:grpSpPr>
      <xdr:sp macro="" textlink="">
        <xdr:nvSpPr>
          <xdr:cNvPr id="434" name="Полилиния: фигура 433">
            <a:extLst>
              <a:ext uri="{FF2B5EF4-FFF2-40B4-BE49-F238E27FC236}">
                <a16:creationId xmlns:a16="http://schemas.microsoft.com/office/drawing/2014/main" id="{2B840BF8-EACD-F14E-9AE9-0773A98919AB}"/>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35" name="Стрелка: вверх 434">
            <a:extLst>
              <a:ext uri="{FF2B5EF4-FFF2-40B4-BE49-F238E27FC236}">
                <a16:creationId xmlns:a16="http://schemas.microsoft.com/office/drawing/2014/main" id="{03BA42D9-EB40-BCFA-9A90-7157201567A6}"/>
              </a:ext>
            </a:extLst>
          </xdr:cNvPr>
          <xdr:cNvSpPr/>
        </xdr:nvSpPr>
        <xdr:spPr>
          <a:xfrm rot="2740581">
            <a:off x="-879362" y="1042552"/>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36" name="Стрелка: вверх 435">
            <a:extLst>
              <a:ext uri="{FF2B5EF4-FFF2-40B4-BE49-F238E27FC236}">
                <a16:creationId xmlns:a16="http://schemas.microsoft.com/office/drawing/2014/main" id="{6211A7C2-83F8-F6E5-4E45-F3EBAAA09807}"/>
              </a:ext>
            </a:extLst>
          </xdr:cNvPr>
          <xdr:cNvSpPr/>
        </xdr:nvSpPr>
        <xdr:spPr>
          <a:xfrm rot="5400000">
            <a:off x="-842935" y="1127078"/>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37" name="Стрелка: вверх 436">
            <a:extLst>
              <a:ext uri="{FF2B5EF4-FFF2-40B4-BE49-F238E27FC236}">
                <a16:creationId xmlns:a16="http://schemas.microsoft.com/office/drawing/2014/main" id="{BB3DBAA5-AD05-EC7E-7427-50244A82F401}"/>
              </a:ext>
            </a:extLst>
          </xdr:cNvPr>
          <xdr:cNvSpPr/>
        </xdr:nvSpPr>
        <xdr:spPr>
          <a:xfrm rot="18859419" flipV="1">
            <a:off x="-879362" y="1211603"/>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38" name="Полилиния: фигура 437">
            <a:extLst>
              <a:ext uri="{FF2B5EF4-FFF2-40B4-BE49-F238E27FC236}">
                <a16:creationId xmlns:a16="http://schemas.microsoft.com/office/drawing/2014/main" id="{49A09DF7-18D9-7CD4-F431-2CECA6B0E042}"/>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39" name="Овал 438">
            <a:extLst>
              <a:ext uri="{FF2B5EF4-FFF2-40B4-BE49-F238E27FC236}">
                <a16:creationId xmlns:a16="http://schemas.microsoft.com/office/drawing/2014/main" id="{9731667F-B540-D865-41DE-491CC95901D5}"/>
              </a:ext>
            </a:extLst>
          </xdr:cNvPr>
          <xdr:cNvSpPr/>
        </xdr:nvSpPr>
        <xdr:spPr>
          <a:xfrm>
            <a:off x="-671885" y="1180112"/>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40" name="Овал 439">
            <a:extLst>
              <a:ext uri="{FF2B5EF4-FFF2-40B4-BE49-F238E27FC236}">
                <a16:creationId xmlns:a16="http://schemas.microsoft.com/office/drawing/2014/main" id="{5F3B3ADB-3880-BC4F-26CA-11B9F881314B}"/>
              </a:ext>
            </a:extLst>
          </xdr:cNvPr>
          <xdr:cNvSpPr/>
        </xdr:nvSpPr>
        <xdr:spPr>
          <a:xfrm>
            <a:off x="-758760" y="974818"/>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41" name="Овал 440">
            <a:extLst>
              <a:ext uri="{FF2B5EF4-FFF2-40B4-BE49-F238E27FC236}">
                <a16:creationId xmlns:a16="http://schemas.microsoft.com/office/drawing/2014/main" id="{B73242EE-B019-57B4-1193-DACB4F1FB9F4}"/>
              </a:ext>
            </a:extLst>
          </xdr:cNvPr>
          <xdr:cNvSpPr/>
        </xdr:nvSpPr>
        <xdr:spPr>
          <a:xfrm>
            <a:off x="-764294" y="1394257"/>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42" name="Овал 441">
            <a:extLst>
              <a:ext uri="{FF2B5EF4-FFF2-40B4-BE49-F238E27FC236}">
                <a16:creationId xmlns:a16="http://schemas.microsoft.com/office/drawing/2014/main" id="{FE674ABA-B705-E496-5AA4-8E7C1EF54711}"/>
              </a:ext>
            </a:extLst>
          </xdr:cNvPr>
          <xdr:cNvSpPr/>
        </xdr:nvSpPr>
        <xdr:spPr>
          <a:xfrm>
            <a:off x="-1041196" y="1146683"/>
            <a:ext cx="176266" cy="176264"/>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443" name="Овал 442">
            <a:extLst>
              <a:ext uri="{FF2B5EF4-FFF2-40B4-BE49-F238E27FC236}">
                <a16:creationId xmlns:a16="http://schemas.microsoft.com/office/drawing/2014/main" id="{F92F1590-EE5E-219E-5BFD-7403DB94E0B4}"/>
              </a:ext>
            </a:extLst>
          </xdr:cNvPr>
          <xdr:cNvSpPr/>
        </xdr:nvSpPr>
        <xdr:spPr>
          <a:xfrm>
            <a:off x="-1007768" y="1180112"/>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grpSp>
    <xdr:clientData/>
  </xdr:twoCellAnchor>
  <xdr:twoCellAnchor>
    <xdr:from>
      <xdr:col>4</xdr:col>
      <xdr:colOff>293739</xdr:colOff>
      <xdr:row>10</xdr:row>
      <xdr:rowOff>61187</xdr:rowOff>
    </xdr:from>
    <xdr:to>
      <xdr:col>5</xdr:col>
      <xdr:colOff>46479</xdr:colOff>
      <xdr:row>13</xdr:row>
      <xdr:rowOff>76120</xdr:rowOff>
    </xdr:to>
    <xdr:grpSp>
      <xdr:nvGrpSpPr>
        <xdr:cNvPr id="412" name="Группа 411">
          <a:extLst>
            <a:ext uri="{FF2B5EF4-FFF2-40B4-BE49-F238E27FC236}">
              <a16:creationId xmlns:a16="http://schemas.microsoft.com/office/drawing/2014/main" id="{8E439E72-45D1-D8AB-5DB4-31594678EB8A}"/>
            </a:ext>
          </a:extLst>
        </xdr:cNvPr>
        <xdr:cNvGrpSpPr>
          <a:grpSpLocks noChangeAspect="1"/>
        </xdr:cNvGrpSpPr>
      </xdr:nvGrpSpPr>
      <xdr:grpSpPr>
        <a:xfrm>
          <a:off x="2712305" y="1850318"/>
          <a:ext cx="361667" cy="556626"/>
          <a:chOff x="606861" y="1802438"/>
          <a:chExt cx="199023" cy="313294"/>
        </a:xfrm>
      </xdr:grpSpPr>
      <xdr:sp macro="" textlink="">
        <xdr:nvSpPr>
          <xdr:cNvPr id="429" name="Скругленный прямоугольник 399">
            <a:extLst>
              <a:ext uri="{FF2B5EF4-FFF2-40B4-BE49-F238E27FC236}">
                <a16:creationId xmlns:a16="http://schemas.microsoft.com/office/drawing/2014/main" id="{DBDA456B-DF34-63BD-653B-3A34F7D368EC}"/>
              </a:ext>
            </a:extLst>
          </xdr:cNvPr>
          <xdr:cNvSpPr/>
        </xdr:nvSpPr>
        <xdr:spPr>
          <a:xfrm>
            <a:off x="606861" y="1802438"/>
            <a:ext cx="199023" cy="313294"/>
          </a:xfrm>
          <a:prstGeom prst="roundRect">
            <a:avLst>
              <a:gd name="adj" fmla="val 9968"/>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30" name="Скругленный прямоугольник 400">
            <a:extLst>
              <a:ext uri="{FF2B5EF4-FFF2-40B4-BE49-F238E27FC236}">
                <a16:creationId xmlns:a16="http://schemas.microsoft.com/office/drawing/2014/main" id="{EC8D0238-EB34-4273-C3F7-4B681321F3F1}"/>
              </a:ext>
            </a:extLst>
          </xdr:cNvPr>
          <xdr:cNvSpPr/>
        </xdr:nvSpPr>
        <xdr:spPr>
          <a:xfrm>
            <a:off x="641380" y="1855764"/>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31" name="Скругленный прямоугольник 401">
            <a:extLst>
              <a:ext uri="{FF2B5EF4-FFF2-40B4-BE49-F238E27FC236}">
                <a16:creationId xmlns:a16="http://schemas.microsoft.com/office/drawing/2014/main" id="{CB7274E2-0315-EDC1-FFF8-4168EE44E973}"/>
              </a:ext>
            </a:extLst>
          </xdr:cNvPr>
          <xdr:cNvSpPr/>
        </xdr:nvSpPr>
        <xdr:spPr>
          <a:xfrm>
            <a:off x="641380" y="1905281"/>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32" name="Скругленный прямоугольник 402">
            <a:extLst>
              <a:ext uri="{FF2B5EF4-FFF2-40B4-BE49-F238E27FC236}">
                <a16:creationId xmlns:a16="http://schemas.microsoft.com/office/drawing/2014/main" id="{2DFBA1E2-92AB-D5F9-DF15-14BD26A3104F}"/>
              </a:ext>
            </a:extLst>
          </xdr:cNvPr>
          <xdr:cNvSpPr/>
        </xdr:nvSpPr>
        <xdr:spPr>
          <a:xfrm>
            <a:off x="641380" y="1954799"/>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433" name="Овал 432">
            <a:extLst>
              <a:ext uri="{FF2B5EF4-FFF2-40B4-BE49-F238E27FC236}">
                <a16:creationId xmlns:a16="http://schemas.microsoft.com/office/drawing/2014/main" id="{7CC1119A-8045-9607-7340-D173DDB3BB90}"/>
              </a:ext>
            </a:extLst>
          </xdr:cNvPr>
          <xdr:cNvSpPr/>
        </xdr:nvSpPr>
        <xdr:spPr>
          <a:xfrm>
            <a:off x="685899" y="2048122"/>
            <a:ext cx="40947" cy="40947"/>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clientData/>
  </xdr:twoCellAnchor>
  <xdr:twoCellAnchor>
    <xdr:from>
      <xdr:col>11</xdr:col>
      <xdr:colOff>552193</xdr:colOff>
      <xdr:row>10</xdr:row>
      <xdr:rowOff>61187</xdr:rowOff>
    </xdr:from>
    <xdr:to>
      <xdr:col>12</xdr:col>
      <xdr:colOff>399033</xdr:colOff>
      <xdr:row>13</xdr:row>
      <xdr:rowOff>76119</xdr:rowOff>
    </xdr:to>
    <xdr:grpSp>
      <xdr:nvGrpSpPr>
        <xdr:cNvPr id="413" name="Группа 412">
          <a:extLst>
            <a:ext uri="{FF2B5EF4-FFF2-40B4-BE49-F238E27FC236}">
              <a16:creationId xmlns:a16="http://schemas.microsoft.com/office/drawing/2014/main" id="{7A95C200-0763-B49E-9B11-CAB12793CD5F}"/>
            </a:ext>
          </a:extLst>
        </xdr:cNvPr>
        <xdr:cNvGrpSpPr>
          <a:grpSpLocks noChangeAspect="1"/>
        </xdr:cNvGrpSpPr>
      </xdr:nvGrpSpPr>
      <xdr:grpSpPr>
        <a:xfrm>
          <a:off x="7212297" y="1850318"/>
          <a:ext cx="451958" cy="556625"/>
          <a:chOff x="2963652" y="203672"/>
          <a:chExt cx="5472608" cy="6753720"/>
        </a:xfrm>
        <a:solidFill>
          <a:srgbClr val="00C3FF"/>
        </a:solidFill>
      </xdr:grpSpPr>
      <xdr:sp macro="" textlink="">
        <xdr:nvSpPr>
          <xdr:cNvPr id="419" name="Полилиния 26">
            <a:extLst>
              <a:ext uri="{FF2B5EF4-FFF2-40B4-BE49-F238E27FC236}">
                <a16:creationId xmlns:a16="http://schemas.microsoft.com/office/drawing/2014/main" id="{335498F1-742E-DFD9-365C-737BF4D491C2}"/>
              </a:ext>
            </a:extLst>
          </xdr:cNvPr>
          <xdr:cNvSpPr/>
        </xdr:nvSpPr>
        <xdr:spPr bwMode="auto">
          <a:xfrm>
            <a:off x="2963652" y="3825044"/>
            <a:ext cx="5472608" cy="3132348"/>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0" name="Полилиния 27">
            <a:extLst>
              <a:ext uri="{FF2B5EF4-FFF2-40B4-BE49-F238E27FC236}">
                <a16:creationId xmlns:a16="http://schemas.microsoft.com/office/drawing/2014/main" id="{0CA8E86F-A51D-37BB-F6B0-5EF01360A542}"/>
              </a:ext>
            </a:extLst>
          </xdr:cNvPr>
          <xdr:cNvSpPr/>
        </xdr:nvSpPr>
        <xdr:spPr bwMode="auto">
          <a:xfrm>
            <a:off x="3208537" y="3222500"/>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1" name="Полилиния 28">
            <a:extLst>
              <a:ext uri="{FF2B5EF4-FFF2-40B4-BE49-F238E27FC236}">
                <a16:creationId xmlns:a16="http://schemas.microsoft.com/office/drawing/2014/main" id="{44456BD9-B655-F31B-9AD3-76B974AAED8B}"/>
              </a:ext>
            </a:extLst>
          </xdr:cNvPr>
          <xdr:cNvSpPr/>
        </xdr:nvSpPr>
        <xdr:spPr bwMode="auto">
          <a:xfrm>
            <a:off x="5318421" y="1714500"/>
            <a:ext cx="799805" cy="822323"/>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2" name="Полилиния 29">
            <a:extLst>
              <a:ext uri="{FF2B5EF4-FFF2-40B4-BE49-F238E27FC236}">
                <a16:creationId xmlns:a16="http://schemas.microsoft.com/office/drawing/2014/main" id="{52F21B86-1572-39BA-A8E4-464333550E0F}"/>
              </a:ext>
            </a:extLst>
          </xdr:cNvPr>
          <xdr:cNvSpPr/>
        </xdr:nvSpPr>
        <xdr:spPr bwMode="auto">
          <a:xfrm flipH="1">
            <a:off x="5290642" y="652460"/>
            <a:ext cx="810205" cy="1013180"/>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3" name="Овал 422">
            <a:extLst>
              <a:ext uri="{FF2B5EF4-FFF2-40B4-BE49-F238E27FC236}">
                <a16:creationId xmlns:a16="http://schemas.microsoft.com/office/drawing/2014/main" id="{01FF05D2-6C9A-851D-EB50-E3DD4792EC9D}"/>
              </a:ext>
            </a:extLst>
          </xdr:cNvPr>
          <xdr:cNvSpPr/>
        </xdr:nvSpPr>
        <xdr:spPr bwMode="auto">
          <a:xfrm>
            <a:off x="5599688" y="1181144"/>
            <a:ext cx="187350" cy="187350"/>
          </a:xfrm>
          <a:prstGeom prst="ellipse">
            <a:avLst/>
          </a:pr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4" name="Полилиния 31">
            <a:extLst>
              <a:ext uri="{FF2B5EF4-FFF2-40B4-BE49-F238E27FC236}">
                <a16:creationId xmlns:a16="http://schemas.microsoft.com/office/drawing/2014/main" id="{8C11B8A8-8081-6631-7DBC-6E694306D729}"/>
              </a:ext>
            </a:extLst>
          </xdr:cNvPr>
          <xdr:cNvSpPr/>
        </xdr:nvSpPr>
        <xdr:spPr bwMode="auto">
          <a:xfrm>
            <a:off x="5288261" y="203673"/>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5" name="Полилиния 32">
            <a:extLst>
              <a:ext uri="{FF2B5EF4-FFF2-40B4-BE49-F238E27FC236}">
                <a16:creationId xmlns:a16="http://schemas.microsoft.com/office/drawing/2014/main" id="{F369562C-52D4-2C92-90C2-1DD199E4B7B2}"/>
              </a:ext>
            </a:extLst>
          </xdr:cNvPr>
          <xdr:cNvSpPr/>
        </xdr:nvSpPr>
        <xdr:spPr bwMode="auto">
          <a:xfrm flipH="1">
            <a:off x="5995576" y="203672"/>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6" name="Полилиния 33">
            <a:extLst>
              <a:ext uri="{FF2B5EF4-FFF2-40B4-BE49-F238E27FC236}">
                <a16:creationId xmlns:a16="http://schemas.microsoft.com/office/drawing/2014/main" id="{D0C7DD9A-91D4-60F9-FB45-483DAEDECD0C}"/>
              </a:ext>
            </a:extLst>
          </xdr:cNvPr>
          <xdr:cNvSpPr/>
        </xdr:nvSpPr>
        <xdr:spPr bwMode="auto">
          <a:xfrm flipH="1">
            <a:off x="7717037" y="3228341"/>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7" name="Скругленный прямоугольник 34">
            <a:extLst>
              <a:ext uri="{FF2B5EF4-FFF2-40B4-BE49-F238E27FC236}">
                <a16:creationId xmlns:a16="http://schemas.microsoft.com/office/drawing/2014/main" id="{A029BEBA-C270-7BCC-7343-1D29988168E2}"/>
              </a:ext>
            </a:extLst>
          </xdr:cNvPr>
          <xdr:cNvSpPr/>
        </xdr:nvSpPr>
        <xdr:spPr bwMode="auto">
          <a:xfrm rot="1632461">
            <a:off x="5463821" y="2799422"/>
            <a:ext cx="2691975" cy="146470"/>
          </a:xfrm>
          <a:prstGeom prst="roundRect">
            <a:avLst>
              <a:gd name="adj" fmla="val 50000"/>
            </a:avLst>
          </a:pr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8" name="Полилиния 35">
            <a:extLst>
              <a:ext uri="{FF2B5EF4-FFF2-40B4-BE49-F238E27FC236}">
                <a16:creationId xmlns:a16="http://schemas.microsoft.com/office/drawing/2014/main" id="{AB8ECF09-5C23-56E5-4096-F77519ED9F07}"/>
              </a:ext>
            </a:extLst>
          </xdr:cNvPr>
          <xdr:cNvSpPr/>
        </xdr:nvSpPr>
        <xdr:spPr bwMode="auto">
          <a:xfrm rot="19967539" flipH="1">
            <a:off x="3254927" y="2881156"/>
            <a:ext cx="2334449"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grpSp>
    <xdr:clientData/>
  </xdr:twoCellAnchor>
  <xdr:twoCellAnchor>
    <xdr:from>
      <xdr:col>7</xdr:col>
      <xdr:colOff>294061</xdr:colOff>
      <xdr:row>9</xdr:row>
      <xdr:rowOff>34429</xdr:rowOff>
    </xdr:from>
    <xdr:to>
      <xdr:col>9</xdr:col>
      <xdr:colOff>347138</xdr:colOff>
      <xdr:row>14</xdr:row>
      <xdr:rowOff>98857</xdr:rowOff>
    </xdr:to>
    <xdr:grpSp>
      <xdr:nvGrpSpPr>
        <xdr:cNvPr id="414" name="Группа 413">
          <a:extLst>
            <a:ext uri="{FF2B5EF4-FFF2-40B4-BE49-F238E27FC236}">
              <a16:creationId xmlns:a16="http://schemas.microsoft.com/office/drawing/2014/main" id="{81448DCF-F61B-CC40-619E-9A58B1CE6E8A}"/>
            </a:ext>
          </a:extLst>
        </xdr:cNvPr>
        <xdr:cNvGrpSpPr/>
      </xdr:nvGrpSpPr>
      <xdr:grpSpPr>
        <a:xfrm>
          <a:off x="4527980" y="1648076"/>
          <a:ext cx="1267122" cy="957089"/>
          <a:chOff x="2346961" y="1478280"/>
          <a:chExt cx="4434840" cy="3360420"/>
        </a:xfrm>
        <a:solidFill>
          <a:srgbClr val="00C3FF"/>
        </a:solidFill>
      </xdr:grpSpPr>
      <xdr:sp macro="" textlink="">
        <xdr:nvSpPr>
          <xdr:cNvPr id="415" name="Скругленный прямоугольник 160">
            <a:extLst>
              <a:ext uri="{FF2B5EF4-FFF2-40B4-BE49-F238E27FC236}">
                <a16:creationId xmlns:a16="http://schemas.microsoft.com/office/drawing/2014/main" id="{93C23A5B-1960-5333-B800-8BC7ADC901BB}"/>
              </a:ext>
            </a:extLst>
          </xdr:cNvPr>
          <xdr:cNvSpPr/>
        </xdr:nvSpPr>
        <xdr:spPr>
          <a:xfrm rot="17439639">
            <a:off x="3595825" y="3232975"/>
            <a:ext cx="1965544" cy="288345"/>
          </a:xfrm>
          <a:prstGeom prst="roundRect">
            <a:avLst>
              <a:gd name="adj" fmla="val 50000"/>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416" name="Полилиния 161">
            <a:extLst>
              <a:ext uri="{FF2B5EF4-FFF2-40B4-BE49-F238E27FC236}">
                <a16:creationId xmlns:a16="http://schemas.microsoft.com/office/drawing/2014/main" id="{FC9D98AA-C8E4-5EF5-398A-08AEBF01EF1C}"/>
              </a:ext>
            </a:extLst>
          </xdr:cNvPr>
          <xdr:cNvSpPr/>
        </xdr:nvSpPr>
        <xdr:spPr>
          <a:xfrm rot="18900000">
            <a:off x="3232751" y="2736613"/>
            <a:ext cx="1205763" cy="1205761"/>
          </a:xfrm>
          <a:custGeom>
            <a:avLst/>
            <a:gdLst>
              <a:gd name="connsiteX0" fmla="*/ 144174 w 1205763"/>
              <a:gd name="connsiteY0" fmla="*/ 1205761 h 1205761"/>
              <a:gd name="connsiteX1" fmla="*/ 144173 w 1205763"/>
              <a:gd name="connsiteY1" fmla="*/ 1205761 h 1205761"/>
              <a:gd name="connsiteX2" fmla="*/ 144174 w 1205763"/>
              <a:gd name="connsiteY2" fmla="*/ 1205760 h 1205761"/>
              <a:gd name="connsiteX3" fmla="*/ 1163536 w 1205763"/>
              <a:gd name="connsiteY3" fmla="*/ 42227 h 1205761"/>
              <a:gd name="connsiteX4" fmla="*/ 1205763 w 1205763"/>
              <a:gd name="connsiteY4" fmla="*/ 144173 h 1205761"/>
              <a:gd name="connsiteX5" fmla="*/ 1205762 w 1205763"/>
              <a:gd name="connsiteY5" fmla="*/ 144173 h 1205761"/>
              <a:gd name="connsiteX6" fmla="*/ 1061589 w 1205763"/>
              <a:gd name="connsiteY6" fmla="*/ 288346 h 1205761"/>
              <a:gd name="connsiteX7" fmla="*/ 288346 w 1205763"/>
              <a:gd name="connsiteY7" fmla="*/ 288345 h 1205761"/>
              <a:gd name="connsiteX8" fmla="*/ 288346 w 1205763"/>
              <a:gd name="connsiteY8" fmla="*/ 1061588 h 1205761"/>
              <a:gd name="connsiteX9" fmla="*/ 200292 w 1205763"/>
              <a:gd name="connsiteY9" fmla="*/ 1194431 h 1205761"/>
              <a:gd name="connsiteX10" fmla="*/ 144174 w 1205763"/>
              <a:gd name="connsiteY10" fmla="*/ 1205760 h 1205761"/>
              <a:gd name="connsiteX11" fmla="*/ 88056 w 1205763"/>
              <a:gd name="connsiteY11" fmla="*/ 1194431 h 1205761"/>
              <a:gd name="connsiteX12" fmla="*/ 1 w 1205763"/>
              <a:gd name="connsiteY12" fmla="*/ 1061588 h 1205761"/>
              <a:gd name="connsiteX13" fmla="*/ 0 w 1205763"/>
              <a:gd name="connsiteY13" fmla="*/ 146756 h 1205761"/>
              <a:gd name="connsiteX14" fmla="*/ 42227 w 1205763"/>
              <a:gd name="connsiteY14" fmla="*/ 44810 h 1205761"/>
              <a:gd name="connsiteX15" fmla="*/ 43772 w 1205763"/>
              <a:gd name="connsiteY15" fmla="*/ 43768 h 1205761"/>
              <a:gd name="connsiteX16" fmla="*/ 44811 w 1205763"/>
              <a:gd name="connsiteY16" fmla="*/ 42227 h 1205761"/>
              <a:gd name="connsiteX17" fmla="*/ 146757 w 1205763"/>
              <a:gd name="connsiteY17" fmla="*/ 0 h 1205761"/>
              <a:gd name="connsiteX18" fmla="*/ 1061590 w 1205763"/>
              <a:gd name="connsiteY18" fmla="*/ 0 h 1205761"/>
              <a:gd name="connsiteX19" fmla="*/ 1163536 w 1205763"/>
              <a:gd name="connsiteY19" fmla="*/ 42227 h 12057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1205763" h="1205761">
                <a:moveTo>
                  <a:pt x="144174" y="1205761"/>
                </a:moveTo>
                <a:lnTo>
                  <a:pt x="144173" y="1205761"/>
                </a:lnTo>
                <a:lnTo>
                  <a:pt x="144174" y="1205760"/>
                </a:lnTo>
                <a:close/>
                <a:moveTo>
                  <a:pt x="1163536" y="42227"/>
                </a:moveTo>
                <a:cubicBezTo>
                  <a:pt x="1189626" y="68317"/>
                  <a:pt x="1205763" y="104360"/>
                  <a:pt x="1205763" y="144173"/>
                </a:cubicBezTo>
                <a:lnTo>
                  <a:pt x="1205762" y="144173"/>
                </a:lnTo>
                <a:cubicBezTo>
                  <a:pt x="1205762" y="223798"/>
                  <a:pt x="1141214" y="288346"/>
                  <a:pt x="1061589" y="288346"/>
                </a:cubicBezTo>
                <a:lnTo>
                  <a:pt x="288346" y="288345"/>
                </a:lnTo>
                <a:lnTo>
                  <a:pt x="288346" y="1061588"/>
                </a:lnTo>
                <a:cubicBezTo>
                  <a:pt x="288347" y="1121306"/>
                  <a:pt x="252038" y="1172544"/>
                  <a:pt x="200292" y="1194431"/>
                </a:cubicBezTo>
                <a:lnTo>
                  <a:pt x="144174" y="1205760"/>
                </a:lnTo>
                <a:lnTo>
                  <a:pt x="88056" y="1194431"/>
                </a:lnTo>
                <a:cubicBezTo>
                  <a:pt x="36310" y="1172544"/>
                  <a:pt x="1" y="1121307"/>
                  <a:pt x="1" y="1061588"/>
                </a:cubicBezTo>
                <a:lnTo>
                  <a:pt x="0" y="146756"/>
                </a:lnTo>
                <a:cubicBezTo>
                  <a:pt x="0" y="106943"/>
                  <a:pt x="16137" y="70900"/>
                  <a:pt x="42227" y="44810"/>
                </a:cubicBezTo>
                <a:lnTo>
                  <a:pt x="43772" y="43768"/>
                </a:lnTo>
                <a:lnTo>
                  <a:pt x="44811" y="42227"/>
                </a:lnTo>
                <a:cubicBezTo>
                  <a:pt x="70901" y="16137"/>
                  <a:pt x="106945" y="0"/>
                  <a:pt x="146757" y="0"/>
                </a:cubicBezTo>
                <a:lnTo>
                  <a:pt x="1061590" y="0"/>
                </a:lnTo>
                <a:cubicBezTo>
                  <a:pt x="1101403" y="0"/>
                  <a:pt x="1137446" y="16137"/>
                  <a:pt x="1163536" y="42227"/>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417" name="Полилиния 162">
            <a:extLst>
              <a:ext uri="{FF2B5EF4-FFF2-40B4-BE49-F238E27FC236}">
                <a16:creationId xmlns:a16="http://schemas.microsoft.com/office/drawing/2014/main" id="{D886C49A-0255-4B32-2C7A-0F1E67C55978}"/>
              </a:ext>
            </a:extLst>
          </xdr:cNvPr>
          <xdr:cNvSpPr/>
        </xdr:nvSpPr>
        <xdr:spPr>
          <a:xfrm rot="2700000" flipH="1">
            <a:off x="4695654" y="2709968"/>
            <a:ext cx="1205763" cy="1205761"/>
          </a:xfrm>
          <a:custGeom>
            <a:avLst/>
            <a:gdLst>
              <a:gd name="connsiteX0" fmla="*/ 1163536 w 1205763"/>
              <a:gd name="connsiteY0" fmla="*/ 42227 h 1205761"/>
              <a:gd name="connsiteX1" fmla="*/ 1061590 w 1205763"/>
              <a:gd name="connsiteY1" fmla="*/ 0 h 1205761"/>
              <a:gd name="connsiteX2" fmla="*/ 146757 w 1205763"/>
              <a:gd name="connsiteY2" fmla="*/ 0 h 1205761"/>
              <a:gd name="connsiteX3" fmla="*/ 44811 w 1205763"/>
              <a:gd name="connsiteY3" fmla="*/ 42227 h 1205761"/>
              <a:gd name="connsiteX4" fmla="*/ 43772 w 1205763"/>
              <a:gd name="connsiteY4" fmla="*/ 43768 h 1205761"/>
              <a:gd name="connsiteX5" fmla="*/ 42227 w 1205763"/>
              <a:gd name="connsiteY5" fmla="*/ 44810 h 1205761"/>
              <a:gd name="connsiteX6" fmla="*/ 0 w 1205763"/>
              <a:gd name="connsiteY6" fmla="*/ 146756 h 1205761"/>
              <a:gd name="connsiteX7" fmla="*/ 1 w 1205763"/>
              <a:gd name="connsiteY7" fmla="*/ 1061588 h 1205761"/>
              <a:gd name="connsiteX8" fmla="*/ 144174 w 1205763"/>
              <a:gd name="connsiteY8" fmla="*/ 1205761 h 1205761"/>
              <a:gd name="connsiteX9" fmla="*/ 144174 w 1205763"/>
              <a:gd name="connsiteY9" fmla="*/ 1205761 h 1205761"/>
              <a:gd name="connsiteX10" fmla="*/ 288347 w 1205763"/>
              <a:gd name="connsiteY10" fmla="*/ 1061588 h 1205761"/>
              <a:gd name="connsiteX11" fmla="*/ 288346 w 1205763"/>
              <a:gd name="connsiteY11" fmla="*/ 288345 h 1205761"/>
              <a:gd name="connsiteX12" fmla="*/ 1061589 w 1205763"/>
              <a:gd name="connsiteY12" fmla="*/ 288346 h 1205761"/>
              <a:gd name="connsiteX13" fmla="*/ 1205762 w 1205763"/>
              <a:gd name="connsiteY13" fmla="*/ 144173 h 1205761"/>
              <a:gd name="connsiteX14" fmla="*/ 1205763 w 1205763"/>
              <a:gd name="connsiteY14" fmla="*/ 144173 h 1205761"/>
              <a:gd name="connsiteX15" fmla="*/ 1163536 w 1205763"/>
              <a:gd name="connsiteY15" fmla="*/ 42227 h 12057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205763" h="1205761">
                <a:moveTo>
                  <a:pt x="1163536" y="42227"/>
                </a:moveTo>
                <a:cubicBezTo>
                  <a:pt x="1137446" y="16137"/>
                  <a:pt x="1101403" y="0"/>
                  <a:pt x="1061590" y="0"/>
                </a:cubicBezTo>
                <a:lnTo>
                  <a:pt x="146757" y="0"/>
                </a:lnTo>
                <a:cubicBezTo>
                  <a:pt x="106945" y="0"/>
                  <a:pt x="70902" y="16137"/>
                  <a:pt x="44811" y="42227"/>
                </a:cubicBezTo>
                <a:lnTo>
                  <a:pt x="43772" y="43768"/>
                </a:lnTo>
                <a:lnTo>
                  <a:pt x="42227" y="44810"/>
                </a:lnTo>
                <a:cubicBezTo>
                  <a:pt x="16137" y="70900"/>
                  <a:pt x="0" y="106943"/>
                  <a:pt x="0" y="146756"/>
                </a:cubicBezTo>
                <a:lnTo>
                  <a:pt x="1" y="1061588"/>
                </a:lnTo>
                <a:cubicBezTo>
                  <a:pt x="1" y="1141213"/>
                  <a:pt x="64549" y="1205761"/>
                  <a:pt x="144174" y="1205761"/>
                </a:cubicBezTo>
                <a:lnTo>
                  <a:pt x="144174" y="1205761"/>
                </a:lnTo>
                <a:cubicBezTo>
                  <a:pt x="223798" y="1205761"/>
                  <a:pt x="288346" y="1141213"/>
                  <a:pt x="288347" y="1061588"/>
                </a:cubicBezTo>
                <a:lnTo>
                  <a:pt x="288346" y="288345"/>
                </a:lnTo>
                <a:lnTo>
                  <a:pt x="1061589" y="288346"/>
                </a:lnTo>
                <a:cubicBezTo>
                  <a:pt x="1141214" y="288346"/>
                  <a:pt x="1205762" y="223798"/>
                  <a:pt x="1205762" y="144173"/>
                </a:cubicBezTo>
                <a:lnTo>
                  <a:pt x="1205763" y="144173"/>
                </a:lnTo>
                <a:cubicBezTo>
                  <a:pt x="1205763" y="104360"/>
                  <a:pt x="1189626" y="68317"/>
                  <a:pt x="1163536" y="42227"/>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418" name="Полилиния 163">
            <a:extLst>
              <a:ext uri="{FF2B5EF4-FFF2-40B4-BE49-F238E27FC236}">
                <a16:creationId xmlns:a16="http://schemas.microsoft.com/office/drawing/2014/main" id="{DC4BC81D-B62F-39AA-7C2B-53054278BB7A}"/>
              </a:ext>
            </a:extLst>
          </xdr:cNvPr>
          <xdr:cNvSpPr/>
        </xdr:nvSpPr>
        <xdr:spPr>
          <a:xfrm>
            <a:off x="2346961" y="1478280"/>
            <a:ext cx="4434840" cy="3360420"/>
          </a:xfrm>
          <a:custGeom>
            <a:avLst/>
            <a:gdLst>
              <a:gd name="connsiteX0" fmla="*/ 198118 w 4434840"/>
              <a:gd name="connsiteY0" fmla="*/ 563880 h 3360420"/>
              <a:gd name="connsiteX1" fmla="*/ 198118 w 4434840"/>
              <a:gd name="connsiteY1" fmla="*/ 3009404 h 3360420"/>
              <a:gd name="connsiteX2" fmla="*/ 366254 w 4434840"/>
              <a:gd name="connsiteY2" fmla="*/ 3177540 h 3360420"/>
              <a:gd name="connsiteX3" fmla="*/ 4083823 w 4434840"/>
              <a:gd name="connsiteY3" fmla="*/ 3177540 h 3360420"/>
              <a:gd name="connsiteX4" fmla="*/ 4251959 w 4434840"/>
              <a:gd name="connsiteY4" fmla="*/ 3009404 h 3360420"/>
              <a:gd name="connsiteX5" fmla="*/ 4251959 w 4434840"/>
              <a:gd name="connsiteY5" fmla="*/ 563880 h 3360420"/>
              <a:gd name="connsiteX6" fmla="*/ 4003040 w 4434840"/>
              <a:gd name="connsiteY6" fmla="*/ 135890 h 3360420"/>
              <a:gd name="connsiteX7" fmla="*/ 3958589 w 4434840"/>
              <a:gd name="connsiteY7" fmla="*/ 180341 h 3360420"/>
              <a:gd name="connsiteX8" fmla="*/ 3958589 w 4434840"/>
              <a:gd name="connsiteY8" fmla="*/ 358139 h 3360420"/>
              <a:gd name="connsiteX9" fmla="*/ 4003040 w 4434840"/>
              <a:gd name="connsiteY9" fmla="*/ 402590 h 3360420"/>
              <a:gd name="connsiteX10" fmla="*/ 4188458 w 4434840"/>
              <a:gd name="connsiteY10" fmla="*/ 402590 h 3360420"/>
              <a:gd name="connsiteX11" fmla="*/ 4232909 w 4434840"/>
              <a:gd name="connsiteY11" fmla="*/ 358139 h 3360420"/>
              <a:gd name="connsiteX12" fmla="*/ 4232909 w 4434840"/>
              <a:gd name="connsiteY12" fmla="*/ 180341 h 3360420"/>
              <a:gd name="connsiteX13" fmla="*/ 4188458 w 4434840"/>
              <a:gd name="connsiteY13" fmla="*/ 135890 h 3360420"/>
              <a:gd name="connsiteX14" fmla="*/ 3631565 w 4434840"/>
              <a:gd name="connsiteY14" fmla="*/ 135890 h 3360420"/>
              <a:gd name="connsiteX15" fmla="*/ 3587114 w 4434840"/>
              <a:gd name="connsiteY15" fmla="*/ 180341 h 3360420"/>
              <a:gd name="connsiteX16" fmla="*/ 3587114 w 4434840"/>
              <a:gd name="connsiteY16" fmla="*/ 358139 h 3360420"/>
              <a:gd name="connsiteX17" fmla="*/ 3631565 w 4434840"/>
              <a:gd name="connsiteY17" fmla="*/ 402590 h 3360420"/>
              <a:gd name="connsiteX18" fmla="*/ 3816983 w 4434840"/>
              <a:gd name="connsiteY18" fmla="*/ 402590 h 3360420"/>
              <a:gd name="connsiteX19" fmla="*/ 3861434 w 4434840"/>
              <a:gd name="connsiteY19" fmla="*/ 358139 h 3360420"/>
              <a:gd name="connsiteX20" fmla="*/ 3861434 w 4434840"/>
              <a:gd name="connsiteY20" fmla="*/ 180341 h 3360420"/>
              <a:gd name="connsiteX21" fmla="*/ 3816983 w 4434840"/>
              <a:gd name="connsiteY21" fmla="*/ 135890 h 3360420"/>
              <a:gd name="connsiteX22" fmla="*/ 3260090 w 4434840"/>
              <a:gd name="connsiteY22" fmla="*/ 135890 h 3360420"/>
              <a:gd name="connsiteX23" fmla="*/ 3215639 w 4434840"/>
              <a:gd name="connsiteY23" fmla="*/ 180341 h 3360420"/>
              <a:gd name="connsiteX24" fmla="*/ 3215639 w 4434840"/>
              <a:gd name="connsiteY24" fmla="*/ 358139 h 3360420"/>
              <a:gd name="connsiteX25" fmla="*/ 3260090 w 4434840"/>
              <a:gd name="connsiteY25" fmla="*/ 402590 h 3360420"/>
              <a:gd name="connsiteX26" fmla="*/ 3445508 w 4434840"/>
              <a:gd name="connsiteY26" fmla="*/ 402590 h 3360420"/>
              <a:gd name="connsiteX27" fmla="*/ 3489959 w 4434840"/>
              <a:gd name="connsiteY27" fmla="*/ 358139 h 3360420"/>
              <a:gd name="connsiteX28" fmla="*/ 3489959 w 4434840"/>
              <a:gd name="connsiteY28" fmla="*/ 180341 h 3360420"/>
              <a:gd name="connsiteX29" fmla="*/ 3445508 w 4434840"/>
              <a:gd name="connsiteY29" fmla="*/ 135890 h 3360420"/>
              <a:gd name="connsiteX30" fmla="*/ 346728 w 4434840"/>
              <a:gd name="connsiteY30" fmla="*/ 0 h 3360420"/>
              <a:gd name="connsiteX31" fmla="*/ 4088112 w 4434840"/>
              <a:gd name="connsiteY31" fmla="*/ 0 h 3360420"/>
              <a:gd name="connsiteX32" fmla="*/ 4434840 w 4434840"/>
              <a:gd name="connsiteY32" fmla="*/ 346728 h 3360420"/>
              <a:gd name="connsiteX33" fmla="*/ 4434840 w 4434840"/>
              <a:gd name="connsiteY33" fmla="*/ 3013692 h 3360420"/>
              <a:gd name="connsiteX34" fmla="*/ 4088112 w 4434840"/>
              <a:gd name="connsiteY34" fmla="*/ 3360420 h 3360420"/>
              <a:gd name="connsiteX35" fmla="*/ 346728 w 4434840"/>
              <a:gd name="connsiteY35" fmla="*/ 3360420 h 3360420"/>
              <a:gd name="connsiteX36" fmla="*/ 0 w 4434840"/>
              <a:gd name="connsiteY36" fmla="*/ 3013692 h 3360420"/>
              <a:gd name="connsiteX37" fmla="*/ 0 w 4434840"/>
              <a:gd name="connsiteY37" fmla="*/ 346728 h 3360420"/>
              <a:gd name="connsiteX38" fmla="*/ 346728 w 4434840"/>
              <a:gd name="connsiteY38" fmla="*/ 0 h 33604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4434840" h="3360420">
                <a:moveTo>
                  <a:pt x="198118" y="563880"/>
                </a:moveTo>
                <a:lnTo>
                  <a:pt x="198118" y="3009404"/>
                </a:lnTo>
                <a:cubicBezTo>
                  <a:pt x="198118" y="3102263"/>
                  <a:pt x="273395" y="3177540"/>
                  <a:pt x="366254" y="3177540"/>
                </a:cubicBezTo>
                <a:lnTo>
                  <a:pt x="4083823" y="3177540"/>
                </a:lnTo>
                <a:cubicBezTo>
                  <a:pt x="4176682" y="3177540"/>
                  <a:pt x="4251959" y="3102263"/>
                  <a:pt x="4251959" y="3009404"/>
                </a:cubicBezTo>
                <a:lnTo>
                  <a:pt x="4251959" y="563880"/>
                </a:lnTo>
                <a:close/>
                <a:moveTo>
                  <a:pt x="4003040" y="135890"/>
                </a:moveTo>
                <a:cubicBezTo>
                  <a:pt x="3978490" y="135890"/>
                  <a:pt x="3958589" y="155791"/>
                  <a:pt x="3958589" y="180341"/>
                </a:cubicBezTo>
                <a:lnTo>
                  <a:pt x="3958589" y="358139"/>
                </a:lnTo>
                <a:cubicBezTo>
                  <a:pt x="3958589" y="382689"/>
                  <a:pt x="3978490" y="402590"/>
                  <a:pt x="4003040" y="402590"/>
                </a:cubicBezTo>
                <a:lnTo>
                  <a:pt x="4188458" y="402590"/>
                </a:lnTo>
                <a:cubicBezTo>
                  <a:pt x="4213008" y="402590"/>
                  <a:pt x="4232909" y="382689"/>
                  <a:pt x="4232909" y="358139"/>
                </a:cubicBezTo>
                <a:lnTo>
                  <a:pt x="4232909" y="180341"/>
                </a:lnTo>
                <a:cubicBezTo>
                  <a:pt x="4232909" y="155791"/>
                  <a:pt x="4213008" y="135890"/>
                  <a:pt x="4188458" y="135890"/>
                </a:cubicBezTo>
                <a:close/>
                <a:moveTo>
                  <a:pt x="3631565" y="135890"/>
                </a:moveTo>
                <a:cubicBezTo>
                  <a:pt x="3607015" y="135890"/>
                  <a:pt x="3587114" y="155791"/>
                  <a:pt x="3587114" y="180341"/>
                </a:cubicBezTo>
                <a:lnTo>
                  <a:pt x="3587114" y="358139"/>
                </a:lnTo>
                <a:cubicBezTo>
                  <a:pt x="3587114" y="382689"/>
                  <a:pt x="3607015" y="402590"/>
                  <a:pt x="3631565" y="402590"/>
                </a:cubicBezTo>
                <a:lnTo>
                  <a:pt x="3816983" y="402590"/>
                </a:lnTo>
                <a:cubicBezTo>
                  <a:pt x="3841533" y="402590"/>
                  <a:pt x="3861434" y="382689"/>
                  <a:pt x="3861434" y="358139"/>
                </a:cubicBezTo>
                <a:lnTo>
                  <a:pt x="3861434" y="180341"/>
                </a:lnTo>
                <a:cubicBezTo>
                  <a:pt x="3861434" y="155791"/>
                  <a:pt x="3841533" y="135890"/>
                  <a:pt x="3816983" y="135890"/>
                </a:cubicBezTo>
                <a:close/>
                <a:moveTo>
                  <a:pt x="3260090" y="135890"/>
                </a:moveTo>
                <a:cubicBezTo>
                  <a:pt x="3235540" y="135890"/>
                  <a:pt x="3215639" y="155791"/>
                  <a:pt x="3215639" y="180341"/>
                </a:cubicBezTo>
                <a:lnTo>
                  <a:pt x="3215639" y="358139"/>
                </a:lnTo>
                <a:cubicBezTo>
                  <a:pt x="3215639" y="382689"/>
                  <a:pt x="3235540" y="402590"/>
                  <a:pt x="3260090" y="402590"/>
                </a:cubicBezTo>
                <a:lnTo>
                  <a:pt x="3445508" y="402590"/>
                </a:lnTo>
                <a:cubicBezTo>
                  <a:pt x="3470058" y="402590"/>
                  <a:pt x="3489959" y="382689"/>
                  <a:pt x="3489959" y="358139"/>
                </a:cubicBezTo>
                <a:lnTo>
                  <a:pt x="3489959" y="180341"/>
                </a:lnTo>
                <a:cubicBezTo>
                  <a:pt x="3489959" y="155791"/>
                  <a:pt x="3470058" y="135890"/>
                  <a:pt x="3445508" y="135890"/>
                </a:cubicBezTo>
                <a:close/>
                <a:moveTo>
                  <a:pt x="346728" y="0"/>
                </a:moveTo>
                <a:lnTo>
                  <a:pt x="4088112" y="0"/>
                </a:lnTo>
                <a:cubicBezTo>
                  <a:pt x="4279605" y="0"/>
                  <a:pt x="4434840" y="155235"/>
                  <a:pt x="4434840" y="346728"/>
                </a:cubicBezTo>
                <a:lnTo>
                  <a:pt x="4434840" y="3013692"/>
                </a:lnTo>
                <a:cubicBezTo>
                  <a:pt x="4434840" y="3205185"/>
                  <a:pt x="4279605" y="3360420"/>
                  <a:pt x="4088112" y="3360420"/>
                </a:cubicBezTo>
                <a:lnTo>
                  <a:pt x="346728" y="3360420"/>
                </a:lnTo>
                <a:cubicBezTo>
                  <a:pt x="155235" y="3360420"/>
                  <a:pt x="0" y="3205185"/>
                  <a:pt x="0" y="3013692"/>
                </a:cubicBezTo>
                <a:lnTo>
                  <a:pt x="0" y="346728"/>
                </a:lnTo>
                <a:cubicBezTo>
                  <a:pt x="0" y="155235"/>
                  <a:pt x="155235" y="0"/>
                  <a:pt x="346728" y="0"/>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grpSp>
    <xdr:clientData/>
  </xdr:twoCellAnchor>
  <xdr:twoCellAnchor>
    <xdr:from>
      <xdr:col>9</xdr:col>
      <xdr:colOff>42300</xdr:colOff>
      <xdr:row>28</xdr:row>
      <xdr:rowOff>31758</xdr:rowOff>
    </xdr:from>
    <xdr:to>
      <xdr:col>9</xdr:col>
      <xdr:colOff>547639</xdr:colOff>
      <xdr:row>31</xdr:row>
      <xdr:rowOff>92005</xdr:rowOff>
    </xdr:to>
    <xdr:grpSp>
      <xdr:nvGrpSpPr>
        <xdr:cNvPr id="457" name="Группа 456">
          <a:extLst>
            <a:ext uri="{FF2B5EF4-FFF2-40B4-BE49-F238E27FC236}">
              <a16:creationId xmlns:a16="http://schemas.microsoft.com/office/drawing/2014/main" id="{C0EC6581-1990-612A-A85C-92E7D52DEAE4}"/>
            </a:ext>
          </a:extLst>
        </xdr:cNvPr>
        <xdr:cNvGrpSpPr/>
      </xdr:nvGrpSpPr>
      <xdr:grpSpPr>
        <a:xfrm rot="5400000">
          <a:off x="5441963" y="5098389"/>
          <a:ext cx="603845" cy="507244"/>
          <a:chOff x="2074536" y="1072624"/>
          <a:chExt cx="5932257" cy="5021213"/>
        </a:xfrm>
        <a:solidFill>
          <a:schemeClr val="accent2"/>
        </a:solidFill>
      </xdr:grpSpPr>
      <xdr:sp macro="" textlink="">
        <xdr:nvSpPr>
          <xdr:cNvPr id="458" name="Полилиния 22">
            <a:extLst>
              <a:ext uri="{FF2B5EF4-FFF2-40B4-BE49-F238E27FC236}">
                <a16:creationId xmlns:a16="http://schemas.microsoft.com/office/drawing/2014/main" id="{C72C3CE6-EBB9-E554-DA20-12ABA1DB1F9E}"/>
              </a:ext>
            </a:extLst>
          </xdr:cNvPr>
          <xdr:cNvSpPr/>
        </xdr:nvSpPr>
        <xdr:spPr>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sp macro="" textlink="">
        <xdr:nvSpPr>
          <xdr:cNvPr id="459" name="Полилиния 23">
            <a:extLst>
              <a:ext uri="{FF2B5EF4-FFF2-40B4-BE49-F238E27FC236}">
                <a16:creationId xmlns:a16="http://schemas.microsoft.com/office/drawing/2014/main" id="{F48ADA11-3E4E-26B5-544A-190DA943D21B}"/>
              </a:ext>
            </a:extLst>
          </xdr:cNvPr>
          <xdr:cNvSpPr/>
        </xdr:nvSpPr>
        <xdr:spPr>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grpSp>
    <xdr:clientData/>
  </xdr:twoCellAnchor>
  <xdr:twoCellAnchor>
    <xdr:from>
      <xdr:col>0</xdr:col>
      <xdr:colOff>0</xdr:colOff>
      <xdr:row>33</xdr:row>
      <xdr:rowOff>124239</xdr:rowOff>
    </xdr:from>
    <xdr:to>
      <xdr:col>17</xdr:col>
      <xdr:colOff>362939</xdr:colOff>
      <xdr:row>38</xdr:row>
      <xdr:rowOff>181195</xdr:rowOff>
    </xdr:to>
    <xdr:sp macro="" textlink="">
      <xdr:nvSpPr>
        <xdr:cNvPr id="476" name="Заголовок 1">
          <a:extLst>
            <a:ext uri="{FF2B5EF4-FFF2-40B4-BE49-F238E27FC236}">
              <a16:creationId xmlns:a16="http://schemas.microsoft.com/office/drawing/2014/main" id="{924590F1-9CE8-05CB-A2DD-BAB03166BD01}"/>
            </a:ext>
          </a:extLst>
        </xdr:cNvPr>
        <xdr:cNvSpPr>
          <a:spLocks noGrp="1"/>
        </xdr:cNvSpPr>
      </xdr:nvSpPr>
      <xdr:spPr>
        <a:xfrm>
          <a:off x="0" y="6137413"/>
          <a:ext cx="10782461" cy="968043"/>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ru-RU"/>
            <a:t>ОБЩИЙ ВЗГЛЯД НА </a:t>
          </a:r>
          <a:r>
            <a:rPr lang="en-US"/>
            <a:t>DEV</a:t>
          </a:r>
          <a:r>
            <a:rPr lang="en-US">
              <a:solidFill>
                <a:srgbClr val="00C3FF"/>
              </a:solidFill>
            </a:rPr>
            <a:t>SEC</a:t>
          </a:r>
          <a:r>
            <a:rPr lang="en-US"/>
            <a:t>OPS</a:t>
          </a:r>
          <a:endParaRPr lang="ru-RU"/>
        </a:p>
      </xdr:txBody>
    </xdr:sp>
    <xdr:clientData/>
  </xdr:twoCellAnchor>
  <xdr:twoCellAnchor>
    <xdr:from>
      <xdr:col>0</xdr:col>
      <xdr:colOff>131576</xdr:colOff>
      <xdr:row>45</xdr:row>
      <xdr:rowOff>97668</xdr:rowOff>
    </xdr:from>
    <xdr:to>
      <xdr:col>9</xdr:col>
      <xdr:colOff>151176</xdr:colOff>
      <xdr:row>51</xdr:row>
      <xdr:rowOff>160443</xdr:rowOff>
    </xdr:to>
    <xdr:sp macro="" textlink="">
      <xdr:nvSpPr>
        <xdr:cNvPr id="477" name="Скругленный прямоугольник 2">
          <a:extLst>
            <a:ext uri="{FF2B5EF4-FFF2-40B4-BE49-F238E27FC236}">
              <a16:creationId xmlns:a16="http://schemas.microsoft.com/office/drawing/2014/main" id="{F0F5AEFD-CFFD-34FD-9CC0-935FF882E024}"/>
            </a:ext>
          </a:extLst>
        </xdr:cNvPr>
        <xdr:cNvSpPr/>
      </xdr:nvSpPr>
      <xdr:spPr>
        <a:xfrm>
          <a:off x="131576" y="8297451"/>
          <a:ext cx="5535817" cy="1156079"/>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ИНСТРУМЕНТАЛЬНЫЙ АНАЛИЗ НА НАЛИЧИЕ ДЕФЕКТОВ ИБ</a:t>
          </a:r>
          <a:endParaRPr lang="en-US" sz="1400" b="1"/>
        </a:p>
      </xdr:txBody>
    </xdr:sp>
    <xdr:clientData/>
  </xdr:twoCellAnchor>
  <xdr:twoCellAnchor>
    <xdr:from>
      <xdr:col>0</xdr:col>
      <xdr:colOff>131568</xdr:colOff>
      <xdr:row>52</xdr:row>
      <xdr:rowOff>143013</xdr:rowOff>
    </xdr:from>
    <xdr:to>
      <xdr:col>9</xdr:col>
      <xdr:colOff>151171</xdr:colOff>
      <xdr:row>59</xdr:row>
      <xdr:rowOff>29284</xdr:rowOff>
    </xdr:to>
    <xdr:sp macro="" textlink="">
      <xdr:nvSpPr>
        <xdr:cNvPr id="478" name="Скругленный прямоугольник 3">
          <a:extLst>
            <a:ext uri="{FF2B5EF4-FFF2-40B4-BE49-F238E27FC236}">
              <a16:creationId xmlns:a16="http://schemas.microsoft.com/office/drawing/2014/main" id="{B01BF5BC-A54F-4D7A-E227-700B6F8E9B9D}"/>
            </a:ext>
          </a:extLst>
        </xdr:cNvPr>
        <xdr:cNvSpPr/>
      </xdr:nvSpPr>
      <xdr:spPr>
        <a:xfrm>
          <a:off x="131568" y="9618317"/>
          <a:ext cx="5535820" cy="1161793"/>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АНАЛИЗ ПО В РЕЖИМЕ RUNTIME - PREPROD</a:t>
          </a:r>
          <a:endParaRPr lang="en-US" sz="1400" b="1"/>
        </a:p>
      </xdr:txBody>
    </xdr:sp>
    <xdr:clientData/>
  </xdr:twoCellAnchor>
  <xdr:twoCellAnchor>
    <xdr:from>
      <xdr:col>16</xdr:col>
      <xdr:colOff>22589</xdr:colOff>
      <xdr:row>38</xdr:row>
      <xdr:rowOff>39669</xdr:rowOff>
    </xdr:from>
    <xdr:to>
      <xdr:col>18</xdr:col>
      <xdr:colOff>457374</xdr:colOff>
      <xdr:row>66</xdr:row>
      <xdr:rowOff>72721</xdr:rowOff>
    </xdr:to>
    <xdr:sp macro="" textlink="">
      <xdr:nvSpPr>
        <xdr:cNvPr id="479" name="Скругленный прямоугольник 4">
          <a:extLst>
            <a:ext uri="{FF2B5EF4-FFF2-40B4-BE49-F238E27FC236}">
              <a16:creationId xmlns:a16="http://schemas.microsoft.com/office/drawing/2014/main" id="{4D3CA224-7222-D0BB-28B9-CF753D240F8D}"/>
            </a:ext>
          </a:extLst>
        </xdr:cNvPr>
        <xdr:cNvSpPr/>
      </xdr:nvSpPr>
      <xdr:spPr>
        <a:xfrm>
          <a:off x="9829198" y="6963930"/>
          <a:ext cx="1660611" cy="5135139"/>
        </a:xfrm>
        <a:prstGeom prst="roundRect">
          <a:avLst>
            <a:gd name="adj" fmla="val 7766"/>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КОНТРОЛЬ И ФОРМИРОВАНИЕ ТРЕБОВАНИЙ ИБ К ПО</a:t>
          </a:r>
        </a:p>
      </xdr:txBody>
    </xdr:sp>
    <xdr:clientData/>
  </xdr:twoCellAnchor>
  <xdr:twoCellAnchor>
    <xdr:from>
      <xdr:col>9</xdr:col>
      <xdr:colOff>285148</xdr:colOff>
      <xdr:row>38</xdr:row>
      <xdr:rowOff>39669</xdr:rowOff>
    </xdr:from>
    <xdr:to>
      <xdr:col>15</xdr:col>
      <xdr:colOff>503436</xdr:colOff>
      <xdr:row>44</xdr:row>
      <xdr:rowOff>110064</xdr:rowOff>
    </xdr:to>
    <xdr:sp macro="" textlink="">
      <xdr:nvSpPr>
        <xdr:cNvPr id="480" name="Скругленный прямоугольник 5">
          <a:extLst>
            <a:ext uri="{FF2B5EF4-FFF2-40B4-BE49-F238E27FC236}">
              <a16:creationId xmlns:a16="http://schemas.microsoft.com/office/drawing/2014/main" id="{67A2BA24-32ED-6F0C-9ED3-1F90E1B737A1}"/>
            </a:ext>
          </a:extLst>
        </xdr:cNvPr>
        <xdr:cNvSpPr/>
      </xdr:nvSpPr>
      <xdr:spPr>
        <a:xfrm>
          <a:off x="5801365" y="6963930"/>
          <a:ext cx="3895767" cy="1163699"/>
        </a:xfrm>
        <a:prstGeom prst="roundRect">
          <a:avLst>
            <a:gd name="adj" fmla="val 1304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ОБУЧЕНИЕ И БАЗА ЗНАНИЙ</a:t>
          </a:r>
          <a:endParaRPr lang="en-US" sz="1400" b="1"/>
        </a:p>
      </xdr:txBody>
    </xdr:sp>
    <xdr:clientData/>
  </xdr:twoCellAnchor>
  <xdr:twoCellAnchor>
    <xdr:from>
      <xdr:col>9</xdr:col>
      <xdr:colOff>285148</xdr:colOff>
      <xdr:row>45</xdr:row>
      <xdr:rowOff>97668</xdr:rowOff>
    </xdr:from>
    <xdr:to>
      <xdr:col>15</xdr:col>
      <xdr:colOff>503435</xdr:colOff>
      <xdr:row>51</xdr:row>
      <xdr:rowOff>160443</xdr:rowOff>
    </xdr:to>
    <xdr:sp macro="" textlink="">
      <xdr:nvSpPr>
        <xdr:cNvPr id="481" name="Скругленный прямоугольник 6">
          <a:extLst>
            <a:ext uri="{FF2B5EF4-FFF2-40B4-BE49-F238E27FC236}">
              <a16:creationId xmlns:a16="http://schemas.microsoft.com/office/drawing/2014/main" id="{A949673E-C320-6878-EF31-191395E1C354}"/>
            </a:ext>
          </a:extLst>
        </xdr:cNvPr>
        <xdr:cNvSpPr/>
      </xdr:nvSpPr>
      <xdr:spPr>
        <a:xfrm>
          <a:off x="5801365" y="8297451"/>
          <a:ext cx="3895766" cy="1156079"/>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solidFill>
                <a:srgbClr val="001031"/>
              </a:solidFill>
              <a:latin typeface="Segoe UI" panose="020B0502040204020203" pitchFamily="34" charset="0"/>
            </a:rPr>
            <a:t>ЗАЩИТА ОКРУЖЕНИЯ РАЗРАБОТКИ</a:t>
          </a:r>
          <a:endParaRPr lang="en-US" sz="1400" b="1">
            <a:solidFill>
              <a:srgbClr val="001031"/>
            </a:solidFill>
            <a:latin typeface="Segoe UI" panose="020B0502040204020203" pitchFamily="34" charset="0"/>
          </a:endParaRPr>
        </a:p>
      </xdr:txBody>
    </xdr:sp>
    <xdr:clientData/>
  </xdr:twoCellAnchor>
  <xdr:twoCellAnchor>
    <xdr:from>
      <xdr:col>0</xdr:col>
      <xdr:colOff>131577</xdr:colOff>
      <xdr:row>38</xdr:row>
      <xdr:rowOff>46610</xdr:rowOff>
    </xdr:from>
    <xdr:to>
      <xdr:col>9</xdr:col>
      <xdr:colOff>151176</xdr:colOff>
      <xdr:row>44</xdr:row>
      <xdr:rowOff>115099</xdr:rowOff>
    </xdr:to>
    <xdr:sp macro="" textlink="">
      <xdr:nvSpPr>
        <xdr:cNvPr id="482" name="Скругленный прямоугольник 7">
          <a:extLst>
            <a:ext uri="{FF2B5EF4-FFF2-40B4-BE49-F238E27FC236}">
              <a16:creationId xmlns:a16="http://schemas.microsoft.com/office/drawing/2014/main" id="{7FA5B7AE-D3AF-7C37-0ADA-7A3620C18B1D}"/>
            </a:ext>
          </a:extLst>
        </xdr:cNvPr>
        <xdr:cNvSpPr/>
      </xdr:nvSpPr>
      <xdr:spPr>
        <a:xfrm>
          <a:off x="131577" y="6970871"/>
          <a:ext cx="5535816" cy="1161793"/>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КОНТРОЛЬ ИБ АРТЕФАКТОВ, ЗАВИСИМОСТЕЙ И ОБРАЗОВ</a:t>
          </a:r>
          <a:endParaRPr lang="en-US" sz="1400" b="1"/>
        </a:p>
      </xdr:txBody>
    </xdr:sp>
    <xdr:clientData/>
  </xdr:twoCellAnchor>
  <xdr:twoCellAnchor>
    <xdr:from>
      <xdr:col>9</xdr:col>
      <xdr:colOff>285148</xdr:colOff>
      <xdr:row>52</xdr:row>
      <xdr:rowOff>143013</xdr:rowOff>
    </xdr:from>
    <xdr:to>
      <xdr:col>15</xdr:col>
      <xdr:colOff>503436</xdr:colOff>
      <xdr:row>59</xdr:row>
      <xdr:rowOff>29285</xdr:rowOff>
    </xdr:to>
    <xdr:sp macro="" textlink="">
      <xdr:nvSpPr>
        <xdr:cNvPr id="483" name="Скругленный прямоугольник 9">
          <a:extLst>
            <a:ext uri="{FF2B5EF4-FFF2-40B4-BE49-F238E27FC236}">
              <a16:creationId xmlns:a16="http://schemas.microsoft.com/office/drawing/2014/main" id="{FA7EF3F6-5589-7A48-BAE6-B4F73E74508C}"/>
            </a:ext>
          </a:extLst>
        </xdr:cNvPr>
        <xdr:cNvSpPr/>
      </xdr:nvSpPr>
      <xdr:spPr>
        <a:xfrm>
          <a:off x="5801365" y="9618317"/>
          <a:ext cx="3895767" cy="1161794"/>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ЗАЩИТА ПО И ИНФРАСТРУКТУРЫ В РЕЖИМЕ RUNTIME</a:t>
          </a:r>
          <a:endParaRPr lang="en-US" sz="1400" b="1"/>
        </a:p>
      </xdr:txBody>
    </xdr:sp>
    <xdr:clientData/>
  </xdr:twoCellAnchor>
  <xdr:twoCellAnchor>
    <xdr:from>
      <xdr:col>12</xdr:col>
      <xdr:colOff>456793</xdr:colOff>
      <xdr:row>60</xdr:row>
      <xdr:rowOff>11854</xdr:rowOff>
    </xdr:from>
    <xdr:to>
      <xdr:col>15</xdr:col>
      <xdr:colOff>503436</xdr:colOff>
      <xdr:row>66</xdr:row>
      <xdr:rowOff>72722</xdr:rowOff>
    </xdr:to>
    <xdr:sp macro="" textlink="">
      <xdr:nvSpPr>
        <xdr:cNvPr id="484" name="Скругленный прямоугольник 10">
          <a:extLst>
            <a:ext uri="{FF2B5EF4-FFF2-40B4-BE49-F238E27FC236}">
              <a16:creationId xmlns:a16="http://schemas.microsoft.com/office/drawing/2014/main" id="{D6DCC810-C07C-ABE9-CA84-7CD292803C9E}"/>
            </a:ext>
          </a:extLst>
        </xdr:cNvPr>
        <xdr:cNvSpPr/>
      </xdr:nvSpPr>
      <xdr:spPr>
        <a:xfrm>
          <a:off x="7811750" y="10944897"/>
          <a:ext cx="1885382" cy="1154173"/>
        </a:xfrm>
        <a:prstGeom prst="roundRect">
          <a:avLst/>
        </a:prstGeom>
        <a:solidFill>
          <a:srgbClr val="FFFFFF">
            <a:alpha val="56000"/>
          </a:srgbClr>
        </a:solidFill>
        <a:ln w="6350">
          <a:solidFill>
            <a:srgbClr val="FFFFFF">
              <a:lumMod val="50000"/>
            </a:srgbClr>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solidFill>
                <a:srgbClr val="FFFFFF">
                  <a:lumMod val="65000"/>
                </a:srgbClr>
              </a:solidFill>
              <a:latin typeface="Segoe UI" panose="020B0502040204020203" pitchFamily="34" charset="0"/>
            </a:rPr>
            <a:t>СМЕЖНЫЕ</a:t>
          </a:r>
          <a:endParaRPr lang="en-US" sz="1400" b="1">
            <a:solidFill>
              <a:srgbClr val="FFFFFF">
                <a:lumMod val="65000"/>
              </a:srgbClr>
            </a:solidFill>
            <a:latin typeface="Segoe UI" panose="020B0502040204020203" pitchFamily="34" charset="0"/>
          </a:endParaRPr>
        </a:p>
        <a:p>
          <a:pPr algn="ctr"/>
          <a:r>
            <a:rPr lang="ru-RU" sz="1400" b="1">
              <a:solidFill>
                <a:srgbClr val="FFFFFF">
                  <a:lumMod val="65000"/>
                </a:srgbClr>
              </a:solidFill>
              <a:latin typeface="Segoe UI" panose="020B0502040204020203" pitchFamily="34" charset="0"/>
            </a:rPr>
            <a:t>ПРОЦЕССЫ</a:t>
          </a:r>
          <a:endParaRPr lang="en-US" sz="1400" b="1">
            <a:solidFill>
              <a:srgbClr val="FFFFFF">
                <a:lumMod val="65000"/>
              </a:srgbClr>
            </a:solidFill>
            <a:latin typeface="Segoe UI" panose="020B0502040204020203" pitchFamily="34" charset="0"/>
          </a:endParaRPr>
        </a:p>
      </xdr:txBody>
    </xdr:sp>
    <xdr:clientData/>
  </xdr:twoCellAnchor>
  <xdr:twoCellAnchor>
    <xdr:from>
      <xdr:col>3</xdr:col>
      <xdr:colOff>94921</xdr:colOff>
      <xdr:row>67</xdr:row>
      <xdr:rowOff>34274</xdr:rowOff>
    </xdr:from>
    <xdr:to>
      <xdr:col>4</xdr:col>
      <xdr:colOff>72522</xdr:colOff>
      <xdr:row>68</xdr:row>
      <xdr:rowOff>111718</xdr:rowOff>
    </xdr:to>
    <xdr:sp macro="" textlink="">
      <xdr:nvSpPr>
        <xdr:cNvPr id="485" name="Скругленный прямоугольник 12">
          <a:extLst>
            <a:ext uri="{FF2B5EF4-FFF2-40B4-BE49-F238E27FC236}">
              <a16:creationId xmlns:a16="http://schemas.microsoft.com/office/drawing/2014/main" id="{EB362337-9284-14F9-A5AF-A3AA276C7278}"/>
            </a:ext>
          </a:extLst>
        </xdr:cNvPr>
        <xdr:cNvSpPr/>
      </xdr:nvSpPr>
      <xdr:spPr bwMode="auto">
        <a:xfrm>
          <a:off x="1933660" y="12242839"/>
          <a:ext cx="590514" cy="259662"/>
        </a:xfrm>
        <a:prstGeom prst="roundRect">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4</xdr:col>
      <xdr:colOff>148721</xdr:colOff>
      <xdr:row>67</xdr:row>
      <xdr:rowOff>34274</xdr:rowOff>
    </xdr:from>
    <xdr:to>
      <xdr:col>6</xdr:col>
      <xdr:colOff>258724</xdr:colOff>
      <xdr:row>68</xdr:row>
      <xdr:rowOff>111718</xdr:rowOff>
    </xdr:to>
    <xdr:sp macro="" textlink="">
      <xdr:nvSpPr>
        <xdr:cNvPr id="486" name="TextBox 13">
          <a:extLst>
            <a:ext uri="{FF2B5EF4-FFF2-40B4-BE49-F238E27FC236}">
              <a16:creationId xmlns:a16="http://schemas.microsoft.com/office/drawing/2014/main" id="{55EF9CB1-A90B-C278-F2A1-C7E867E05CB8}"/>
            </a:ext>
          </a:extLst>
        </xdr:cNvPr>
        <xdr:cNvSpPr txBox="1"/>
      </xdr:nvSpPr>
      <xdr:spPr>
        <a:xfrm>
          <a:off x="2600373" y="12242839"/>
          <a:ext cx="1335829" cy="259662"/>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технику</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6</xdr:col>
      <xdr:colOff>476337</xdr:colOff>
      <xdr:row>67</xdr:row>
      <xdr:rowOff>34274</xdr:rowOff>
    </xdr:from>
    <xdr:to>
      <xdr:col>7</xdr:col>
      <xdr:colOff>453938</xdr:colOff>
      <xdr:row>68</xdr:row>
      <xdr:rowOff>111718</xdr:rowOff>
    </xdr:to>
    <xdr:sp macro="" textlink="">
      <xdr:nvSpPr>
        <xdr:cNvPr id="487" name="Скругленный прямоугольник 14">
          <a:extLst>
            <a:ext uri="{FF2B5EF4-FFF2-40B4-BE49-F238E27FC236}">
              <a16:creationId xmlns:a16="http://schemas.microsoft.com/office/drawing/2014/main" id="{AAF06EAF-B12D-DDC3-E3F1-8CE7157DB746}"/>
            </a:ext>
          </a:extLst>
        </xdr:cNvPr>
        <xdr:cNvSpPr/>
      </xdr:nvSpPr>
      <xdr:spPr bwMode="auto">
        <a:xfrm>
          <a:off x="4153815" y="12242839"/>
          <a:ext cx="590514" cy="259662"/>
        </a:xfrm>
        <a:prstGeom prst="roundRect">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7</xdr:col>
      <xdr:colOff>530137</xdr:colOff>
      <xdr:row>67</xdr:row>
      <xdr:rowOff>34274</xdr:rowOff>
    </xdr:from>
    <xdr:to>
      <xdr:col>10</xdr:col>
      <xdr:colOff>206508</xdr:colOff>
      <xdr:row>68</xdr:row>
      <xdr:rowOff>111718</xdr:rowOff>
    </xdr:to>
    <xdr:sp macro="" textlink="">
      <xdr:nvSpPr>
        <xdr:cNvPr id="488" name="TextBox 15">
          <a:extLst>
            <a:ext uri="{FF2B5EF4-FFF2-40B4-BE49-F238E27FC236}">
              <a16:creationId xmlns:a16="http://schemas.microsoft.com/office/drawing/2014/main" id="{3C45D2E4-EF1D-E4E2-B1A8-2A2E8CACE0FA}"/>
            </a:ext>
          </a:extLst>
        </xdr:cNvPr>
        <xdr:cNvSpPr txBox="1"/>
      </xdr:nvSpPr>
      <xdr:spPr>
        <a:xfrm>
          <a:off x="4820528" y="12242839"/>
          <a:ext cx="1515110" cy="259662"/>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процессы</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6</xdr:col>
      <xdr:colOff>422759</xdr:colOff>
      <xdr:row>60</xdr:row>
      <xdr:rowOff>11854</xdr:rowOff>
    </xdr:from>
    <xdr:to>
      <xdr:col>12</xdr:col>
      <xdr:colOff>272538</xdr:colOff>
      <xdr:row>66</xdr:row>
      <xdr:rowOff>72722</xdr:rowOff>
    </xdr:to>
    <xdr:sp macro="" textlink="">
      <xdr:nvSpPr>
        <xdr:cNvPr id="489" name="Скругленный прямоугольник 16">
          <a:extLst>
            <a:ext uri="{FF2B5EF4-FFF2-40B4-BE49-F238E27FC236}">
              <a16:creationId xmlns:a16="http://schemas.microsoft.com/office/drawing/2014/main" id="{746C4AD5-7159-63C5-4213-4CA2E3E6A090}"/>
            </a:ext>
          </a:extLst>
        </xdr:cNvPr>
        <xdr:cNvSpPr/>
      </xdr:nvSpPr>
      <xdr:spPr>
        <a:xfrm>
          <a:off x="4100237" y="10944897"/>
          <a:ext cx="3527258" cy="1154173"/>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УПРАВЛЕНИЕ ИБ ДЕФЕКТАМИ</a:t>
          </a:r>
          <a:endParaRPr lang="en-US" sz="1400" b="1"/>
        </a:p>
      </xdr:txBody>
    </xdr:sp>
    <xdr:clientData/>
  </xdr:twoCellAnchor>
  <xdr:twoCellAnchor>
    <xdr:from>
      <xdr:col>0</xdr:col>
      <xdr:colOff>131576</xdr:colOff>
      <xdr:row>60</xdr:row>
      <xdr:rowOff>11854</xdr:rowOff>
    </xdr:from>
    <xdr:to>
      <xdr:col>6</xdr:col>
      <xdr:colOff>169553</xdr:colOff>
      <xdr:row>66</xdr:row>
      <xdr:rowOff>72722</xdr:rowOff>
    </xdr:to>
    <xdr:sp macro="" textlink="">
      <xdr:nvSpPr>
        <xdr:cNvPr id="490" name="Скругленный прямоугольник 17">
          <a:extLst>
            <a:ext uri="{FF2B5EF4-FFF2-40B4-BE49-F238E27FC236}">
              <a16:creationId xmlns:a16="http://schemas.microsoft.com/office/drawing/2014/main" id="{FE594946-C8ED-0B45-CC34-F6AB7B0B7211}"/>
            </a:ext>
          </a:extLst>
        </xdr:cNvPr>
        <xdr:cNvSpPr/>
      </xdr:nvSpPr>
      <xdr:spPr>
        <a:xfrm>
          <a:off x="131576" y="10944897"/>
          <a:ext cx="3715455" cy="1154173"/>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ФУНКЦИОНАЛЬНЫЕ РОЛИ</a:t>
          </a:r>
          <a:endParaRPr lang="en-US" sz="1400" b="1"/>
        </a:p>
      </xdr:txBody>
    </xdr:sp>
    <xdr:clientData/>
  </xdr:twoCellAnchor>
  <xdr:twoCellAnchor>
    <xdr:from>
      <xdr:col>9</xdr:col>
      <xdr:colOff>13110</xdr:colOff>
      <xdr:row>71</xdr:row>
      <xdr:rowOff>115870</xdr:rowOff>
    </xdr:from>
    <xdr:to>
      <xdr:col>9</xdr:col>
      <xdr:colOff>514639</xdr:colOff>
      <xdr:row>74</xdr:row>
      <xdr:rowOff>168497</xdr:rowOff>
    </xdr:to>
    <xdr:grpSp>
      <xdr:nvGrpSpPr>
        <xdr:cNvPr id="492" name="Группа 491">
          <a:extLst>
            <a:ext uri="{FF2B5EF4-FFF2-40B4-BE49-F238E27FC236}">
              <a16:creationId xmlns:a16="http://schemas.microsoft.com/office/drawing/2014/main" id="{0C0A3415-88A9-41C0-9D3B-5496FA18CEF0}"/>
            </a:ext>
          </a:extLst>
        </xdr:cNvPr>
        <xdr:cNvGrpSpPr/>
      </xdr:nvGrpSpPr>
      <xdr:grpSpPr>
        <a:xfrm rot="5400000">
          <a:off x="5412774" y="12895957"/>
          <a:ext cx="594320" cy="493909"/>
          <a:chOff x="2074536" y="1072624"/>
          <a:chExt cx="5932257" cy="5021213"/>
        </a:xfrm>
        <a:solidFill>
          <a:schemeClr val="accent2"/>
        </a:solidFill>
      </xdr:grpSpPr>
      <xdr:sp macro="" textlink="">
        <xdr:nvSpPr>
          <xdr:cNvPr id="493" name="Полилиния 22">
            <a:extLst>
              <a:ext uri="{FF2B5EF4-FFF2-40B4-BE49-F238E27FC236}">
                <a16:creationId xmlns:a16="http://schemas.microsoft.com/office/drawing/2014/main" id="{17FAF821-B684-BBEC-5027-6466D19EC08A}"/>
              </a:ext>
            </a:extLst>
          </xdr:cNvPr>
          <xdr:cNvSpPr/>
        </xdr:nvSpPr>
        <xdr:spPr>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sp macro="" textlink="">
        <xdr:nvSpPr>
          <xdr:cNvPr id="494" name="Полилиния 23">
            <a:extLst>
              <a:ext uri="{FF2B5EF4-FFF2-40B4-BE49-F238E27FC236}">
                <a16:creationId xmlns:a16="http://schemas.microsoft.com/office/drawing/2014/main" id="{A3B8F4B0-6774-B397-CC74-612FDF43DBFE}"/>
              </a:ext>
            </a:extLst>
          </xdr:cNvPr>
          <xdr:cNvSpPr/>
        </xdr:nvSpPr>
        <xdr:spPr>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grpSp>
    <xdr:clientData/>
  </xdr:twoCellAnchor>
  <xdr:twoCellAnchor>
    <xdr:from>
      <xdr:col>16</xdr:col>
      <xdr:colOff>575098</xdr:colOff>
      <xdr:row>80</xdr:row>
      <xdr:rowOff>131465</xdr:rowOff>
    </xdr:from>
    <xdr:to>
      <xdr:col>19</xdr:col>
      <xdr:colOff>135262</xdr:colOff>
      <xdr:row>110</xdr:row>
      <xdr:rowOff>105299</xdr:rowOff>
    </xdr:to>
    <xdr:sp macro="" textlink="">
      <xdr:nvSpPr>
        <xdr:cNvPr id="551" name="Скругленный прямоугольник 30">
          <a:extLst>
            <a:ext uri="{FF2B5EF4-FFF2-40B4-BE49-F238E27FC236}">
              <a16:creationId xmlns:a16="http://schemas.microsoft.com/office/drawing/2014/main" id="{35A60A7F-4E30-F46E-E2E8-05CBD1FA808C}"/>
            </a:ext>
          </a:extLst>
        </xdr:cNvPr>
        <xdr:cNvSpPr/>
      </xdr:nvSpPr>
      <xdr:spPr>
        <a:xfrm>
          <a:off x="10256980" y="14474994"/>
          <a:ext cx="1375517" cy="5352658"/>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t>Контроль и формирование требований ИБ к ПО</a:t>
          </a:r>
          <a:endParaRPr lang="en-US" sz="1050" b="1"/>
        </a:p>
      </xdr:txBody>
    </xdr:sp>
    <xdr:clientData/>
  </xdr:twoCellAnchor>
  <xdr:twoCellAnchor>
    <xdr:from>
      <xdr:col>0</xdr:col>
      <xdr:colOff>3580</xdr:colOff>
      <xdr:row>76</xdr:row>
      <xdr:rowOff>67235</xdr:rowOff>
    </xdr:from>
    <xdr:to>
      <xdr:col>17</xdr:col>
      <xdr:colOff>504756</xdr:colOff>
      <xdr:row>81</xdr:row>
      <xdr:rowOff>133092</xdr:rowOff>
    </xdr:to>
    <xdr:sp macro="" textlink="">
      <xdr:nvSpPr>
        <xdr:cNvPr id="552" name="Заголовок 1">
          <a:extLst>
            <a:ext uri="{FF2B5EF4-FFF2-40B4-BE49-F238E27FC236}">
              <a16:creationId xmlns:a16="http://schemas.microsoft.com/office/drawing/2014/main" id="{93CFAE57-702B-80AD-A4BD-1AE04B24474A}"/>
            </a:ext>
          </a:extLst>
        </xdr:cNvPr>
        <xdr:cNvSpPr>
          <a:spLocks noGrp="1"/>
        </xdr:cNvSpPr>
      </xdr:nvSpPr>
      <xdr:spPr>
        <a:xfrm>
          <a:off x="3580" y="13693588"/>
          <a:ext cx="10788176" cy="962328"/>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ru-RU"/>
            <a:t>ОБЩИЙ ВЗГЛЯД НА </a:t>
          </a:r>
          <a:r>
            <a:rPr lang="en-US"/>
            <a:t>DEV</a:t>
          </a:r>
          <a:r>
            <a:rPr lang="en-US">
              <a:solidFill>
                <a:srgbClr val="00C3FF"/>
              </a:solidFill>
            </a:rPr>
            <a:t>SEC</a:t>
          </a:r>
          <a:r>
            <a:rPr lang="en-US"/>
            <a:t>OPS</a:t>
          </a:r>
          <a:endParaRPr lang="ru-RU"/>
        </a:p>
      </xdr:txBody>
    </xdr:sp>
    <xdr:clientData/>
  </xdr:twoCellAnchor>
  <xdr:twoCellAnchor>
    <xdr:from>
      <xdr:col>0</xdr:col>
      <xdr:colOff>8387</xdr:colOff>
      <xdr:row>85</xdr:row>
      <xdr:rowOff>193</xdr:rowOff>
    </xdr:from>
    <xdr:to>
      <xdr:col>7</xdr:col>
      <xdr:colOff>535861</xdr:colOff>
      <xdr:row>91</xdr:row>
      <xdr:rowOff>93058</xdr:rowOff>
    </xdr:to>
    <xdr:sp macro="" textlink="">
      <xdr:nvSpPr>
        <xdr:cNvPr id="553" name="Скругленный прямоугольник 2">
          <a:extLst>
            <a:ext uri="{FF2B5EF4-FFF2-40B4-BE49-F238E27FC236}">
              <a16:creationId xmlns:a16="http://schemas.microsoft.com/office/drawing/2014/main" id="{6DBCDF3A-04F4-EB06-ED9A-8D565B28E551}"/>
            </a:ext>
          </a:extLst>
        </xdr:cNvPr>
        <xdr:cNvSpPr/>
      </xdr:nvSpPr>
      <xdr:spPr>
        <a:xfrm>
          <a:off x="8387" y="15240193"/>
          <a:ext cx="4763298" cy="1168630"/>
        </a:xfrm>
        <a:prstGeom prst="roundRect">
          <a:avLst>
            <a:gd name="adj" fmla="val 10012"/>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solidFill>
                <a:srgbClr val="001031"/>
              </a:solidFill>
              <a:latin typeface="Segoe UI" panose="020B0502040204020203" pitchFamily="34" charset="0"/>
            </a:rPr>
            <a:t>Инструментальный анализ на наличие дефектов ИБ</a:t>
          </a:r>
          <a:endParaRPr lang="en-US" sz="1100" b="1">
            <a:solidFill>
              <a:srgbClr val="001031"/>
            </a:solidFill>
            <a:latin typeface="Segoe UI" panose="020B0502040204020203" pitchFamily="34" charset="0"/>
          </a:endParaRPr>
        </a:p>
      </xdr:txBody>
    </xdr:sp>
    <xdr:clientData/>
  </xdr:twoCellAnchor>
  <xdr:twoCellAnchor>
    <xdr:from>
      <xdr:col>5</xdr:col>
      <xdr:colOff>158706</xdr:colOff>
      <xdr:row>89</xdr:row>
      <xdr:rowOff>4949</xdr:rowOff>
    </xdr:from>
    <xdr:to>
      <xdr:col>7</xdr:col>
      <xdr:colOff>415708</xdr:colOff>
      <xdr:row>90</xdr:row>
      <xdr:rowOff>154452</xdr:rowOff>
    </xdr:to>
    <xdr:sp macro="" textlink="">
      <xdr:nvSpPr>
        <xdr:cNvPr id="554" name="Скругленный прямоугольник 4">
          <a:extLst>
            <a:ext uri="{FF2B5EF4-FFF2-40B4-BE49-F238E27FC236}">
              <a16:creationId xmlns:a16="http://schemas.microsoft.com/office/drawing/2014/main" id="{B4F1EB35-B17E-F8FE-4769-42359380FAAB}"/>
            </a:ext>
          </a:extLst>
        </xdr:cNvPr>
        <xdr:cNvSpPr/>
      </xdr:nvSpPr>
      <xdr:spPr>
        <a:xfrm>
          <a:off x="3184294" y="15962125"/>
          <a:ext cx="1467238" cy="328798"/>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Безопасность заказной разработки</a:t>
          </a:r>
          <a:endParaRPr lang="en-US" sz="1000"/>
        </a:p>
      </xdr:txBody>
    </xdr:sp>
    <xdr:clientData/>
  </xdr:twoCellAnchor>
  <xdr:twoCellAnchor>
    <xdr:from>
      <xdr:col>0</xdr:col>
      <xdr:colOff>93068</xdr:colOff>
      <xdr:row>88</xdr:row>
      <xdr:rowOff>174184</xdr:rowOff>
    </xdr:from>
    <xdr:to>
      <xdr:col>2</xdr:col>
      <xdr:colOff>359596</xdr:colOff>
      <xdr:row>90</xdr:row>
      <xdr:rowOff>144393</xdr:rowOff>
    </xdr:to>
    <xdr:sp macro="" textlink="">
      <xdr:nvSpPr>
        <xdr:cNvPr id="555" name="Скругленный прямоугольник 5">
          <a:extLst>
            <a:ext uri="{FF2B5EF4-FFF2-40B4-BE49-F238E27FC236}">
              <a16:creationId xmlns:a16="http://schemas.microsoft.com/office/drawing/2014/main" id="{2F35EBDF-6FAE-AD36-66F9-D9F0E8C8FBDD}"/>
            </a:ext>
          </a:extLst>
        </xdr:cNvPr>
        <xdr:cNvSpPr/>
      </xdr:nvSpPr>
      <xdr:spPr>
        <a:xfrm>
          <a:off x="93068" y="15952066"/>
          <a:ext cx="1476763" cy="328798"/>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a:t>
          </a:r>
          <a:r>
            <a:rPr lang="en-US" sz="1000"/>
            <a:t>Containerfile</a:t>
          </a:r>
        </a:p>
      </xdr:txBody>
    </xdr:sp>
    <xdr:clientData/>
  </xdr:twoCellAnchor>
  <xdr:twoCellAnchor>
    <xdr:from>
      <xdr:col>0</xdr:col>
      <xdr:colOff>93068</xdr:colOff>
      <xdr:row>86</xdr:row>
      <xdr:rowOff>122333</xdr:rowOff>
    </xdr:from>
    <xdr:to>
      <xdr:col>2</xdr:col>
      <xdr:colOff>365683</xdr:colOff>
      <xdr:row>88</xdr:row>
      <xdr:rowOff>92543</xdr:rowOff>
    </xdr:to>
    <xdr:sp macro="" textlink="">
      <xdr:nvSpPr>
        <xdr:cNvPr id="556" name="Скругленный прямоугольник 7">
          <a:extLst>
            <a:ext uri="{FF2B5EF4-FFF2-40B4-BE49-F238E27FC236}">
              <a16:creationId xmlns:a16="http://schemas.microsoft.com/office/drawing/2014/main" id="{56ED9C5F-5A21-285C-DB59-5A1A8520DCA2}"/>
            </a:ext>
          </a:extLst>
        </xdr:cNvPr>
        <xdr:cNvSpPr/>
      </xdr:nvSpPr>
      <xdr:spPr>
        <a:xfrm>
          <a:off x="93068" y="15541627"/>
          <a:ext cx="1482850" cy="328798"/>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Статический</a:t>
          </a:r>
        </a:p>
        <a:p>
          <a:pPr algn="ctr"/>
          <a:r>
            <a:rPr lang="ru-RU" sz="1000"/>
            <a:t>анализ</a:t>
          </a:r>
          <a:endParaRPr lang="en-US" sz="1000"/>
        </a:p>
      </xdr:txBody>
    </xdr:sp>
    <xdr:clientData/>
  </xdr:twoCellAnchor>
  <xdr:twoCellAnchor>
    <xdr:from>
      <xdr:col>2</xdr:col>
      <xdr:colOff>436844</xdr:colOff>
      <xdr:row>86</xdr:row>
      <xdr:rowOff>122333</xdr:rowOff>
    </xdr:from>
    <xdr:to>
      <xdr:col>5</xdr:col>
      <xdr:colOff>96721</xdr:colOff>
      <xdr:row>88</xdr:row>
      <xdr:rowOff>92543</xdr:rowOff>
    </xdr:to>
    <xdr:sp macro="" textlink="">
      <xdr:nvSpPr>
        <xdr:cNvPr id="557" name="Скругленный прямоугольник 8">
          <a:extLst>
            <a:ext uri="{FF2B5EF4-FFF2-40B4-BE49-F238E27FC236}">
              <a16:creationId xmlns:a16="http://schemas.microsoft.com/office/drawing/2014/main" id="{F9A89D04-04D7-25DB-903D-DB4588417BF9}"/>
            </a:ext>
          </a:extLst>
        </xdr:cNvPr>
        <xdr:cNvSpPr/>
      </xdr:nvSpPr>
      <xdr:spPr>
        <a:xfrm>
          <a:off x="1647079" y="15541627"/>
          <a:ext cx="1475230" cy="328798"/>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Композиционный</a:t>
          </a:r>
        </a:p>
        <a:p>
          <a:pPr algn="ctr"/>
          <a:r>
            <a:rPr lang="ru-RU" sz="1000"/>
            <a:t>анализ</a:t>
          </a:r>
          <a:endParaRPr lang="en-US" sz="1000"/>
        </a:p>
      </xdr:txBody>
    </xdr:sp>
    <xdr:clientData/>
  </xdr:twoCellAnchor>
  <xdr:twoCellAnchor>
    <xdr:from>
      <xdr:col>5</xdr:col>
      <xdr:colOff>167882</xdr:colOff>
      <xdr:row>86</xdr:row>
      <xdr:rowOff>122333</xdr:rowOff>
    </xdr:from>
    <xdr:to>
      <xdr:col>7</xdr:col>
      <xdr:colOff>430971</xdr:colOff>
      <xdr:row>88</xdr:row>
      <xdr:rowOff>92543</xdr:rowOff>
    </xdr:to>
    <xdr:sp macro="" textlink="">
      <xdr:nvSpPr>
        <xdr:cNvPr id="558" name="Скругленный прямоугольник 9">
          <a:extLst>
            <a:ext uri="{FF2B5EF4-FFF2-40B4-BE49-F238E27FC236}">
              <a16:creationId xmlns:a16="http://schemas.microsoft.com/office/drawing/2014/main" id="{14007FB0-778C-4D28-0CDA-8A9C0934B73B}"/>
            </a:ext>
          </a:extLst>
        </xdr:cNvPr>
        <xdr:cNvSpPr/>
      </xdr:nvSpPr>
      <xdr:spPr>
        <a:xfrm>
          <a:off x="3193470" y="15541627"/>
          <a:ext cx="1473325" cy="328798"/>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образов контейнеров</a:t>
          </a:r>
          <a:endParaRPr lang="en-US" sz="1000"/>
        </a:p>
      </xdr:txBody>
    </xdr:sp>
    <xdr:clientData/>
  </xdr:twoCellAnchor>
  <xdr:twoCellAnchor>
    <xdr:from>
      <xdr:col>2</xdr:col>
      <xdr:colOff>436843</xdr:colOff>
      <xdr:row>89</xdr:row>
      <xdr:rowOff>5855</xdr:rowOff>
    </xdr:from>
    <xdr:to>
      <xdr:col>5</xdr:col>
      <xdr:colOff>88728</xdr:colOff>
      <xdr:row>90</xdr:row>
      <xdr:rowOff>155358</xdr:rowOff>
    </xdr:to>
    <xdr:sp macro="" textlink="">
      <xdr:nvSpPr>
        <xdr:cNvPr id="559" name="Скругленный прямоугольник 10">
          <a:extLst>
            <a:ext uri="{FF2B5EF4-FFF2-40B4-BE49-F238E27FC236}">
              <a16:creationId xmlns:a16="http://schemas.microsoft.com/office/drawing/2014/main" id="{BC70617C-76FA-4B15-A90C-B06CAD3CC009}"/>
            </a:ext>
          </a:extLst>
        </xdr:cNvPr>
        <xdr:cNvSpPr/>
      </xdr:nvSpPr>
      <xdr:spPr>
        <a:xfrm>
          <a:off x="1647078" y="15963031"/>
          <a:ext cx="1467238" cy="328798"/>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Идентификация</a:t>
          </a:r>
        </a:p>
        <a:p>
          <a:pPr algn="ctr"/>
          <a:r>
            <a:rPr lang="ru-RU" sz="1000"/>
            <a:t>секретов</a:t>
          </a:r>
          <a:endParaRPr lang="en-US" sz="1000"/>
        </a:p>
      </xdr:txBody>
    </xdr:sp>
    <xdr:clientData/>
  </xdr:twoCellAnchor>
  <xdr:twoCellAnchor>
    <xdr:from>
      <xdr:col>7</xdr:col>
      <xdr:colOff>599193</xdr:colOff>
      <xdr:row>91</xdr:row>
      <xdr:rowOff>172142</xdr:rowOff>
    </xdr:from>
    <xdr:to>
      <xdr:col>16</xdr:col>
      <xdr:colOff>484793</xdr:colOff>
      <xdr:row>103</xdr:row>
      <xdr:rowOff>166000</xdr:rowOff>
    </xdr:to>
    <xdr:sp macro="" textlink="">
      <xdr:nvSpPr>
        <xdr:cNvPr id="560" name="Скругленный прямоугольник 11">
          <a:extLst>
            <a:ext uri="{FF2B5EF4-FFF2-40B4-BE49-F238E27FC236}">
              <a16:creationId xmlns:a16="http://schemas.microsoft.com/office/drawing/2014/main" id="{A87DEA4C-F64D-17DD-1A50-81E80B5F703A}"/>
            </a:ext>
          </a:extLst>
        </xdr:cNvPr>
        <xdr:cNvSpPr/>
      </xdr:nvSpPr>
      <xdr:spPr>
        <a:xfrm>
          <a:off x="4835017" y="16487907"/>
          <a:ext cx="5331658" cy="2145387"/>
        </a:xfrm>
        <a:prstGeom prst="roundRect">
          <a:avLst>
            <a:gd name="adj" fmla="val 6729"/>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solidFill>
                <a:srgbClr val="001031"/>
              </a:solidFill>
              <a:latin typeface="Segoe UI" panose="020B0502040204020203" pitchFamily="34" charset="0"/>
            </a:rPr>
            <a:t>Защита ПО и инфраструктуры в режиме runtime</a:t>
          </a:r>
          <a:endParaRPr lang="en-US" sz="1100" b="1">
            <a:solidFill>
              <a:srgbClr val="001031"/>
            </a:solidFill>
            <a:latin typeface="Segoe UI" panose="020B0502040204020203" pitchFamily="34" charset="0"/>
          </a:endParaRPr>
        </a:p>
      </xdr:txBody>
    </xdr:sp>
    <xdr:clientData/>
  </xdr:twoCellAnchor>
  <xdr:twoCellAnchor>
    <xdr:from>
      <xdr:col>8</xdr:col>
      <xdr:colOff>58580</xdr:colOff>
      <xdr:row>94</xdr:row>
      <xdr:rowOff>1726</xdr:rowOff>
    </xdr:from>
    <xdr:to>
      <xdr:col>10</xdr:col>
      <xdr:colOff>506039</xdr:colOff>
      <xdr:row>96</xdr:row>
      <xdr:rowOff>107457</xdr:rowOff>
    </xdr:to>
    <xdr:sp macro="" textlink="">
      <xdr:nvSpPr>
        <xdr:cNvPr id="561" name="Скругленный прямоугольник 12">
          <a:extLst>
            <a:ext uri="{FF2B5EF4-FFF2-40B4-BE49-F238E27FC236}">
              <a16:creationId xmlns:a16="http://schemas.microsoft.com/office/drawing/2014/main" id="{15E829BD-E2FE-2B04-95CA-C6012FB3165D}"/>
            </a:ext>
          </a:extLst>
        </xdr:cNvPr>
        <xdr:cNvSpPr/>
      </xdr:nvSpPr>
      <xdr:spPr>
        <a:xfrm>
          <a:off x="4899521" y="16855373"/>
          <a:ext cx="1657694" cy="46431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Управление секретами</a:t>
          </a:r>
          <a:endParaRPr lang="en-US" sz="1000"/>
        </a:p>
      </xdr:txBody>
    </xdr:sp>
    <xdr:clientData/>
  </xdr:twoCellAnchor>
  <xdr:twoCellAnchor>
    <xdr:from>
      <xdr:col>11</xdr:col>
      <xdr:colOff>16271</xdr:colOff>
      <xdr:row>93</xdr:row>
      <xdr:rowOff>174097</xdr:rowOff>
    </xdr:from>
    <xdr:to>
      <xdr:col>13</xdr:col>
      <xdr:colOff>464502</xdr:colOff>
      <xdr:row>96</xdr:row>
      <xdr:rowOff>102439</xdr:rowOff>
    </xdr:to>
    <xdr:sp macro="" textlink="">
      <xdr:nvSpPr>
        <xdr:cNvPr id="562" name="Скругленный прямоугольник 13">
          <a:extLst>
            <a:ext uri="{FF2B5EF4-FFF2-40B4-BE49-F238E27FC236}">
              <a16:creationId xmlns:a16="http://schemas.microsoft.com/office/drawing/2014/main" id="{BA314BE0-40B5-7AD8-02FA-3B3EEF998B33}"/>
            </a:ext>
          </a:extLst>
        </xdr:cNvPr>
        <xdr:cNvSpPr/>
      </xdr:nvSpPr>
      <xdr:spPr>
        <a:xfrm>
          <a:off x="6672565" y="16848450"/>
          <a:ext cx="1658466" cy="466224"/>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Динамический анализ приложений (DAST) в продуктивной среде</a:t>
          </a:r>
          <a:endParaRPr lang="en-US" sz="1000"/>
        </a:p>
      </xdr:txBody>
    </xdr:sp>
    <xdr:clientData/>
  </xdr:twoCellAnchor>
  <xdr:twoCellAnchor>
    <xdr:from>
      <xdr:col>13</xdr:col>
      <xdr:colOff>590408</xdr:colOff>
      <xdr:row>94</xdr:row>
      <xdr:rowOff>1726</xdr:rowOff>
    </xdr:from>
    <xdr:to>
      <xdr:col>16</xdr:col>
      <xdr:colOff>425902</xdr:colOff>
      <xdr:row>96</xdr:row>
      <xdr:rowOff>102439</xdr:rowOff>
    </xdr:to>
    <xdr:sp macro="" textlink="">
      <xdr:nvSpPr>
        <xdr:cNvPr id="563" name="Скругленный прямоугольник 14">
          <a:extLst>
            <a:ext uri="{FF2B5EF4-FFF2-40B4-BE49-F238E27FC236}">
              <a16:creationId xmlns:a16="http://schemas.microsoft.com/office/drawing/2014/main" id="{1C35E5B2-2E5F-B4EA-34C4-B22835B83894}"/>
            </a:ext>
          </a:extLst>
        </xdr:cNvPr>
        <xdr:cNvSpPr/>
      </xdr:nvSpPr>
      <xdr:spPr>
        <a:xfrm>
          <a:off x="8456937" y="16855373"/>
          <a:ext cx="1650847" cy="45930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Тестирование на проникновение продуктивной среды</a:t>
          </a:r>
          <a:endParaRPr lang="en-US" sz="1000"/>
        </a:p>
      </xdr:txBody>
    </xdr:sp>
    <xdr:clientData/>
  </xdr:twoCellAnchor>
  <xdr:twoCellAnchor>
    <xdr:from>
      <xdr:col>8</xdr:col>
      <xdr:colOff>58580</xdr:colOff>
      <xdr:row>97</xdr:row>
      <xdr:rowOff>86120</xdr:rowOff>
    </xdr:from>
    <xdr:to>
      <xdr:col>10</xdr:col>
      <xdr:colOff>497287</xdr:colOff>
      <xdr:row>100</xdr:row>
      <xdr:rowOff>20176</xdr:rowOff>
    </xdr:to>
    <xdr:sp macro="" textlink="">
      <xdr:nvSpPr>
        <xdr:cNvPr id="564" name="Скругленный прямоугольник 15">
          <a:extLst>
            <a:ext uri="{FF2B5EF4-FFF2-40B4-BE49-F238E27FC236}">
              <a16:creationId xmlns:a16="http://schemas.microsoft.com/office/drawing/2014/main" id="{892AA0C3-E55E-AD45-3D2B-6A1B8BFF9E7B}"/>
            </a:ext>
          </a:extLst>
        </xdr:cNvPr>
        <xdr:cNvSpPr/>
      </xdr:nvSpPr>
      <xdr:spPr>
        <a:xfrm>
          <a:off x="4899521" y="17477649"/>
          <a:ext cx="1648942" cy="47193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Управление изменениями инфраструктуры и доступом к ней</a:t>
          </a:r>
          <a:endParaRPr lang="en-US" sz="1000"/>
        </a:p>
      </xdr:txBody>
    </xdr:sp>
    <xdr:clientData/>
  </xdr:twoCellAnchor>
  <xdr:twoCellAnchor>
    <xdr:from>
      <xdr:col>10</xdr:col>
      <xdr:colOff>360045</xdr:colOff>
      <xdr:row>104</xdr:row>
      <xdr:rowOff>107315</xdr:rowOff>
    </xdr:from>
    <xdr:to>
      <xdr:col>13</xdr:col>
      <xdr:colOff>588645</xdr:colOff>
      <xdr:row>110</xdr:row>
      <xdr:rowOff>94398</xdr:rowOff>
    </xdr:to>
    <xdr:sp macro="" textlink="">
      <xdr:nvSpPr>
        <xdr:cNvPr id="565" name="Скругленный прямоугольник 16">
          <a:extLst>
            <a:ext uri="{FF2B5EF4-FFF2-40B4-BE49-F238E27FC236}">
              <a16:creationId xmlns:a16="http://schemas.microsoft.com/office/drawing/2014/main" id="{AB4B35A2-B552-E424-A84C-C65A811DCC91}"/>
            </a:ext>
          </a:extLst>
        </xdr:cNvPr>
        <xdr:cNvSpPr/>
      </xdr:nvSpPr>
      <xdr:spPr>
        <a:xfrm>
          <a:off x="6456045" y="18928715"/>
          <a:ext cx="2057400" cy="1072933"/>
        </a:xfrm>
        <a:prstGeom prst="roundRect">
          <a:avLst>
            <a:gd name="adj" fmla="val 478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solidFill>
                <a:srgbClr val="001031"/>
              </a:solidFill>
              <a:latin typeface="Segoe UI" panose="020B0502040204020203" pitchFamily="34" charset="0"/>
            </a:rPr>
            <a:t>Управление ИБ дефектами</a:t>
          </a:r>
          <a:endParaRPr lang="en-US" sz="1050" b="1">
            <a:solidFill>
              <a:srgbClr val="001031"/>
            </a:solidFill>
            <a:latin typeface="Segoe UI" panose="020B0502040204020203" pitchFamily="34" charset="0"/>
          </a:endParaRPr>
        </a:p>
      </xdr:txBody>
    </xdr:sp>
    <xdr:clientData/>
  </xdr:twoCellAnchor>
  <xdr:twoCellAnchor>
    <xdr:from>
      <xdr:col>7</xdr:col>
      <xdr:colOff>46318</xdr:colOff>
      <xdr:row>108</xdr:row>
      <xdr:rowOff>7396</xdr:rowOff>
    </xdr:from>
    <xdr:to>
      <xdr:col>10</xdr:col>
      <xdr:colOff>88827</xdr:colOff>
      <xdr:row>109</xdr:row>
      <xdr:rowOff>158580</xdr:rowOff>
    </xdr:to>
    <xdr:sp macro="" textlink="">
      <xdr:nvSpPr>
        <xdr:cNvPr id="566" name="Скругленный прямоугольник 17">
          <a:extLst>
            <a:ext uri="{FF2B5EF4-FFF2-40B4-BE49-F238E27FC236}">
              <a16:creationId xmlns:a16="http://schemas.microsoft.com/office/drawing/2014/main" id="{C481F3C6-BCAF-7BC4-9781-91CB244355EB}"/>
            </a:ext>
          </a:extLst>
        </xdr:cNvPr>
        <xdr:cNvSpPr/>
      </xdr:nvSpPr>
      <xdr:spPr>
        <a:xfrm>
          <a:off x="4313518" y="19552696"/>
          <a:ext cx="1871309" cy="332159"/>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Управление набором метрик ИБ</a:t>
          </a:r>
        </a:p>
      </xdr:txBody>
    </xdr:sp>
    <xdr:clientData/>
  </xdr:twoCellAnchor>
  <xdr:twoCellAnchor>
    <xdr:from>
      <xdr:col>10</xdr:col>
      <xdr:colOff>477593</xdr:colOff>
      <xdr:row>106</xdr:row>
      <xdr:rowOff>6397</xdr:rowOff>
    </xdr:from>
    <xdr:to>
      <xdr:col>13</xdr:col>
      <xdr:colOff>514387</xdr:colOff>
      <xdr:row>107</xdr:row>
      <xdr:rowOff>161616</xdr:rowOff>
    </xdr:to>
    <xdr:sp macro="" textlink="">
      <xdr:nvSpPr>
        <xdr:cNvPr id="567" name="Скругленный прямоугольник 18">
          <a:extLst>
            <a:ext uri="{FF2B5EF4-FFF2-40B4-BE49-F238E27FC236}">
              <a16:creationId xmlns:a16="http://schemas.microsoft.com/office/drawing/2014/main" id="{C6AF3939-CE00-F7FE-62E2-68242081F16B}"/>
            </a:ext>
          </a:extLst>
        </xdr:cNvPr>
        <xdr:cNvSpPr/>
      </xdr:nvSpPr>
      <xdr:spPr>
        <a:xfrm>
          <a:off x="6573593" y="19189747"/>
          <a:ext cx="1865594" cy="336194"/>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Консолидация дефектов ИБ</a:t>
          </a:r>
          <a:endParaRPr lang="en-US" sz="1050">
            <a:solidFill>
              <a:srgbClr val="001031"/>
            </a:solidFill>
            <a:latin typeface="Segoe UI" panose="020B0502040204020203" pitchFamily="34" charset="0"/>
          </a:endParaRPr>
        </a:p>
      </xdr:txBody>
    </xdr:sp>
    <xdr:clientData/>
  </xdr:twoCellAnchor>
  <xdr:twoCellAnchor>
    <xdr:from>
      <xdr:col>10</xdr:col>
      <xdr:colOff>478416</xdr:colOff>
      <xdr:row>108</xdr:row>
      <xdr:rowOff>29257</xdr:rowOff>
    </xdr:from>
    <xdr:to>
      <xdr:col>13</xdr:col>
      <xdr:colOff>515209</xdr:colOff>
      <xdr:row>109</xdr:row>
      <xdr:rowOff>180666</xdr:rowOff>
    </xdr:to>
    <xdr:sp macro="" textlink="">
      <xdr:nvSpPr>
        <xdr:cNvPr id="568" name="Скругленный прямоугольник 19">
          <a:extLst>
            <a:ext uri="{FF2B5EF4-FFF2-40B4-BE49-F238E27FC236}">
              <a16:creationId xmlns:a16="http://schemas.microsoft.com/office/drawing/2014/main" id="{A7E02AD6-3790-22B9-E84E-49FB596F4331}"/>
            </a:ext>
          </a:extLst>
        </xdr:cNvPr>
        <xdr:cNvSpPr/>
      </xdr:nvSpPr>
      <xdr:spPr>
        <a:xfrm>
          <a:off x="6574416" y="19574557"/>
          <a:ext cx="1865593" cy="332384"/>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Обработка дефектов ИБ</a:t>
          </a:r>
        </a:p>
      </xdr:txBody>
    </xdr:sp>
    <xdr:clientData/>
  </xdr:twoCellAnchor>
  <xdr:twoCellAnchor>
    <xdr:from>
      <xdr:col>8</xdr:col>
      <xdr:colOff>30565</xdr:colOff>
      <xdr:row>85</xdr:row>
      <xdr:rowOff>5454</xdr:rowOff>
    </xdr:from>
    <xdr:to>
      <xdr:col>16</xdr:col>
      <xdr:colOff>484793</xdr:colOff>
      <xdr:row>91</xdr:row>
      <xdr:rowOff>86435</xdr:rowOff>
    </xdr:to>
    <xdr:grpSp>
      <xdr:nvGrpSpPr>
        <xdr:cNvPr id="569" name="Группа 568">
          <a:extLst>
            <a:ext uri="{FF2B5EF4-FFF2-40B4-BE49-F238E27FC236}">
              <a16:creationId xmlns:a16="http://schemas.microsoft.com/office/drawing/2014/main" id="{79AA6885-BEFF-EF59-102F-D7186FCC5100}"/>
            </a:ext>
          </a:extLst>
        </xdr:cNvPr>
        <xdr:cNvGrpSpPr/>
      </xdr:nvGrpSpPr>
      <xdr:grpSpPr>
        <a:xfrm>
          <a:off x="4869601" y="15247359"/>
          <a:ext cx="5295169" cy="1156746"/>
          <a:chOff x="6156202" y="850429"/>
          <a:chExt cx="3712432" cy="1183104"/>
        </a:xfrm>
      </xdr:grpSpPr>
      <xdr:sp macro="" textlink="">
        <xdr:nvSpPr>
          <xdr:cNvPr id="599" name="Прямоугольник 22">
            <a:extLst>
              <a:ext uri="{FF2B5EF4-FFF2-40B4-BE49-F238E27FC236}">
                <a16:creationId xmlns:a16="http://schemas.microsoft.com/office/drawing/2014/main" id="{AE176F60-8ED3-6091-3684-F003031378B4}"/>
              </a:ext>
            </a:extLst>
          </xdr:cNvPr>
          <xdr:cNvSpPr/>
        </xdr:nvSpPr>
        <xdr:spPr>
          <a:xfrm>
            <a:off x="6156202" y="850429"/>
            <a:ext cx="3712432" cy="1183104"/>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t>Защита окружения разработки</a:t>
            </a:r>
            <a:endParaRPr lang="en-US" sz="1100" b="1"/>
          </a:p>
        </xdr:txBody>
      </xdr:sp>
      <xdr:grpSp>
        <xdr:nvGrpSpPr>
          <xdr:cNvPr id="600" name="Группа 599">
            <a:extLst>
              <a:ext uri="{FF2B5EF4-FFF2-40B4-BE49-F238E27FC236}">
                <a16:creationId xmlns:a16="http://schemas.microsoft.com/office/drawing/2014/main" id="{FDCC2BAB-DCE9-4AEF-B78C-36AB9142CEE0}"/>
              </a:ext>
            </a:extLst>
          </xdr:cNvPr>
          <xdr:cNvGrpSpPr/>
        </xdr:nvGrpSpPr>
        <xdr:grpSpPr>
          <a:xfrm>
            <a:off x="6217657" y="1139691"/>
            <a:ext cx="3592054" cy="786152"/>
            <a:chOff x="6251215" y="1139691"/>
            <a:chExt cx="3419506" cy="786152"/>
          </a:xfrm>
        </xdr:grpSpPr>
        <xdr:sp macro="" textlink="">
          <xdr:nvSpPr>
            <xdr:cNvPr id="601" name="Прямоугольник 24">
              <a:extLst>
                <a:ext uri="{FF2B5EF4-FFF2-40B4-BE49-F238E27FC236}">
                  <a16:creationId xmlns:a16="http://schemas.microsoft.com/office/drawing/2014/main" id="{5D8BD1A9-449C-2F30-F383-18EC9D0A995C}"/>
                </a:ext>
              </a:extLst>
            </xdr:cNvPr>
            <xdr:cNvSpPr/>
          </xdr:nvSpPr>
          <xdr:spPr>
            <a:xfrm>
              <a:off x="7417568" y="1592051"/>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секретов</a:t>
              </a:r>
              <a:endParaRPr lang="en-US" sz="1000"/>
            </a:p>
          </xdr:txBody>
        </xdr:sp>
        <xdr:sp macro="" textlink="">
          <xdr:nvSpPr>
            <xdr:cNvPr id="602" name="Прямоугольник 25">
              <a:extLst>
                <a:ext uri="{FF2B5EF4-FFF2-40B4-BE49-F238E27FC236}">
                  <a16:creationId xmlns:a16="http://schemas.microsoft.com/office/drawing/2014/main" id="{4AF94D6E-354A-074A-ACDA-3997DFBF8F4D}"/>
                </a:ext>
              </a:extLst>
            </xdr:cNvPr>
            <xdr:cNvSpPr/>
          </xdr:nvSpPr>
          <xdr:spPr>
            <a:xfrm>
              <a:off x="6251215" y="1575101"/>
              <a:ext cx="1088385" cy="33379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рабочих мест разработчика</a:t>
              </a:r>
              <a:endParaRPr lang="en-US" sz="1000"/>
            </a:p>
          </xdr:txBody>
        </xdr:sp>
        <xdr:sp macro="" textlink="">
          <xdr:nvSpPr>
            <xdr:cNvPr id="603" name="Прямоугольник 24">
              <a:extLst>
                <a:ext uri="{FF2B5EF4-FFF2-40B4-BE49-F238E27FC236}">
                  <a16:creationId xmlns:a16="http://schemas.microsoft.com/office/drawing/2014/main" id="{09324F6C-FB03-A784-67F3-858B5DD206A3}"/>
                </a:ext>
              </a:extLst>
            </xdr:cNvPr>
            <xdr:cNvSpPr/>
          </xdr:nvSpPr>
          <xdr:spPr>
            <a:xfrm>
              <a:off x="8576630" y="1586689"/>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a:t>
              </a:r>
              <a:r>
                <a:rPr lang="en-US" sz="1000"/>
                <a:t>Build-</a:t>
              </a:r>
              <a:r>
                <a:rPr lang="ru-RU" sz="1000"/>
                <a:t>среды</a:t>
              </a:r>
              <a:endParaRPr lang="en-US" sz="1000"/>
            </a:p>
          </xdr:txBody>
        </xdr:sp>
        <xdr:sp macro="" textlink="">
          <xdr:nvSpPr>
            <xdr:cNvPr id="604" name="Прямоугольник 24">
              <a:extLst>
                <a:ext uri="{FF2B5EF4-FFF2-40B4-BE49-F238E27FC236}">
                  <a16:creationId xmlns:a16="http://schemas.microsoft.com/office/drawing/2014/main" id="{F1AF1EF1-7CF8-A106-F4DF-CC257546C1C8}"/>
                </a:ext>
              </a:extLst>
            </xdr:cNvPr>
            <xdr:cNvSpPr/>
          </xdr:nvSpPr>
          <xdr:spPr>
            <a:xfrm>
              <a:off x="7417568" y="1160005"/>
              <a:ext cx="1088385" cy="33379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fr-FR" sz="1000"/>
                <a:t>Защита source code management (SCM)</a:t>
              </a:r>
              <a:endParaRPr lang="en-US" sz="1000"/>
            </a:p>
          </xdr:txBody>
        </xdr:sp>
        <xdr:sp macro="" textlink="">
          <xdr:nvSpPr>
            <xdr:cNvPr id="605" name="Прямоугольник 24">
              <a:extLst>
                <a:ext uri="{FF2B5EF4-FFF2-40B4-BE49-F238E27FC236}">
                  <a16:creationId xmlns:a16="http://schemas.microsoft.com/office/drawing/2014/main" id="{AB7AFE15-F582-D32A-F04E-EAE76A7DAB88}"/>
                </a:ext>
              </a:extLst>
            </xdr:cNvPr>
            <xdr:cNvSpPr/>
          </xdr:nvSpPr>
          <xdr:spPr>
            <a:xfrm>
              <a:off x="6252801" y="1139691"/>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Контроль внесения изменений в исходный код</a:t>
              </a:r>
              <a:endParaRPr lang="en-US" sz="1000"/>
            </a:p>
          </xdr:txBody>
        </xdr:sp>
        <xdr:sp macro="" textlink="">
          <xdr:nvSpPr>
            <xdr:cNvPr id="606" name="Прямоугольник 24">
              <a:extLst>
                <a:ext uri="{FF2B5EF4-FFF2-40B4-BE49-F238E27FC236}">
                  <a16:creationId xmlns:a16="http://schemas.microsoft.com/office/drawing/2014/main" id="{4939E31C-F973-8C77-CA4F-81DDE4A3BCA1}"/>
                </a:ext>
              </a:extLst>
            </xdr:cNvPr>
            <xdr:cNvSpPr/>
          </xdr:nvSpPr>
          <xdr:spPr>
            <a:xfrm>
              <a:off x="8582336" y="1169534"/>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конвейера сборки</a:t>
              </a:r>
              <a:endParaRPr lang="en-US" sz="1000"/>
            </a:p>
          </xdr:txBody>
        </xdr:sp>
      </xdr:grpSp>
    </xdr:grpSp>
    <xdr:clientData/>
  </xdr:twoCellAnchor>
  <xdr:twoCellAnchor>
    <xdr:from>
      <xdr:col>0</xdr:col>
      <xdr:colOff>8387</xdr:colOff>
      <xdr:row>80</xdr:row>
      <xdr:rowOff>131465</xdr:rowOff>
    </xdr:from>
    <xdr:to>
      <xdr:col>7</xdr:col>
      <xdr:colOff>535861</xdr:colOff>
      <xdr:row>84</xdr:row>
      <xdr:rowOff>95207</xdr:rowOff>
    </xdr:to>
    <xdr:sp macro="" textlink="">
      <xdr:nvSpPr>
        <xdr:cNvPr id="570" name="Скругленный прямоугольник 26">
          <a:extLst>
            <a:ext uri="{FF2B5EF4-FFF2-40B4-BE49-F238E27FC236}">
              <a16:creationId xmlns:a16="http://schemas.microsoft.com/office/drawing/2014/main" id="{BF026066-9CEC-FFB6-6E9D-9D17344D6007}"/>
            </a:ext>
          </a:extLst>
        </xdr:cNvPr>
        <xdr:cNvSpPr/>
      </xdr:nvSpPr>
      <xdr:spPr>
        <a:xfrm>
          <a:off x="8387" y="14474994"/>
          <a:ext cx="4763298" cy="680919"/>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t>Контроль ИБ артефактов, зависимостей и образов</a:t>
          </a:r>
          <a:endParaRPr lang="en-US" sz="1100" b="1"/>
        </a:p>
      </xdr:txBody>
    </xdr:sp>
    <xdr:clientData/>
  </xdr:twoCellAnchor>
  <xdr:twoCellAnchor>
    <xdr:from>
      <xdr:col>0</xdr:col>
      <xdr:colOff>86696</xdr:colOff>
      <xdr:row>82</xdr:row>
      <xdr:rowOff>20753</xdr:rowOff>
    </xdr:from>
    <xdr:to>
      <xdr:col>7</xdr:col>
      <xdr:colOff>417614</xdr:colOff>
      <xdr:row>83</xdr:row>
      <xdr:rowOff>172849</xdr:rowOff>
    </xdr:to>
    <xdr:grpSp>
      <xdr:nvGrpSpPr>
        <xdr:cNvPr id="571" name="Группа 570">
          <a:extLst>
            <a:ext uri="{FF2B5EF4-FFF2-40B4-BE49-F238E27FC236}">
              <a16:creationId xmlns:a16="http://schemas.microsoft.com/office/drawing/2014/main" id="{CA607A35-35B0-B110-7E65-9AD277FD2DA5}"/>
            </a:ext>
          </a:extLst>
        </xdr:cNvPr>
        <xdr:cNvGrpSpPr/>
      </xdr:nvGrpSpPr>
      <xdr:grpSpPr>
        <a:xfrm>
          <a:off x="88601" y="14719061"/>
          <a:ext cx="4564837" cy="331390"/>
          <a:chOff x="691001" y="1467902"/>
          <a:chExt cx="4767883" cy="334493"/>
        </a:xfrm>
      </xdr:grpSpPr>
      <xdr:sp macro="" textlink="">
        <xdr:nvSpPr>
          <xdr:cNvPr id="597" name="Прямоугольник 28">
            <a:extLst>
              <a:ext uri="{FF2B5EF4-FFF2-40B4-BE49-F238E27FC236}">
                <a16:creationId xmlns:a16="http://schemas.microsoft.com/office/drawing/2014/main" id="{8FDEC519-D8F6-19CC-7021-3F9528A946AF}"/>
              </a:ext>
            </a:extLst>
          </xdr:cNvPr>
          <xdr:cNvSpPr/>
        </xdr:nvSpPr>
        <xdr:spPr>
          <a:xfrm>
            <a:off x="691001" y="1468603"/>
            <a:ext cx="2213047"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Контроль использования сторонних компонентов</a:t>
            </a:r>
            <a:endParaRPr lang="en-US" sz="1000"/>
          </a:p>
        </xdr:txBody>
      </xdr:sp>
      <xdr:sp macro="" textlink="">
        <xdr:nvSpPr>
          <xdr:cNvPr id="598" name="Прямоугольник 29">
            <a:extLst>
              <a:ext uri="{FF2B5EF4-FFF2-40B4-BE49-F238E27FC236}">
                <a16:creationId xmlns:a16="http://schemas.microsoft.com/office/drawing/2014/main" id="{42892179-85EA-732B-F1B6-061DA2987551}"/>
              </a:ext>
            </a:extLst>
          </xdr:cNvPr>
          <xdr:cNvSpPr/>
        </xdr:nvSpPr>
        <xdr:spPr>
          <a:xfrm>
            <a:off x="3245837" y="1467902"/>
            <a:ext cx="2213047"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Управление артефактами</a:t>
            </a:r>
          </a:p>
        </xdr:txBody>
      </xdr:sp>
    </xdr:grpSp>
    <xdr:clientData/>
  </xdr:twoCellAnchor>
  <xdr:twoCellAnchor>
    <xdr:from>
      <xdr:col>8</xdr:col>
      <xdr:colOff>58580</xdr:colOff>
      <xdr:row>80</xdr:row>
      <xdr:rowOff>126265</xdr:rowOff>
    </xdr:from>
    <xdr:to>
      <xdr:col>16</xdr:col>
      <xdr:colOff>478837</xdr:colOff>
      <xdr:row>84</xdr:row>
      <xdr:rowOff>97089</xdr:rowOff>
    </xdr:to>
    <xdr:sp macro="" textlink="">
      <xdr:nvSpPr>
        <xdr:cNvPr id="572" name="Скругленный прямоугольник 30">
          <a:extLst>
            <a:ext uri="{FF2B5EF4-FFF2-40B4-BE49-F238E27FC236}">
              <a16:creationId xmlns:a16="http://schemas.microsoft.com/office/drawing/2014/main" id="{96E26FF0-AF79-03AC-AAEB-EFE94BE4AAA0}"/>
            </a:ext>
          </a:extLst>
        </xdr:cNvPr>
        <xdr:cNvSpPr/>
      </xdr:nvSpPr>
      <xdr:spPr>
        <a:xfrm>
          <a:off x="4899521" y="14469794"/>
          <a:ext cx="5261198" cy="688001"/>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t>Обучение и база знаний</a:t>
          </a:r>
          <a:endParaRPr lang="en-US" sz="1050" b="1"/>
        </a:p>
      </xdr:txBody>
    </xdr:sp>
    <xdr:clientData/>
  </xdr:twoCellAnchor>
  <xdr:twoCellAnchor>
    <xdr:from>
      <xdr:col>0</xdr:col>
      <xdr:colOff>0</xdr:colOff>
      <xdr:row>104</xdr:row>
      <xdr:rowOff>80080</xdr:rowOff>
    </xdr:from>
    <xdr:to>
      <xdr:col>6</xdr:col>
      <xdr:colOff>315450</xdr:colOff>
      <xdr:row>110</xdr:row>
      <xdr:rowOff>84873</xdr:rowOff>
    </xdr:to>
    <xdr:sp macro="" textlink="">
      <xdr:nvSpPr>
        <xdr:cNvPr id="573" name="Скругленный прямоугольник 31">
          <a:extLst>
            <a:ext uri="{FF2B5EF4-FFF2-40B4-BE49-F238E27FC236}">
              <a16:creationId xmlns:a16="http://schemas.microsoft.com/office/drawing/2014/main" id="{59820FFF-A455-968A-73DF-AEF1312A0A8D}"/>
            </a:ext>
          </a:extLst>
        </xdr:cNvPr>
        <xdr:cNvSpPr/>
      </xdr:nvSpPr>
      <xdr:spPr>
        <a:xfrm>
          <a:off x="0" y="18726668"/>
          <a:ext cx="3946156" cy="1080558"/>
        </a:xfrm>
        <a:prstGeom prst="roundRect">
          <a:avLst>
            <a:gd name="adj" fmla="val 108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solidFill>
                <a:srgbClr val="001031"/>
              </a:solidFill>
              <a:latin typeface="Segoe UI" panose="020B0502040204020203" pitchFamily="34" charset="0"/>
            </a:rPr>
            <a:t>Функциональные роли</a:t>
          </a:r>
          <a:endParaRPr lang="en-US" sz="1050" b="1">
            <a:solidFill>
              <a:srgbClr val="001031"/>
            </a:solidFill>
            <a:latin typeface="Segoe UI" panose="020B0502040204020203" pitchFamily="34" charset="0"/>
          </a:endParaRPr>
        </a:p>
      </xdr:txBody>
    </xdr:sp>
    <xdr:clientData/>
  </xdr:twoCellAnchor>
  <xdr:twoCellAnchor>
    <xdr:from>
      <xdr:col>8</xdr:col>
      <xdr:colOff>124404</xdr:colOff>
      <xdr:row>81</xdr:row>
      <xdr:rowOff>169403</xdr:rowOff>
    </xdr:from>
    <xdr:to>
      <xdr:col>11</xdr:col>
      <xdr:colOff>360920</xdr:colOff>
      <xdr:row>83</xdr:row>
      <xdr:rowOff>122236</xdr:rowOff>
    </xdr:to>
    <xdr:sp macro="" textlink="">
      <xdr:nvSpPr>
        <xdr:cNvPr id="574" name="Скругленный прямоугольник 32">
          <a:extLst>
            <a:ext uri="{FF2B5EF4-FFF2-40B4-BE49-F238E27FC236}">
              <a16:creationId xmlns:a16="http://schemas.microsoft.com/office/drawing/2014/main" id="{62D1C992-6D3C-32B2-DC1C-B81DB1871EE8}"/>
            </a:ext>
          </a:extLst>
        </xdr:cNvPr>
        <xdr:cNvSpPr/>
      </xdr:nvSpPr>
      <xdr:spPr>
        <a:xfrm>
          <a:off x="4965345" y="14692227"/>
          <a:ext cx="2051869" cy="311421"/>
        </a:xfrm>
        <a:prstGeom prst="roundRect">
          <a:avLst>
            <a:gd name="adj" fmla="val 207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Обучение </a:t>
          </a:r>
          <a:r>
            <a:rPr lang="en-US" sz="1050"/>
            <a:t>Dev, Sec </a:t>
          </a:r>
          <a:r>
            <a:rPr lang="ru-RU" sz="1050"/>
            <a:t>и </a:t>
          </a:r>
          <a:r>
            <a:rPr lang="en-US" sz="1050"/>
            <a:t>Ops</a:t>
          </a:r>
        </a:p>
      </xdr:txBody>
    </xdr:sp>
    <xdr:clientData/>
  </xdr:twoCellAnchor>
  <xdr:twoCellAnchor>
    <xdr:from>
      <xdr:col>0</xdr:col>
      <xdr:colOff>110499</xdr:colOff>
      <xdr:row>106</xdr:row>
      <xdr:rowOff>124684</xdr:rowOff>
    </xdr:from>
    <xdr:to>
      <xdr:col>3</xdr:col>
      <xdr:colOff>7732</xdr:colOff>
      <xdr:row>109</xdr:row>
      <xdr:rowOff>49216</xdr:rowOff>
    </xdr:to>
    <xdr:sp macro="" textlink="">
      <xdr:nvSpPr>
        <xdr:cNvPr id="575" name="Скругленный прямоугольник 33">
          <a:extLst>
            <a:ext uri="{FF2B5EF4-FFF2-40B4-BE49-F238E27FC236}">
              <a16:creationId xmlns:a16="http://schemas.microsoft.com/office/drawing/2014/main" id="{850D1F97-01CA-0DBB-F5C1-7084AF460817}"/>
            </a:ext>
          </a:extLst>
        </xdr:cNvPr>
        <xdr:cNvSpPr/>
      </xdr:nvSpPr>
      <xdr:spPr>
        <a:xfrm>
          <a:off x="110499" y="19129860"/>
          <a:ext cx="1712586" cy="462415"/>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050">
              <a:solidFill>
                <a:srgbClr val="001031"/>
              </a:solidFill>
              <a:latin typeface="Segoe UI" panose="020B0502040204020203" pitchFamily="34" charset="0"/>
            </a:rPr>
            <a:t>Security Champions</a:t>
          </a:r>
        </a:p>
      </xdr:txBody>
    </xdr:sp>
    <xdr:clientData/>
  </xdr:twoCellAnchor>
  <xdr:twoCellAnchor>
    <xdr:from>
      <xdr:col>13</xdr:col>
      <xdr:colOff>132002</xdr:colOff>
      <xdr:row>81</xdr:row>
      <xdr:rowOff>163280</xdr:rowOff>
    </xdr:from>
    <xdr:to>
      <xdr:col>16</xdr:col>
      <xdr:colOff>368518</xdr:colOff>
      <xdr:row>83</xdr:row>
      <xdr:rowOff>136989</xdr:rowOff>
    </xdr:to>
    <xdr:sp macro="" textlink="">
      <xdr:nvSpPr>
        <xdr:cNvPr id="576" name="Скругленный прямоугольник 34">
          <a:extLst>
            <a:ext uri="{FF2B5EF4-FFF2-40B4-BE49-F238E27FC236}">
              <a16:creationId xmlns:a16="http://schemas.microsoft.com/office/drawing/2014/main" id="{033A41F7-2538-C5C9-62D2-511697E5E71E}"/>
            </a:ext>
          </a:extLst>
        </xdr:cNvPr>
        <xdr:cNvSpPr/>
      </xdr:nvSpPr>
      <xdr:spPr>
        <a:xfrm>
          <a:off x="7998531" y="14686104"/>
          <a:ext cx="2051869" cy="332297"/>
        </a:xfrm>
        <a:prstGeom prst="roundRect">
          <a:avLst>
            <a:gd name="adj" fmla="val 1803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Управление</a:t>
          </a:r>
        </a:p>
        <a:p>
          <a:pPr algn="ctr"/>
          <a:r>
            <a:rPr lang="ru-RU" sz="1050"/>
            <a:t>базой знаний</a:t>
          </a:r>
          <a:endParaRPr lang="en-US" sz="1050"/>
        </a:p>
      </xdr:txBody>
    </xdr:sp>
    <xdr:clientData/>
  </xdr:twoCellAnchor>
  <xdr:twoCellAnchor>
    <xdr:from>
      <xdr:col>3</xdr:col>
      <xdr:colOff>116326</xdr:colOff>
      <xdr:row>106</xdr:row>
      <xdr:rowOff>130614</xdr:rowOff>
    </xdr:from>
    <xdr:to>
      <xdr:col>6</xdr:col>
      <xdr:colOff>221014</xdr:colOff>
      <xdr:row>109</xdr:row>
      <xdr:rowOff>62767</xdr:rowOff>
    </xdr:to>
    <xdr:sp macro="" textlink="">
      <xdr:nvSpPr>
        <xdr:cNvPr id="577" name="Скругленный прямоугольник 35">
          <a:extLst>
            <a:ext uri="{FF2B5EF4-FFF2-40B4-BE49-F238E27FC236}">
              <a16:creationId xmlns:a16="http://schemas.microsoft.com/office/drawing/2014/main" id="{99333FF2-E59D-B7BC-5A62-9EBAA2CF2C71}"/>
            </a:ext>
          </a:extLst>
        </xdr:cNvPr>
        <xdr:cNvSpPr/>
      </xdr:nvSpPr>
      <xdr:spPr>
        <a:xfrm>
          <a:off x="1931679" y="19135790"/>
          <a:ext cx="1920041" cy="470036"/>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Разграничение ролей процесса </a:t>
          </a:r>
          <a:r>
            <a:rPr lang="en-US" sz="1050"/>
            <a:t>DSO</a:t>
          </a:r>
          <a:endParaRPr lang="en-US" sz="1050">
            <a:solidFill>
              <a:srgbClr val="001031"/>
            </a:solidFill>
          </a:endParaRPr>
        </a:p>
      </xdr:txBody>
    </xdr:sp>
    <xdr:clientData/>
  </xdr:twoCellAnchor>
  <xdr:twoCellAnchor>
    <xdr:from>
      <xdr:col>11</xdr:col>
      <xdr:colOff>1808</xdr:colOff>
      <xdr:row>97</xdr:row>
      <xdr:rowOff>89889</xdr:rowOff>
    </xdr:from>
    <xdr:to>
      <xdr:col>13</xdr:col>
      <xdr:colOff>440514</xdr:colOff>
      <xdr:row>100</xdr:row>
      <xdr:rowOff>20176</xdr:rowOff>
    </xdr:to>
    <xdr:sp macro="" textlink="">
      <xdr:nvSpPr>
        <xdr:cNvPr id="578" name="Скругленный прямоугольник 47">
          <a:extLst>
            <a:ext uri="{FF2B5EF4-FFF2-40B4-BE49-F238E27FC236}">
              <a16:creationId xmlns:a16="http://schemas.microsoft.com/office/drawing/2014/main" id="{53366B8C-1F04-18B8-DBCC-6C7CBDC81349}"/>
            </a:ext>
          </a:extLst>
        </xdr:cNvPr>
        <xdr:cNvSpPr/>
      </xdr:nvSpPr>
      <xdr:spPr>
        <a:xfrm>
          <a:off x="6658102" y="17481418"/>
          <a:ext cx="1648941" cy="46817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событий информационной безопасности</a:t>
          </a:r>
          <a:endParaRPr lang="en-US" sz="1000"/>
        </a:p>
      </xdr:txBody>
    </xdr:sp>
    <xdr:clientData/>
  </xdr:twoCellAnchor>
  <xdr:twoCellAnchor>
    <xdr:from>
      <xdr:col>13</xdr:col>
      <xdr:colOff>590408</xdr:colOff>
      <xdr:row>97</xdr:row>
      <xdr:rowOff>87287</xdr:rowOff>
    </xdr:from>
    <xdr:to>
      <xdr:col>16</xdr:col>
      <xdr:colOff>425901</xdr:colOff>
      <xdr:row>100</xdr:row>
      <xdr:rowOff>17574</xdr:rowOff>
    </xdr:to>
    <xdr:sp macro="" textlink="">
      <xdr:nvSpPr>
        <xdr:cNvPr id="579" name="Скругленный прямоугольник 48">
          <a:extLst>
            <a:ext uri="{FF2B5EF4-FFF2-40B4-BE49-F238E27FC236}">
              <a16:creationId xmlns:a16="http://schemas.microsoft.com/office/drawing/2014/main" id="{329D060C-8831-A26D-7B2A-5308789F97BC}"/>
            </a:ext>
          </a:extLst>
        </xdr:cNvPr>
        <xdr:cNvSpPr/>
      </xdr:nvSpPr>
      <xdr:spPr>
        <a:xfrm>
          <a:off x="8456937" y="17478816"/>
          <a:ext cx="1650846" cy="46817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инфраструктуры PROD среды на уязвимости</a:t>
          </a:r>
          <a:endParaRPr lang="en-US" sz="1000"/>
        </a:p>
      </xdr:txBody>
    </xdr:sp>
    <xdr:clientData/>
  </xdr:twoCellAnchor>
  <xdr:twoCellAnchor>
    <xdr:from>
      <xdr:col>8</xdr:col>
      <xdr:colOff>58581</xdr:colOff>
      <xdr:row>100</xdr:row>
      <xdr:rowOff>178133</xdr:rowOff>
    </xdr:from>
    <xdr:to>
      <xdr:col>10</xdr:col>
      <xdr:colOff>497287</xdr:colOff>
      <xdr:row>103</xdr:row>
      <xdr:rowOff>33563</xdr:rowOff>
    </xdr:to>
    <xdr:sp macro="" textlink="">
      <xdr:nvSpPr>
        <xdr:cNvPr id="580" name="Скругленный прямоугольник 49">
          <a:extLst>
            <a:ext uri="{FF2B5EF4-FFF2-40B4-BE49-F238E27FC236}">
              <a16:creationId xmlns:a16="http://schemas.microsoft.com/office/drawing/2014/main" id="{C9E63141-E955-EFCE-4450-7E55086474A8}"/>
            </a:ext>
          </a:extLst>
        </xdr:cNvPr>
        <xdr:cNvSpPr/>
      </xdr:nvSpPr>
      <xdr:spPr>
        <a:xfrm>
          <a:off x="4899522" y="18107545"/>
          <a:ext cx="1648941" cy="39331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Контроль выполняемых и процессов и их прав доступа</a:t>
          </a:r>
          <a:endParaRPr lang="en-US" sz="1000"/>
        </a:p>
      </xdr:txBody>
    </xdr:sp>
    <xdr:clientData/>
  </xdr:twoCellAnchor>
  <xdr:twoCellAnchor>
    <xdr:from>
      <xdr:col>11</xdr:col>
      <xdr:colOff>65430</xdr:colOff>
      <xdr:row>100</xdr:row>
      <xdr:rowOff>178133</xdr:rowOff>
    </xdr:from>
    <xdr:to>
      <xdr:col>13</xdr:col>
      <xdr:colOff>513661</xdr:colOff>
      <xdr:row>103</xdr:row>
      <xdr:rowOff>33563</xdr:rowOff>
    </xdr:to>
    <xdr:sp macro="" textlink="">
      <xdr:nvSpPr>
        <xdr:cNvPr id="581" name="Скругленный прямоугольник 50">
          <a:extLst>
            <a:ext uri="{FF2B5EF4-FFF2-40B4-BE49-F238E27FC236}">
              <a16:creationId xmlns:a16="http://schemas.microsoft.com/office/drawing/2014/main" id="{A699351E-CC24-C1D3-4358-A9098B5A2D24}"/>
            </a:ext>
          </a:extLst>
        </xdr:cNvPr>
        <xdr:cNvSpPr/>
      </xdr:nvSpPr>
      <xdr:spPr>
        <a:xfrm>
          <a:off x="6721724" y="18107545"/>
          <a:ext cx="1658466" cy="39331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a:t>
          </a:r>
          <a:r>
            <a:rPr lang="en-US" sz="1000"/>
            <a:t>L7</a:t>
          </a:r>
          <a:r>
            <a:rPr lang="ru-RU" sz="1000"/>
            <a:t> трафика</a:t>
          </a:r>
          <a:endParaRPr lang="en-US" sz="1000"/>
        </a:p>
      </xdr:txBody>
    </xdr:sp>
    <xdr:clientData/>
  </xdr:twoCellAnchor>
  <xdr:twoCellAnchor>
    <xdr:from>
      <xdr:col>14</xdr:col>
      <xdr:colOff>68958</xdr:colOff>
      <xdr:row>104</xdr:row>
      <xdr:rowOff>80080</xdr:rowOff>
    </xdr:from>
    <xdr:to>
      <xdr:col>16</xdr:col>
      <xdr:colOff>478837</xdr:colOff>
      <xdr:row>110</xdr:row>
      <xdr:rowOff>103731</xdr:rowOff>
    </xdr:to>
    <xdr:sp macro="" textlink="">
      <xdr:nvSpPr>
        <xdr:cNvPr id="582" name="Скругленный прямоугольник 51">
          <a:extLst>
            <a:ext uri="{FF2B5EF4-FFF2-40B4-BE49-F238E27FC236}">
              <a16:creationId xmlns:a16="http://schemas.microsoft.com/office/drawing/2014/main" id="{32AFB96B-7123-60F3-474A-7AACBBD656F9}"/>
            </a:ext>
          </a:extLst>
        </xdr:cNvPr>
        <xdr:cNvSpPr/>
      </xdr:nvSpPr>
      <xdr:spPr>
        <a:xfrm>
          <a:off x="8540605" y="18726668"/>
          <a:ext cx="1620114" cy="1099416"/>
        </a:xfrm>
        <a:prstGeom prst="roundRect">
          <a:avLst>
            <a:gd name="adj" fmla="val 10870"/>
          </a:avLst>
        </a:prstGeom>
        <a:solidFill>
          <a:srgbClr val="FFFFFF">
            <a:alpha val="56000"/>
          </a:srgbClr>
        </a:solidFill>
        <a:ln w="6350">
          <a:solidFill>
            <a:srgbClr val="EEF2F0"/>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b="1">
              <a:solidFill>
                <a:srgbClr val="001031"/>
              </a:solidFill>
              <a:latin typeface="Segoe UI" panose="020B0502040204020203" pitchFamily="34" charset="0"/>
            </a:rPr>
            <a:t>Смежные процессы</a:t>
          </a:r>
          <a:endParaRPr lang="en-US" sz="1000" b="1">
            <a:solidFill>
              <a:srgbClr val="001031"/>
            </a:solidFill>
            <a:latin typeface="Segoe UI" panose="020B0502040204020203" pitchFamily="34" charset="0"/>
          </a:endParaRPr>
        </a:p>
      </xdr:txBody>
    </xdr:sp>
    <xdr:clientData/>
  </xdr:twoCellAnchor>
  <xdr:twoCellAnchor>
    <xdr:from>
      <xdr:col>14</xdr:col>
      <xdr:colOff>170405</xdr:colOff>
      <xdr:row>106</xdr:row>
      <xdr:rowOff>121685</xdr:rowOff>
    </xdr:from>
    <xdr:to>
      <xdr:col>16</xdr:col>
      <xdr:colOff>369773</xdr:colOff>
      <xdr:row>109</xdr:row>
      <xdr:rowOff>49216</xdr:rowOff>
    </xdr:to>
    <xdr:sp macro="" textlink="">
      <xdr:nvSpPr>
        <xdr:cNvPr id="583" name="Скругленный прямоугольник 52">
          <a:extLst>
            <a:ext uri="{FF2B5EF4-FFF2-40B4-BE49-F238E27FC236}">
              <a16:creationId xmlns:a16="http://schemas.microsoft.com/office/drawing/2014/main" id="{5AE178B6-822E-9789-8078-32E013C5903D}"/>
            </a:ext>
          </a:extLst>
        </xdr:cNvPr>
        <xdr:cNvSpPr/>
      </xdr:nvSpPr>
      <xdr:spPr>
        <a:xfrm>
          <a:off x="8642052" y="19126861"/>
          <a:ext cx="1409603" cy="465414"/>
        </a:xfrm>
        <a:prstGeom prst="roundRect">
          <a:avLst/>
        </a:prstGeom>
        <a:solidFill>
          <a:srgbClr val="FFFFFF">
            <a:alpha val="56000"/>
          </a:srgbClr>
        </a:solidFill>
        <a:ln w="6350">
          <a:solidFill>
            <a:srgbClr val="EEF2F0"/>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Управление инцидентами ИБ…</a:t>
          </a:r>
        </a:p>
      </xdr:txBody>
    </xdr:sp>
    <xdr:clientData/>
  </xdr:twoCellAnchor>
  <xdr:twoCellAnchor>
    <xdr:from>
      <xdr:col>17</xdr:col>
      <xdr:colOff>31196</xdr:colOff>
      <xdr:row>105</xdr:row>
      <xdr:rowOff>24549</xdr:rowOff>
    </xdr:from>
    <xdr:to>
      <xdr:col>19</xdr:col>
      <xdr:colOff>79042</xdr:colOff>
      <xdr:row>110</xdr:row>
      <xdr:rowOff>39411</xdr:rowOff>
    </xdr:to>
    <xdr:sp macro="" textlink="">
      <xdr:nvSpPr>
        <xdr:cNvPr id="584" name="Прямоугольник 54">
          <a:extLst>
            <a:ext uri="{FF2B5EF4-FFF2-40B4-BE49-F238E27FC236}">
              <a16:creationId xmlns:a16="http://schemas.microsoft.com/office/drawing/2014/main" id="{7E438CFA-4AF2-0BFF-549C-AE004E710CC4}"/>
            </a:ext>
          </a:extLst>
        </xdr:cNvPr>
        <xdr:cNvSpPr/>
      </xdr:nvSpPr>
      <xdr:spPr>
        <a:xfrm>
          <a:off x="10318196" y="18850431"/>
          <a:ext cx="1258081" cy="911333"/>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Оценка критичности приложений и моделирование угроз</a:t>
          </a:r>
          <a:endParaRPr lang="en-US" sz="1050">
            <a:solidFill>
              <a:srgbClr val="001031"/>
            </a:solidFill>
            <a:latin typeface="Segoe UI" panose="020B0502040204020203" pitchFamily="34" charset="0"/>
          </a:endParaRPr>
        </a:p>
      </xdr:txBody>
    </xdr:sp>
    <xdr:clientData/>
  </xdr:twoCellAnchor>
  <xdr:twoCellAnchor>
    <xdr:from>
      <xdr:col>17</xdr:col>
      <xdr:colOff>34310</xdr:colOff>
      <xdr:row>95</xdr:row>
      <xdr:rowOff>15910</xdr:rowOff>
    </xdr:from>
    <xdr:to>
      <xdr:col>19</xdr:col>
      <xdr:colOff>84061</xdr:colOff>
      <xdr:row>98</xdr:row>
      <xdr:rowOff>168088</xdr:rowOff>
    </xdr:to>
    <xdr:sp macro="" textlink="">
      <xdr:nvSpPr>
        <xdr:cNvPr id="585" name="Прямоугольник 55">
          <a:extLst>
            <a:ext uri="{FF2B5EF4-FFF2-40B4-BE49-F238E27FC236}">
              <a16:creationId xmlns:a16="http://schemas.microsoft.com/office/drawing/2014/main" id="{CE22E52A-C3DD-BEC8-F5EF-712DC7951A1B}"/>
            </a:ext>
          </a:extLst>
        </xdr:cNvPr>
        <xdr:cNvSpPr/>
      </xdr:nvSpPr>
      <xdr:spPr>
        <a:xfrm>
          <a:off x="10321310" y="17048851"/>
          <a:ext cx="1259986" cy="690061"/>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Определение требований ИБ, предъявляемых к ПО</a:t>
          </a:r>
          <a:endParaRPr lang="en-US" sz="1050">
            <a:solidFill>
              <a:srgbClr val="001031"/>
            </a:solidFill>
            <a:latin typeface="Segoe UI" panose="020B0502040204020203" pitchFamily="34" charset="0"/>
          </a:endParaRPr>
        </a:p>
      </xdr:txBody>
    </xdr:sp>
    <xdr:clientData/>
  </xdr:twoCellAnchor>
  <xdr:twoCellAnchor>
    <xdr:from>
      <xdr:col>0</xdr:col>
      <xdr:colOff>8387</xdr:colOff>
      <xdr:row>91</xdr:row>
      <xdr:rowOff>160907</xdr:rowOff>
    </xdr:from>
    <xdr:to>
      <xdr:col>7</xdr:col>
      <xdr:colOff>516028</xdr:colOff>
      <xdr:row>103</xdr:row>
      <xdr:rowOff>164289</xdr:rowOff>
    </xdr:to>
    <xdr:sp macro="" textlink="">
      <xdr:nvSpPr>
        <xdr:cNvPr id="587" name="Скругленный прямоугольник 2">
          <a:extLst>
            <a:ext uri="{FF2B5EF4-FFF2-40B4-BE49-F238E27FC236}">
              <a16:creationId xmlns:a16="http://schemas.microsoft.com/office/drawing/2014/main" id="{3481B359-DF4B-0904-F53F-9796D2EC0070}"/>
            </a:ext>
          </a:extLst>
        </xdr:cNvPr>
        <xdr:cNvSpPr/>
      </xdr:nvSpPr>
      <xdr:spPr>
        <a:xfrm>
          <a:off x="8387" y="16476672"/>
          <a:ext cx="4743465" cy="2154911"/>
        </a:xfrm>
        <a:prstGeom prst="roundRect">
          <a:avLst>
            <a:gd name="adj" fmla="val 10012"/>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solidFill>
                <a:srgbClr val="001031"/>
              </a:solidFill>
              <a:latin typeface="Segoe UI" panose="020B0502040204020203" pitchFamily="34" charset="0"/>
            </a:rPr>
            <a:t>Анализ ПО в режиме runtime - Preprod</a:t>
          </a:r>
          <a:endParaRPr lang="en-US" sz="1100" b="1">
            <a:solidFill>
              <a:srgbClr val="001031"/>
            </a:solidFill>
            <a:latin typeface="Segoe UI" panose="020B0502040204020203" pitchFamily="34" charset="0"/>
          </a:endParaRPr>
        </a:p>
      </xdr:txBody>
    </xdr:sp>
    <xdr:clientData/>
  </xdr:twoCellAnchor>
  <xdr:twoCellAnchor>
    <xdr:from>
      <xdr:col>0</xdr:col>
      <xdr:colOff>139260</xdr:colOff>
      <xdr:row>93</xdr:row>
      <xdr:rowOff>159472</xdr:rowOff>
    </xdr:from>
    <xdr:to>
      <xdr:col>3</xdr:col>
      <xdr:colOff>478899</xdr:colOff>
      <xdr:row>96</xdr:row>
      <xdr:rowOff>68401</xdr:rowOff>
    </xdr:to>
    <xdr:sp macro="" textlink="">
      <xdr:nvSpPr>
        <xdr:cNvPr id="588" name="Скругленный прямоугольник 9">
          <a:extLst>
            <a:ext uri="{FF2B5EF4-FFF2-40B4-BE49-F238E27FC236}">
              <a16:creationId xmlns:a16="http://schemas.microsoft.com/office/drawing/2014/main" id="{6250C310-04F2-CD68-6940-6FC7A34D23ED}"/>
            </a:ext>
          </a:extLst>
        </xdr:cNvPr>
        <xdr:cNvSpPr/>
      </xdr:nvSpPr>
      <xdr:spPr>
        <a:xfrm>
          <a:off x="139260" y="16833825"/>
          <a:ext cx="2154992" cy="44681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Динамический анализ приложений (DAST) в PREPROD среде</a:t>
          </a:r>
          <a:endParaRPr lang="en-US" sz="1000"/>
        </a:p>
      </xdr:txBody>
    </xdr:sp>
    <xdr:clientData/>
  </xdr:twoCellAnchor>
  <xdr:twoCellAnchor>
    <xdr:from>
      <xdr:col>1</xdr:col>
      <xdr:colOff>134384</xdr:colOff>
      <xdr:row>100</xdr:row>
      <xdr:rowOff>55897</xdr:rowOff>
    </xdr:from>
    <xdr:to>
      <xdr:col>6</xdr:col>
      <xdr:colOff>190383</xdr:colOff>
      <xdr:row>103</xdr:row>
      <xdr:rowOff>53636</xdr:rowOff>
    </xdr:to>
    <xdr:sp macro="" textlink="">
      <xdr:nvSpPr>
        <xdr:cNvPr id="589" name="Скругленный прямоугольник 9">
          <a:extLst>
            <a:ext uri="{FF2B5EF4-FFF2-40B4-BE49-F238E27FC236}">
              <a16:creationId xmlns:a16="http://schemas.microsoft.com/office/drawing/2014/main" id="{5FE97CAF-8D32-F556-3B2A-EC42C373D528}"/>
            </a:ext>
          </a:extLst>
        </xdr:cNvPr>
        <xdr:cNvSpPr/>
      </xdr:nvSpPr>
      <xdr:spPr>
        <a:xfrm>
          <a:off x="739502" y="17985309"/>
          <a:ext cx="3081587" cy="53562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Тестирование на проникновение перед внедрением приложений в продуктив</a:t>
          </a:r>
          <a:endParaRPr lang="en-US" sz="1000"/>
        </a:p>
      </xdr:txBody>
    </xdr:sp>
    <xdr:clientData/>
  </xdr:twoCellAnchor>
  <xdr:twoCellAnchor>
    <xdr:from>
      <xdr:col>0</xdr:col>
      <xdr:colOff>170920</xdr:colOff>
      <xdr:row>97</xdr:row>
      <xdr:rowOff>155974</xdr:rowOff>
    </xdr:from>
    <xdr:to>
      <xdr:col>3</xdr:col>
      <xdr:colOff>512464</xdr:colOff>
      <xdr:row>99</xdr:row>
      <xdr:rowOff>126183</xdr:rowOff>
    </xdr:to>
    <xdr:sp macro="" textlink="">
      <xdr:nvSpPr>
        <xdr:cNvPr id="590" name="Скругленный прямоугольник 9">
          <a:extLst>
            <a:ext uri="{FF2B5EF4-FFF2-40B4-BE49-F238E27FC236}">
              <a16:creationId xmlns:a16="http://schemas.microsoft.com/office/drawing/2014/main" id="{CDBF41CA-34D6-CE08-AA2A-72A497D26B0C}"/>
            </a:ext>
          </a:extLst>
        </xdr:cNvPr>
        <xdr:cNvSpPr/>
      </xdr:nvSpPr>
      <xdr:spPr>
        <a:xfrm>
          <a:off x="170920" y="17547503"/>
          <a:ext cx="2156897" cy="328798"/>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Функциональное ИБ-тестирование</a:t>
          </a:r>
          <a:endParaRPr lang="en-US" sz="1000"/>
        </a:p>
      </xdr:txBody>
    </xdr:sp>
    <xdr:clientData/>
  </xdr:twoCellAnchor>
  <xdr:twoCellAnchor>
    <xdr:from>
      <xdr:col>4</xdr:col>
      <xdr:colOff>95116</xdr:colOff>
      <xdr:row>97</xdr:row>
      <xdr:rowOff>162095</xdr:rowOff>
    </xdr:from>
    <xdr:to>
      <xdr:col>7</xdr:col>
      <xdr:colOff>430971</xdr:colOff>
      <xdr:row>99</xdr:row>
      <xdr:rowOff>122779</xdr:rowOff>
    </xdr:to>
    <xdr:sp macro="" textlink="">
      <xdr:nvSpPr>
        <xdr:cNvPr id="591" name="Скругленный прямоугольник 9">
          <a:extLst>
            <a:ext uri="{FF2B5EF4-FFF2-40B4-BE49-F238E27FC236}">
              <a16:creationId xmlns:a16="http://schemas.microsoft.com/office/drawing/2014/main" id="{5121A1D1-6239-7D21-160B-1AD0C783A053}"/>
            </a:ext>
          </a:extLst>
        </xdr:cNvPr>
        <xdr:cNvSpPr/>
      </xdr:nvSpPr>
      <xdr:spPr>
        <a:xfrm>
          <a:off x="2515587" y="17553624"/>
          <a:ext cx="2151208" cy="319273"/>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Контроль безопасности манифестов (k8s, terraform и т.д.)</a:t>
          </a:r>
          <a:endParaRPr lang="en-US" sz="1000"/>
        </a:p>
      </xdr:txBody>
    </xdr:sp>
    <xdr:clientData/>
  </xdr:twoCellAnchor>
  <xdr:twoCellAnchor>
    <xdr:from>
      <xdr:col>4</xdr:col>
      <xdr:colOff>95117</xdr:colOff>
      <xdr:row>93</xdr:row>
      <xdr:rowOff>159280</xdr:rowOff>
    </xdr:from>
    <xdr:to>
      <xdr:col>7</xdr:col>
      <xdr:colOff>436662</xdr:colOff>
      <xdr:row>96</xdr:row>
      <xdr:rowOff>68401</xdr:rowOff>
    </xdr:to>
    <xdr:sp macro="" textlink="">
      <xdr:nvSpPr>
        <xdr:cNvPr id="592" name="Скругленный прямоугольник 9">
          <a:extLst>
            <a:ext uri="{FF2B5EF4-FFF2-40B4-BE49-F238E27FC236}">
              <a16:creationId xmlns:a16="http://schemas.microsoft.com/office/drawing/2014/main" id="{4A2B75AD-219D-8D37-9347-B5842B3BF32B}"/>
            </a:ext>
          </a:extLst>
        </xdr:cNvPr>
        <xdr:cNvSpPr/>
      </xdr:nvSpPr>
      <xdr:spPr>
        <a:xfrm>
          <a:off x="2515588" y="16833633"/>
          <a:ext cx="2156898" cy="447003"/>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инфраструктуры PREPROD среды на уязвимости</a:t>
          </a:r>
          <a:endParaRPr lang="en-US" sz="1000"/>
        </a:p>
      </xdr:txBody>
    </xdr:sp>
    <xdr:clientData/>
  </xdr:twoCellAnchor>
  <xdr:twoCellAnchor>
    <xdr:from>
      <xdr:col>17</xdr:col>
      <xdr:colOff>31196</xdr:colOff>
      <xdr:row>85</xdr:row>
      <xdr:rowOff>49239</xdr:rowOff>
    </xdr:from>
    <xdr:to>
      <xdr:col>19</xdr:col>
      <xdr:colOff>78264</xdr:colOff>
      <xdr:row>88</xdr:row>
      <xdr:rowOff>89780</xdr:rowOff>
    </xdr:to>
    <xdr:sp macro="" textlink="">
      <xdr:nvSpPr>
        <xdr:cNvPr id="593" name="Прямоугольник 54">
          <a:extLst>
            <a:ext uri="{FF2B5EF4-FFF2-40B4-BE49-F238E27FC236}">
              <a16:creationId xmlns:a16="http://schemas.microsoft.com/office/drawing/2014/main" id="{AB18515C-B552-B1F4-294A-49FFB87E0476}"/>
            </a:ext>
          </a:extLst>
        </xdr:cNvPr>
        <xdr:cNvSpPr/>
      </xdr:nvSpPr>
      <xdr:spPr>
        <a:xfrm>
          <a:off x="10318196" y="15289239"/>
          <a:ext cx="1257303" cy="578423"/>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Контроль выполнения требований ИБ</a:t>
          </a:r>
          <a:endParaRPr lang="en-US" sz="1050">
            <a:solidFill>
              <a:srgbClr val="001031"/>
            </a:solidFill>
            <a:latin typeface="Segoe UI" panose="020B0502040204020203" pitchFamily="34" charset="0"/>
          </a:endParaRPr>
        </a:p>
      </xdr:txBody>
    </xdr:sp>
    <xdr:clientData/>
  </xdr:twoCellAnchor>
  <xdr:twoCellAnchor>
    <xdr:from>
      <xdr:col>17</xdr:col>
      <xdr:colOff>34310</xdr:colOff>
      <xdr:row>99</xdr:row>
      <xdr:rowOff>78442</xdr:rowOff>
    </xdr:from>
    <xdr:to>
      <xdr:col>19</xdr:col>
      <xdr:colOff>84061</xdr:colOff>
      <xdr:row>104</xdr:row>
      <xdr:rowOff>92234</xdr:rowOff>
    </xdr:to>
    <xdr:sp macro="" textlink="">
      <xdr:nvSpPr>
        <xdr:cNvPr id="594" name="Прямоугольник 55">
          <a:extLst>
            <a:ext uri="{FF2B5EF4-FFF2-40B4-BE49-F238E27FC236}">
              <a16:creationId xmlns:a16="http://schemas.microsoft.com/office/drawing/2014/main" id="{EC977CA8-7EFF-51A4-38F3-65C8D957834C}"/>
            </a:ext>
          </a:extLst>
        </xdr:cNvPr>
        <xdr:cNvSpPr/>
      </xdr:nvSpPr>
      <xdr:spPr>
        <a:xfrm>
          <a:off x="10321310" y="17828560"/>
          <a:ext cx="1259986" cy="910262"/>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Разработка стандартов конфигураций разрабатываемого ПО</a:t>
          </a:r>
          <a:endParaRPr lang="en-US" sz="1050">
            <a:solidFill>
              <a:srgbClr val="001031"/>
            </a:solidFill>
            <a:latin typeface="Segoe UI" panose="020B0502040204020203" pitchFamily="34" charset="0"/>
          </a:endParaRPr>
        </a:p>
      </xdr:txBody>
    </xdr:sp>
    <xdr:clientData/>
  </xdr:twoCellAnchor>
  <xdr:twoCellAnchor>
    <xdr:from>
      <xdr:col>17</xdr:col>
      <xdr:colOff>12167</xdr:colOff>
      <xdr:row>89</xdr:row>
      <xdr:rowOff>5913</xdr:rowOff>
    </xdr:from>
    <xdr:to>
      <xdr:col>19</xdr:col>
      <xdr:colOff>82156</xdr:colOff>
      <xdr:row>94</xdr:row>
      <xdr:rowOff>77962</xdr:rowOff>
    </xdr:to>
    <xdr:sp macro="" textlink="">
      <xdr:nvSpPr>
        <xdr:cNvPr id="595" name="Прямоугольник 54">
          <a:extLst>
            <a:ext uri="{FF2B5EF4-FFF2-40B4-BE49-F238E27FC236}">
              <a16:creationId xmlns:a16="http://schemas.microsoft.com/office/drawing/2014/main" id="{B838D9C3-C1A4-4211-5207-6929CAED291A}"/>
            </a:ext>
          </a:extLst>
        </xdr:cNvPr>
        <xdr:cNvSpPr/>
      </xdr:nvSpPr>
      <xdr:spPr>
        <a:xfrm>
          <a:off x="10299167" y="15963089"/>
          <a:ext cx="1280224" cy="968520"/>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Разработка стандартов конфигураций для компонентов инфраструктуры</a:t>
          </a:r>
          <a:endParaRPr lang="en-US" sz="1050">
            <a:solidFill>
              <a:srgbClr val="001031"/>
            </a:solidFill>
            <a:latin typeface="Segoe UI" panose="020B0502040204020203" pitchFamily="34" charset="0"/>
          </a:endParaRPr>
        </a:p>
      </xdr:txBody>
    </xdr:sp>
    <xdr:clientData/>
  </xdr:twoCellAnchor>
  <xdr:twoCellAnchor>
    <xdr:from>
      <xdr:col>7</xdr:col>
      <xdr:colOff>64780</xdr:colOff>
      <xdr:row>105</xdr:row>
      <xdr:rowOff>154612</xdr:rowOff>
    </xdr:from>
    <xdr:to>
      <xdr:col>10</xdr:col>
      <xdr:colOff>97193</xdr:colOff>
      <xdr:row>107</xdr:row>
      <xdr:rowOff>124821</xdr:rowOff>
    </xdr:to>
    <xdr:sp macro="" textlink="">
      <xdr:nvSpPr>
        <xdr:cNvPr id="596" name="Скругленный прямоугольник 17">
          <a:extLst>
            <a:ext uri="{FF2B5EF4-FFF2-40B4-BE49-F238E27FC236}">
              <a16:creationId xmlns:a16="http://schemas.microsoft.com/office/drawing/2014/main" id="{E65F7E91-EF8E-D6B4-59F8-00495A6C0845}"/>
            </a:ext>
          </a:extLst>
        </xdr:cNvPr>
        <xdr:cNvSpPr/>
      </xdr:nvSpPr>
      <xdr:spPr>
        <a:xfrm>
          <a:off x="4300604" y="18980494"/>
          <a:ext cx="1847765" cy="328798"/>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Контроль исполнения метрик</a:t>
          </a:r>
        </a:p>
      </xdr:txBody>
    </xdr:sp>
    <xdr:clientData/>
  </xdr:twoCellAnchor>
  <xdr:twoCellAnchor>
    <xdr:from>
      <xdr:col>4</xdr:col>
      <xdr:colOff>590101</xdr:colOff>
      <xdr:row>111</xdr:row>
      <xdr:rowOff>59840</xdr:rowOff>
    </xdr:from>
    <xdr:to>
      <xdr:col>5</xdr:col>
      <xdr:colOff>569608</xdr:colOff>
      <xdr:row>112</xdr:row>
      <xdr:rowOff>131569</xdr:rowOff>
    </xdr:to>
    <xdr:sp macro="" textlink="">
      <xdr:nvSpPr>
        <xdr:cNvPr id="607" name="Скругленный прямоугольник 12">
          <a:extLst>
            <a:ext uri="{FF2B5EF4-FFF2-40B4-BE49-F238E27FC236}">
              <a16:creationId xmlns:a16="http://schemas.microsoft.com/office/drawing/2014/main" id="{70CBA960-3ABD-4A23-924E-84BC0517187D}"/>
            </a:ext>
          </a:extLst>
        </xdr:cNvPr>
        <xdr:cNvSpPr/>
      </xdr:nvSpPr>
      <xdr:spPr bwMode="auto">
        <a:xfrm>
          <a:off x="3010572" y="19961487"/>
          <a:ext cx="584624" cy="251023"/>
        </a:xfrm>
        <a:prstGeom prst="roundRect">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6</xdr:col>
      <xdr:colOff>44499</xdr:colOff>
      <xdr:row>111</xdr:row>
      <xdr:rowOff>59840</xdr:rowOff>
    </xdr:from>
    <xdr:to>
      <xdr:col>8</xdr:col>
      <xdr:colOff>148787</xdr:colOff>
      <xdr:row>112</xdr:row>
      <xdr:rowOff>131569</xdr:rowOff>
    </xdr:to>
    <xdr:sp macro="" textlink="">
      <xdr:nvSpPr>
        <xdr:cNvPr id="608" name="TextBox 13">
          <a:extLst>
            <a:ext uri="{FF2B5EF4-FFF2-40B4-BE49-F238E27FC236}">
              <a16:creationId xmlns:a16="http://schemas.microsoft.com/office/drawing/2014/main" id="{62F8E0A4-E844-4C38-A429-7C8DF2CAD279}"/>
            </a:ext>
          </a:extLst>
        </xdr:cNvPr>
        <xdr:cNvSpPr txBox="1"/>
      </xdr:nvSpPr>
      <xdr:spPr>
        <a:xfrm>
          <a:off x="3675205" y="19961487"/>
          <a:ext cx="1314523" cy="251023"/>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технику</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8</xdr:col>
      <xdr:colOff>364495</xdr:colOff>
      <xdr:row>111</xdr:row>
      <xdr:rowOff>59840</xdr:rowOff>
    </xdr:from>
    <xdr:to>
      <xdr:col>9</xdr:col>
      <xdr:colOff>349716</xdr:colOff>
      <xdr:row>112</xdr:row>
      <xdr:rowOff>131569</xdr:rowOff>
    </xdr:to>
    <xdr:sp macro="" textlink="">
      <xdr:nvSpPr>
        <xdr:cNvPr id="609" name="Скругленный прямоугольник 14">
          <a:extLst>
            <a:ext uri="{FF2B5EF4-FFF2-40B4-BE49-F238E27FC236}">
              <a16:creationId xmlns:a16="http://schemas.microsoft.com/office/drawing/2014/main" id="{345D7FE4-0288-4203-B0BF-566D739D414A}"/>
            </a:ext>
          </a:extLst>
        </xdr:cNvPr>
        <xdr:cNvSpPr/>
      </xdr:nvSpPr>
      <xdr:spPr bwMode="auto">
        <a:xfrm>
          <a:off x="5205436" y="19961487"/>
          <a:ext cx="590339" cy="251023"/>
        </a:xfrm>
        <a:prstGeom prst="roundRect">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9</xdr:col>
      <xdr:colOff>425915</xdr:colOff>
      <xdr:row>111</xdr:row>
      <xdr:rowOff>59840</xdr:rowOff>
    </xdr:from>
    <xdr:to>
      <xdr:col>12</xdr:col>
      <xdr:colOff>96570</xdr:colOff>
      <xdr:row>112</xdr:row>
      <xdr:rowOff>131569</xdr:rowOff>
    </xdr:to>
    <xdr:sp macro="" textlink="">
      <xdr:nvSpPr>
        <xdr:cNvPr id="610" name="TextBox 15">
          <a:extLst>
            <a:ext uri="{FF2B5EF4-FFF2-40B4-BE49-F238E27FC236}">
              <a16:creationId xmlns:a16="http://schemas.microsoft.com/office/drawing/2014/main" id="{7528AC15-BCE8-4780-B1A4-D15A16A84FB4}"/>
            </a:ext>
          </a:extLst>
        </xdr:cNvPr>
        <xdr:cNvSpPr txBox="1"/>
      </xdr:nvSpPr>
      <xdr:spPr>
        <a:xfrm>
          <a:off x="5871974" y="19961487"/>
          <a:ext cx="1486008" cy="251023"/>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процессы</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608238</xdr:colOff>
      <xdr:row>12</xdr:row>
      <xdr:rowOff>3808</xdr:rowOff>
    </xdr:from>
    <xdr:to>
      <xdr:col>18</xdr:col>
      <xdr:colOff>13607</xdr:colOff>
      <xdr:row>32</xdr:row>
      <xdr:rowOff>0</xdr:rowOff>
    </xdr:to>
    <xdr:graphicFrame macro="">
      <xdr:nvGraphicFramePr>
        <xdr:cNvPr id="2" name="Диаграмма 4">
          <a:extLst>
            <a:ext uri="{FF2B5EF4-FFF2-40B4-BE49-F238E27FC236}">
              <a16:creationId xmlns:a16="http://schemas.microsoft.com/office/drawing/2014/main" id="{61751814-D114-48EE-A6E7-F751A73C7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259864</xdr:colOff>
      <xdr:row>43</xdr:row>
      <xdr:rowOff>0</xdr:rowOff>
    </xdr:from>
    <xdr:to>
      <xdr:col>3</xdr:col>
      <xdr:colOff>5474185</xdr:colOff>
      <xdr:row>73</xdr:row>
      <xdr:rowOff>21499</xdr:rowOff>
    </xdr:to>
    <xdr:graphicFrame macro="">
      <xdr:nvGraphicFramePr>
        <xdr:cNvPr id="3" name="Диаграмма 4">
          <a:extLst>
            <a:ext uri="{FF2B5EF4-FFF2-40B4-BE49-F238E27FC236}">
              <a16:creationId xmlns:a16="http://schemas.microsoft.com/office/drawing/2014/main" id="{5814E6F9-EA61-4BE9-94AD-55D28639C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0</xdr:row>
      <xdr:rowOff>156882</xdr:rowOff>
    </xdr:from>
    <xdr:to>
      <xdr:col>3</xdr:col>
      <xdr:colOff>360991</xdr:colOff>
      <xdr:row>0</xdr:row>
      <xdr:rowOff>663612</xdr:rowOff>
    </xdr:to>
    <xdr:pic>
      <xdr:nvPicPr>
        <xdr:cNvPr id="5" name="Рисунок 4">
          <a:extLst>
            <a:ext uri="{FF2B5EF4-FFF2-40B4-BE49-F238E27FC236}">
              <a16:creationId xmlns:a16="http://schemas.microsoft.com/office/drawing/2014/main" id="{215BACAC-D9E1-41FE-880F-9B4E6966BE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8941" y="156882"/>
          <a:ext cx="3285952" cy="5105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Q21:T65" totalsRowShown="0" headerRowDxfId="728" dataDxfId="727">
  <autoFilter ref="Q21:T65" xr:uid="{00000000-0009-0000-0100-000001000000}"/>
  <tableColumns count="4">
    <tableColumn id="1" xr3:uid="{00000000-0010-0000-0000-000001000000}" name="ЯП" dataDxfId="726"/>
    <tableColumn id="2" xr3:uid="{00000000-0010-0000-0000-000002000000}" name="коэф. Сложности (от 1 до 2)" dataDxfId="725"/>
    <tableColumn id="3" xr3:uid="{00000000-0010-0000-0000-000003000000}" name="Группы знаний" dataDxfId="724"/>
    <tableColumn id="4" xr3:uid="{00000000-0010-0000-0000-000004000000}" name="Примечание" dataDxfId="7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Таблица3" displayName="Таблица3" ref="Q15:R19" totalsRowShown="0" headerRowDxfId="722" dataDxfId="721">
  <autoFilter ref="Q15:R19" xr:uid="{00000000-0009-0000-0100-000002000000}"/>
  <tableColumns count="2">
    <tableColumn id="1" xr3:uid="{00000000-0010-0000-0100-000001000000}" name="Тип приложения" dataDxfId="720"/>
    <tableColumn id="2" xr3:uid="{00000000-0010-0000-0100-000002000000}" name="Сложность динамического анализа (от 1 до 2)" dataDxfId="719"/>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ithub.com/Jet-Security-Team/DevSecOps-Assessment-Framewor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
  <sheetViews>
    <sheetView tabSelected="1" zoomScale="85" zoomScaleNormal="85" workbookViewId="0"/>
  </sheetViews>
  <sheetFormatPr defaultRowHeight="14.4" x14ac:dyDescent="0.3"/>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8">
    <tabColor rgb="FF92D050"/>
  </sheetPr>
  <dimension ref="B1:X42"/>
  <sheetViews>
    <sheetView zoomScale="70" zoomScaleNormal="70" workbookViewId="0">
      <selection activeCell="T11" sqref="T11"/>
    </sheetView>
  </sheetViews>
  <sheetFormatPr defaultColWidth="9.109375" defaultRowHeight="15.6" x14ac:dyDescent="0.3"/>
  <cols>
    <col min="1" max="1" width="1.5546875" style="4" customWidth="1"/>
    <col min="2" max="2" width="12.109375" style="10" customWidth="1"/>
    <col min="3" max="3" width="30.44140625" style="34" customWidth="1"/>
    <col min="4" max="4" width="80" style="9" bestFit="1" customWidth="1"/>
    <col min="5" max="5" width="21.109375" style="9" customWidth="1"/>
    <col min="6" max="10" width="18.6640625" style="4" hidden="1" customWidth="1"/>
    <col min="11" max="11" width="23.88671875" style="8" customWidth="1"/>
    <col min="12" max="12" width="32" style="41" customWidth="1"/>
    <col min="13" max="13" width="21.5546875" style="41" customWidth="1"/>
    <col min="14" max="14" width="9.109375" style="49" customWidth="1"/>
    <col min="15" max="15" width="5.44140625" style="41" customWidth="1"/>
    <col min="16" max="16" width="25.5546875" style="41" customWidth="1"/>
    <col min="17" max="17" width="31.109375" style="41" bestFit="1" customWidth="1"/>
    <col min="18" max="18" width="31.5546875" style="41" bestFit="1" customWidth="1"/>
    <col min="19" max="19" width="8.88671875" customWidth="1"/>
    <col min="20" max="21" width="32.88671875" customWidth="1"/>
    <col min="22" max="22" width="36.33203125" customWidth="1"/>
    <col min="23" max="24" width="8.88671875" customWidth="1"/>
    <col min="25" max="16384" width="9.109375" style="4"/>
  </cols>
  <sheetData>
    <row r="1" spans="2:18" ht="57" customHeight="1" thickBot="1" x14ac:dyDescent="0.35">
      <c r="F1" s="318" t="s">
        <v>5</v>
      </c>
      <c r="G1" s="319"/>
      <c r="H1" s="319"/>
      <c r="I1" s="319"/>
      <c r="J1" s="319"/>
      <c r="K1" s="9"/>
      <c r="O1" s="609" t="s">
        <v>3965</v>
      </c>
      <c r="P1" s="609"/>
      <c r="Q1" s="609"/>
      <c r="R1" s="609"/>
    </row>
    <row r="2" spans="2:18" ht="75" thickBot="1" x14ac:dyDescent="0.35">
      <c r="B2" s="135" t="s">
        <v>3919</v>
      </c>
      <c r="C2" s="135" t="s">
        <v>828</v>
      </c>
      <c r="D2" s="135" t="s">
        <v>829</v>
      </c>
      <c r="E2" s="135" t="s">
        <v>1</v>
      </c>
      <c r="F2" s="135" t="s">
        <v>830</v>
      </c>
      <c r="G2" s="135" t="s">
        <v>831</v>
      </c>
      <c r="H2" s="135" t="s">
        <v>832</v>
      </c>
      <c r="I2" s="135" t="s">
        <v>833</v>
      </c>
      <c r="J2" s="135" t="s">
        <v>834</v>
      </c>
      <c r="K2" s="135" t="s">
        <v>3131</v>
      </c>
      <c r="L2" s="135" t="s">
        <v>3133</v>
      </c>
      <c r="M2" s="135" t="s">
        <v>3134</v>
      </c>
      <c r="O2" s="330" t="s">
        <v>3122</v>
      </c>
      <c r="P2" s="331"/>
      <c r="Q2" s="136" t="s">
        <v>3121</v>
      </c>
      <c r="R2" s="136" t="s">
        <v>3135</v>
      </c>
    </row>
    <row r="3" spans="2:18" ht="21" customHeight="1" x14ac:dyDescent="0.3">
      <c r="B3" s="320" t="s">
        <v>835</v>
      </c>
      <c r="C3" s="325" t="s">
        <v>836</v>
      </c>
      <c r="D3" s="60" t="s">
        <v>838</v>
      </c>
      <c r="E3" s="60" t="s">
        <v>837</v>
      </c>
      <c r="F3" s="61" t="str">
        <f>IF(Практики!F3="Неверно","Не реализовывается","Реализовывается")</f>
        <v>Реализовывается</v>
      </c>
      <c r="G3" s="61">
        <f>Практики!H4</f>
        <v>0</v>
      </c>
      <c r="H3" s="61">
        <f>Практики!H9</f>
        <v>0</v>
      </c>
      <c r="I3" s="61">
        <f>Практики!H11</f>
        <v>0</v>
      </c>
      <c r="J3" s="61">
        <f>Практики!H14</f>
        <v>0</v>
      </c>
      <c r="K3" s="62">
        <f>SUM(G3:J3)/4</f>
        <v>0</v>
      </c>
      <c r="L3" s="314">
        <f>AVERAGE(K3:K4)</f>
        <v>0</v>
      </c>
      <c r="M3" s="312">
        <f>AVERAGE(K3:K42)</f>
        <v>0</v>
      </c>
      <c r="O3" s="51">
        <v>0</v>
      </c>
      <c r="P3" s="51" t="s">
        <v>3123</v>
      </c>
      <c r="Q3" s="52">
        <f>Кирилламида!B86</f>
        <v>0</v>
      </c>
      <c r="R3" s="332">
        <f>R42</f>
        <v>0</v>
      </c>
    </row>
    <row r="4" spans="2:18" ht="18" customHeight="1" x14ac:dyDescent="0.3">
      <c r="B4" s="321"/>
      <c r="C4" s="325"/>
      <c r="D4" s="60" t="s">
        <v>840</v>
      </c>
      <c r="E4" s="60" t="s">
        <v>839</v>
      </c>
      <c r="F4" s="61" t="str">
        <f>IF(Практики!F16="Неверно","Не реализовывается","Реализовывается")</f>
        <v>Реализовывается</v>
      </c>
      <c r="G4" s="61">
        <f>Практики!H17</f>
        <v>0</v>
      </c>
      <c r="H4" s="61">
        <f>Практики!H22</f>
        <v>0</v>
      </c>
      <c r="I4" s="61">
        <f>Практики!H24</f>
        <v>0</v>
      </c>
      <c r="J4" s="61">
        <f>Практики!H26</f>
        <v>0</v>
      </c>
      <c r="K4" s="62">
        <f>SUM(G4:J4)/4</f>
        <v>0</v>
      </c>
      <c r="L4" s="314"/>
      <c r="M4" s="312"/>
      <c r="O4" s="53">
        <v>1</v>
      </c>
      <c r="P4" s="53" t="s">
        <v>3124</v>
      </c>
      <c r="Q4" s="52">
        <f>Кирилламида!C86</f>
        <v>0</v>
      </c>
      <c r="R4" s="332"/>
    </row>
    <row r="5" spans="2:18" ht="18" x14ac:dyDescent="0.3">
      <c r="B5" s="321"/>
      <c r="C5" s="325" t="s">
        <v>841</v>
      </c>
      <c r="D5" s="60" t="s">
        <v>843</v>
      </c>
      <c r="E5" s="60" t="s">
        <v>842</v>
      </c>
      <c r="F5" s="61" t="str">
        <f>IF(Практики!F32="Неверно","Не реализовывается","Реализовывается")</f>
        <v>Реализовывается</v>
      </c>
      <c r="G5" s="61">
        <f>Практики!H33</f>
        <v>0</v>
      </c>
      <c r="H5" s="61">
        <f>Практики!H35</f>
        <v>0</v>
      </c>
      <c r="I5" s="61"/>
      <c r="J5" s="61"/>
      <c r="K5" s="62">
        <f>SUM(G5:H5)/2</f>
        <v>0</v>
      </c>
      <c r="L5" s="314">
        <f>AVERAGE(K5:K10)</f>
        <v>0</v>
      </c>
      <c r="M5" s="312"/>
      <c r="O5" s="54">
        <v>2</v>
      </c>
      <c r="P5" s="54" t="s">
        <v>3125</v>
      </c>
      <c r="Q5" s="52">
        <f>Кирилламида!D86</f>
        <v>0</v>
      </c>
      <c r="R5" s="332"/>
    </row>
    <row r="6" spans="2:18" ht="18" x14ac:dyDescent="0.3">
      <c r="B6" s="321"/>
      <c r="C6" s="325"/>
      <c r="D6" s="60" t="s">
        <v>845</v>
      </c>
      <c r="E6" s="60" t="s">
        <v>844</v>
      </c>
      <c r="F6" s="61" t="str">
        <f>IF(Практики!F36="Неверно","Не реализовывается","Реализовывается")</f>
        <v>Реализовывается</v>
      </c>
      <c r="G6" s="61">
        <f>Практики!H37</f>
        <v>0</v>
      </c>
      <c r="H6" s="61">
        <f>Практики!H39</f>
        <v>0</v>
      </c>
      <c r="I6" s="61">
        <f>Практики!H41</f>
        <v>0</v>
      </c>
      <c r="J6" s="61">
        <f>Практики!H43</f>
        <v>0</v>
      </c>
      <c r="K6" s="62">
        <f t="shared" ref="K6:K15" si="0">SUM(G6:J6)/4</f>
        <v>0</v>
      </c>
      <c r="L6" s="314"/>
      <c r="M6" s="312"/>
      <c r="O6" s="55">
        <v>3</v>
      </c>
      <c r="P6" s="55" t="s">
        <v>3126</v>
      </c>
      <c r="Q6" s="52">
        <f>Кирилламида!E86</f>
        <v>0</v>
      </c>
      <c r="R6" s="332"/>
    </row>
    <row r="7" spans="2:18" ht="18" x14ac:dyDescent="0.3">
      <c r="B7" s="321"/>
      <c r="C7" s="325"/>
      <c r="D7" s="60" t="s">
        <v>847</v>
      </c>
      <c r="E7" s="60" t="s">
        <v>846</v>
      </c>
      <c r="F7" s="61" t="str">
        <f>IF(Практики!F44="Неверно","Не реализовывается","Реализовывается")</f>
        <v>Реализовывается</v>
      </c>
      <c r="G7" s="61">
        <f>Практики!H45</f>
        <v>0</v>
      </c>
      <c r="H7" s="61">
        <f>Практики!H49</f>
        <v>0</v>
      </c>
      <c r="I7" s="61">
        <f>Практики!H50</f>
        <v>0</v>
      </c>
      <c r="J7" s="61">
        <f>Практики!H53</f>
        <v>0</v>
      </c>
      <c r="K7" s="62">
        <f t="shared" si="0"/>
        <v>0</v>
      </c>
      <c r="L7" s="314"/>
      <c r="M7" s="312"/>
      <c r="O7" s="56">
        <v>4</v>
      </c>
      <c r="P7" s="56" t="s">
        <v>3127</v>
      </c>
      <c r="Q7" s="52">
        <f>Кирилламида!F86</f>
        <v>0</v>
      </c>
      <c r="R7" s="332"/>
    </row>
    <row r="8" spans="2:18" ht="18" x14ac:dyDescent="0.3">
      <c r="B8" s="321"/>
      <c r="C8" s="325"/>
      <c r="D8" s="60" t="s">
        <v>849</v>
      </c>
      <c r="E8" s="60" t="s">
        <v>848</v>
      </c>
      <c r="F8" s="61" t="str">
        <f>IF(Практики!F54="Неверно","Не реализовывается","Реализовывается")</f>
        <v>Реализовывается</v>
      </c>
      <c r="G8" s="61">
        <f>Практики!H55</f>
        <v>0</v>
      </c>
      <c r="H8" s="61">
        <f>Практики!H62</f>
        <v>0</v>
      </c>
      <c r="I8" s="61">
        <f>Практики!H68</f>
        <v>0</v>
      </c>
      <c r="J8" s="61">
        <f>Практики!H72</f>
        <v>0</v>
      </c>
      <c r="K8" s="62">
        <f t="shared" si="0"/>
        <v>0</v>
      </c>
      <c r="L8" s="314"/>
      <c r="M8" s="312"/>
      <c r="O8" s="57">
        <v>5</v>
      </c>
      <c r="P8" s="57" t="s">
        <v>3128</v>
      </c>
      <c r="Q8" s="52">
        <f>Кирилламида!G86</f>
        <v>0</v>
      </c>
      <c r="R8" s="332"/>
    </row>
    <row r="9" spans="2:18" ht="18" x14ac:dyDescent="0.3">
      <c r="B9" s="321"/>
      <c r="C9" s="325"/>
      <c r="D9" s="60" t="s">
        <v>851</v>
      </c>
      <c r="E9" s="60" t="s">
        <v>850</v>
      </c>
      <c r="F9" s="61" t="str">
        <f>IF(Практики!F75="Неверно","Не реализовывается","Реализовывается")</f>
        <v>Реализовывается</v>
      </c>
      <c r="G9" s="61">
        <f>Практики!H76</f>
        <v>0</v>
      </c>
      <c r="H9" s="61">
        <f>Практики!H81</f>
        <v>0</v>
      </c>
      <c r="I9" s="61">
        <f>Практики!H87</f>
        <v>0</v>
      </c>
      <c r="J9" s="61">
        <f>Практики!H93</f>
        <v>0</v>
      </c>
      <c r="K9" s="62">
        <f t="shared" si="0"/>
        <v>0</v>
      </c>
      <c r="L9" s="314"/>
      <c r="M9" s="312"/>
      <c r="O9" s="58">
        <v>6</v>
      </c>
      <c r="P9" s="58" t="s">
        <v>3129</v>
      </c>
      <c r="Q9" s="52">
        <f>Кирилламида!H86</f>
        <v>0</v>
      </c>
      <c r="R9" s="332"/>
    </row>
    <row r="10" spans="2:18" ht="18.600000000000001" thickBot="1" x14ac:dyDescent="0.35">
      <c r="B10" s="321"/>
      <c r="C10" s="325"/>
      <c r="D10" s="60" t="s">
        <v>853</v>
      </c>
      <c r="E10" s="60" t="s">
        <v>852</v>
      </c>
      <c r="F10" s="61" t="str">
        <f>IF(Практики!F94="Неверно","Не реализовывается","Реализовывается")</f>
        <v>Реализовывается</v>
      </c>
      <c r="G10" s="61">
        <f>Практики!H95</f>
        <v>0</v>
      </c>
      <c r="H10" s="61">
        <f>Практики!H100</f>
        <v>0</v>
      </c>
      <c r="I10" s="61">
        <f>Практики!H102</f>
        <v>0</v>
      </c>
      <c r="J10" s="61">
        <f>Практики!H103</f>
        <v>0</v>
      </c>
      <c r="K10" s="62">
        <f t="shared" si="0"/>
        <v>0</v>
      </c>
      <c r="L10" s="314"/>
      <c r="M10" s="312"/>
      <c r="O10" s="59">
        <v>7</v>
      </c>
      <c r="P10" s="59" t="s">
        <v>3130</v>
      </c>
      <c r="Q10" s="52">
        <f>Кирилламида!I86</f>
        <v>0</v>
      </c>
      <c r="R10" s="333"/>
    </row>
    <row r="11" spans="2:18" x14ac:dyDescent="0.3">
      <c r="B11" s="321"/>
      <c r="C11" s="327" t="s">
        <v>2128</v>
      </c>
      <c r="D11" s="60" t="s">
        <v>1968</v>
      </c>
      <c r="E11" s="60" t="s">
        <v>1975</v>
      </c>
      <c r="F11" s="61" t="str">
        <f>IF(Практики!F106="Неверно","Не реализовывается","Реализовывается")</f>
        <v>Реализовывается</v>
      </c>
      <c r="G11" s="61">
        <f>Практики!H107</f>
        <v>0</v>
      </c>
      <c r="H11" s="61">
        <f>Практики!H109</f>
        <v>0</v>
      </c>
      <c r="I11" s="61">
        <f>Практики!H113</f>
        <v>0</v>
      </c>
      <c r="J11" s="61">
        <f>Практики!H118</f>
        <v>0</v>
      </c>
      <c r="K11" s="62">
        <f t="shared" si="0"/>
        <v>0</v>
      </c>
      <c r="L11" s="314">
        <f>AVERAGE(K11:K16)</f>
        <v>0</v>
      </c>
      <c r="M11" s="312"/>
      <c r="O11" s="50"/>
    </row>
    <row r="12" spans="2:18" x14ac:dyDescent="0.3">
      <c r="B12" s="321"/>
      <c r="C12" s="328"/>
      <c r="D12" s="60" t="s">
        <v>855</v>
      </c>
      <c r="E12" s="60" t="s">
        <v>854</v>
      </c>
      <c r="F12" s="61" t="str">
        <f>IF(Практики!F119="Неверно","Не реализовывается","Реализовывается")</f>
        <v>Реализовывается</v>
      </c>
      <c r="G12" s="61">
        <f>Практики!H120</f>
        <v>0</v>
      </c>
      <c r="H12" s="61">
        <f>Практики!H122</f>
        <v>0</v>
      </c>
      <c r="I12" s="61">
        <f>Практики!H126</f>
        <v>0</v>
      </c>
      <c r="J12" s="61">
        <f>Практики!H129</f>
        <v>0</v>
      </c>
      <c r="K12" s="62">
        <f t="shared" si="0"/>
        <v>0</v>
      </c>
      <c r="L12" s="314"/>
      <c r="M12" s="312"/>
    </row>
    <row r="13" spans="2:18" x14ac:dyDescent="0.3">
      <c r="B13" s="321"/>
      <c r="C13" s="328"/>
      <c r="D13" s="60" t="s">
        <v>857</v>
      </c>
      <c r="E13" s="60" t="s">
        <v>856</v>
      </c>
      <c r="F13" s="61" t="str">
        <f>IF(Практики!F130="Неверно","Не реализовывается","Реализовывается")</f>
        <v>Реализовывается</v>
      </c>
      <c r="G13" s="61">
        <f>Практики!H131</f>
        <v>0</v>
      </c>
      <c r="H13" s="61">
        <f>Практики!H134</f>
        <v>0</v>
      </c>
      <c r="I13" s="61">
        <f>Практики!H139</f>
        <v>0</v>
      </c>
      <c r="J13" s="61">
        <f>Практики!H143</f>
        <v>0</v>
      </c>
      <c r="K13" s="62">
        <f t="shared" si="0"/>
        <v>0</v>
      </c>
      <c r="L13" s="314"/>
      <c r="M13" s="312"/>
    </row>
    <row r="14" spans="2:18" x14ac:dyDescent="0.3">
      <c r="B14" s="321"/>
      <c r="C14" s="328"/>
      <c r="D14" s="60" t="s">
        <v>859</v>
      </c>
      <c r="E14" s="60" t="s">
        <v>858</v>
      </c>
      <c r="F14" s="61" t="str">
        <f>IF(Практики!F144="Неверно","Не реализовывается","Реализовывается")</f>
        <v>Реализовывается</v>
      </c>
      <c r="G14" s="61">
        <f>Практики!H145</f>
        <v>0</v>
      </c>
      <c r="H14" s="61">
        <f>Практики!H148</f>
        <v>0</v>
      </c>
      <c r="I14" s="61">
        <f>Практики!H151</f>
        <v>0</v>
      </c>
      <c r="J14" s="61">
        <f>Практики!H152</f>
        <v>0</v>
      </c>
      <c r="K14" s="62">
        <f t="shared" si="0"/>
        <v>0</v>
      </c>
      <c r="L14" s="314"/>
      <c r="M14" s="312"/>
    </row>
    <row r="15" spans="2:18" x14ac:dyDescent="0.3">
      <c r="B15" s="321"/>
      <c r="C15" s="328"/>
      <c r="D15" s="60" t="s">
        <v>861</v>
      </c>
      <c r="E15" s="60" t="s">
        <v>860</v>
      </c>
      <c r="F15" s="61" t="str">
        <f>IF(Практики!F154="Неверно","Не реализовывается","Реализовывается")</f>
        <v>Реализовывается</v>
      </c>
      <c r="G15" s="61">
        <f>Практики!H155</f>
        <v>0</v>
      </c>
      <c r="H15" s="61">
        <f>Практики!H159</f>
        <v>0</v>
      </c>
      <c r="I15" s="61">
        <f>Практики!H162</f>
        <v>0</v>
      </c>
      <c r="J15" s="61">
        <f>Практики!H165</f>
        <v>0</v>
      </c>
      <c r="K15" s="62">
        <f t="shared" si="0"/>
        <v>0</v>
      </c>
      <c r="L15" s="314"/>
      <c r="M15" s="312"/>
    </row>
    <row r="16" spans="2:18" x14ac:dyDescent="0.3">
      <c r="B16" s="321"/>
      <c r="C16" s="329"/>
      <c r="D16" s="60" t="s">
        <v>863</v>
      </c>
      <c r="E16" s="60" t="s">
        <v>862</v>
      </c>
      <c r="F16" s="61" t="str">
        <f>IF(Практики!F166="Неверно","Не реализовывается","Реализовывается")</f>
        <v>Реализовывается</v>
      </c>
      <c r="G16" s="61">
        <f>Практики!H167</f>
        <v>0</v>
      </c>
      <c r="H16" s="61">
        <f>Практики!H169</f>
        <v>0</v>
      </c>
      <c r="I16" s="61"/>
      <c r="J16" s="61"/>
      <c r="K16" s="62">
        <f>SUM(G16:H16)/2</f>
        <v>0</v>
      </c>
      <c r="L16" s="314"/>
      <c r="M16" s="312"/>
    </row>
    <row r="17" spans="2:13" x14ac:dyDescent="0.3">
      <c r="B17" s="321"/>
      <c r="C17" s="325" t="s">
        <v>864</v>
      </c>
      <c r="D17" s="60" t="s">
        <v>866</v>
      </c>
      <c r="E17" s="60" t="s">
        <v>865</v>
      </c>
      <c r="F17" s="61" t="str">
        <f>IF(Практики!F172="Неверно","Не реализовывается","Реализовывается")</f>
        <v>Реализовывается</v>
      </c>
      <c r="G17" s="61">
        <f>Практики!H173</f>
        <v>0</v>
      </c>
      <c r="H17" s="61">
        <f>Практики!H175</f>
        <v>0</v>
      </c>
      <c r="I17" s="61">
        <f>Практики!H179</f>
        <v>0</v>
      </c>
      <c r="J17" s="61">
        <f>Практики!H183</f>
        <v>0</v>
      </c>
      <c r="K17" s="62">
        <f>SUM(G17:J17)/4</f>
        <v>0</v>
      </c>
      <c r="L17" s="314">
        <f>AVERAGE(K17:K21)</f>
        <v>0</v>
      </c>
      <c r="M17" s="312"/>
    </row>
    <row r="18" spans="2:13" x14ac:dyDescent="0.3">
      <c r="B18" s="321"/>
      <c r="C18" s="325"/>
      <c r="D18" s="60" t="s">
        <v>868</v>
      </c>
      <c r="E18" s="60" t="s">
        <v>867</v>
      </c>
      <c r="F18" s="61" t="str">
        <f>IF(Практики!F186="Неверно","Не реализовывается","Реализовывается")</f>
        <v>Реализовывается</v>
      </c>
      <c r="G18" s="61">
        <f>Практики!H187</f>
        <v>0</v>
      </c>
      <c r="H18" s="61">
        <f>Практики!H190</f>
        <v>0</v>
      </c>
      <c r="I18" s="61"/>
      <c r="J18" s="61">
        <f>Практики!H191</f>
        <v>0</v>
      </c>
      <c r="K18" s="62">
        <f>SUM(G18:J18)/3</f>
        <v>0</v>
      </c>
      <c r="L18" s="314"/>
      <c r="M18" s="312"/>
    </row>
    <row r="19" spans="2:13" x14ac:dyDescent="0.3">
      <c r="B19" s="321"/>
      <c r="C19" s="325"/>
      <c r="D19" s="60" t="s">
        <v>870</v>
      </c>
      <c r="E19" s="60" t="s">
        <v>869</v>
      </c>
      <c r="F19" s="61" t="str">
        <f>IF(Практики!F192="Неверно","Не реализовывается","Реализовывается")</f>
        <v>Реализовывается</v>
      </c>
      <c r="G19" s="61">
        <f>Практики!H193</f>
        <v>0</v>
      </c>
      <c r="H19" s="61">
        <f>Практики!H194</f>
        <v>0</v>
      </c>
      <c r="I19" s="61">
        <f>Практики!H196</f>
        <v>0</v>
      </c>
      <c r="J19" s="61"/>
      <c r="K19" s="62">
        <f>SUM(G19:I19)/3</f>
        <v>0</v>
      </c>
      <c r="L19" s="314"/>
      <c r="M19" s="312"/>
    </row>
    <row r="20" spans="2:13" x14ac:dyDescent="0.3">
      <c r="B20" s="321"/>
      <c r="C20" s="325"/>
      <c r="D20" s="60" t="s">
        <v>872</v>
      </c>
      <c r="E20" s="60" t="s">
        <v>871</v>
      </c>
      <c r="F20" s="61" t="str">
        <f>IF(Практики!F209="Неверно","Не реализовывается","Реализовывается")</f>
        <v>Реализовывается</v>
      </c>
      <c r="G20" s="61">
        <f>Практики!H210</f>
        <v>0</v>
      </c>
      <c r="H20" s="61">
        <f>Практики!H211</f>
        <v>0</v>
      </c>
      <c r="I20" s="61"/>
      <c r="J20" s="61"/>
      <c r="K20" s="62">
        <f>SUM(G20:H20)/2</f>
        <v>0</v>
      </c>
      <c r="L20" s="314"/>
      <c r="M20" s="312"/>
    </row>
    <row r="21" spans="2:13" x14ac:dyDescent="0.3">
      <c r="B21" s="321"/>
      <c r="C21" s="325"/>
      <c r="D21" s="60" t="s">
        <v>874</v>
      </c>
      <c r="E21" s="60" t="s">
        <v>873</v>
      </c>
      <c r="F21" s="63" t="str">
        <f>IF(Практики!F197="Неверно","Не реализовывается","Реализовывается")</f>
        <v>Реализовывается</v>
      </c>
      <c r="G21" s="64">
        <f>Практики!H198</f>
        <v>0</v>
      </c>
      <c r="H21" s="61">
        <f>Практики!H200</f>
        <v>0</v>
      </c>
      <c r="I21" s="61">
        <f>Практики!H203</f>
        <v>0</v>
      </c>
      <c r="J21" s="61">
        <f>Практики!H207</f>
        <v>0</v>
      </c>
      <c r="K21" s="62">
        <f>SUM(G21:J21)/4</f>
        <v>0</v>
      </c>
      <c r="L21" s="314"/>
      <c r="M21" s="312"/>
    </row>
    <row r="22" spans="2:13" x14ac:dyDescent="0.3">
      <c r="B22" s="321"/>
      <c r="C22" s="325" t="s">
        <v>875</v>
      </c>
      <c r="D22" s="60" t="s">
        <v>877</v>
      </c>
      <c r="E22" s="60" t="s">
        <v>876</v>
      </c>
      <c r="F22" s="61" t="str">
        <f>IF(Практики!F214="Неверно","Не реализовывается","Реализовывается")</f>
        <v>Реализовывается</v>
      </c>
      <c r="G22" s="61">
        <f>Практики!H215</f>
        <v>0</v>
      </c>
      <c r="H22" s="61">
        <f>Практики!H217</f>
        <v>0</v>
      </c>
      <c r="I22" s="61">
        <f>Практики!H219</f>
        <v>0</v>
      </c>
      <c r="J22" s="61">
        <f>Практики!H222</f>
        <v>0</v>
      </c>
      <c r="K22" s="62">
        <f>SUM(G22:J22)/4</f>
        <v>0</v>
      </c>
      <c r="L22" s="314">
        <f>AVERAGE(K22:K29)</f>
        <v>0</v>
      </c>
      <c r="M22" s="312"/>
    </row>
    <row r="23" spans="2:13" x14ac:dyDescent="0.3">
      <c r="B23" s="321"/>
      <c r="C23" s="325"/>
      <c r="D23" s="60" t="s">
        <v>879</v>
      </c>
      <c r="E23" s="60" t="s">
        <v>878</v>
      </c>
      <c r="F23" s="61" t="str">
        <f>IF(Практики!F233="Неверно","Не реализовывается","Реализовывается")</f>
        <v>Реализовывается</v>
      </c>
      <c r="G23" s="63">
        <f>Практики!H234</f>
        <v>0</v>
      </c>
      <c r="H23" s="63">
        <f>Практики!H237</f>
        <v>0</v>
      </c>
      <c r="I23" s="63">
        <f>Практики!H241</f>
        <v>0</v>
      </c>
      <c r="J23" s="63">
        <f>Практики!H245</f>
        <v>0</v>
      </c>
      <c r="K23" s="62">
        <f>SUM(G23:J23)/4</f>
        <v>0</v>
      </c>
      <c r="L23" s="314"/>
      <c r="M23" s="312"/>
    </row>
    <row r="24" spans="2:13" x14ac:dyDescent="0.3">
      <c r="B24" s="321"/>
      <c r="C24" s="325"/>
      <c r="D24" s="60" t="s">
        <v>881</v>
      </c>
      <c r="E24" s="60" t="s">
        <v>880</v>
      </c>
      <c r="F24" s="61" t="str">
        <f>IF(Практики!F225="Неверно","Не реализовывается","Реализовывается")</f>
        <v>Реализовывается</v>
      </c>
      <c r="G24" s="61">
        <f>Практики!H226</f>
        <v>0</v>
      </c>
      <c r="H24" s="61">
        <f>Практики!H229</f>
        <v>0</v>
      </c>
      <c r="I24" s="63">
        <f>Практики!H230</f>
        <v>0</v>
      </c>
      <c r="J24" s="61">
        <f>Практики!H231</f>
        <v>0</v>
      </c>
      <c r="K24" s="62">
        <f>SUM(G24:J24)/4</f>
        <v>0</v>
      </c>
      <c r="L24" s="314"/>
      <c r="M24" s="312"/>
    </row>
    <row r="25" spans="2:13" x14ac:dyDescent="0.3">
      <c r="B25" s="321"/>
      <c r="C25" s="325"/>
      <c r="D25" s="60" t="s">
        <v>883</v>
      </c>
      <c r="E25" s="60" t="s">
        <v>882</v>
      </c>
      <c r="F25" s="61" t="str">
        <f>IF(Практики!F248="Неверно","Не реализовывается","Реализовывается")</f>
        <v>Реализовывается</v>
      </c>
      <c r="G25" s="61">
        <f>Практики!H249</f>
        <v>0</v>
      </c>
      <c r="H25" s="61">
        <f>Практики!H254</f>
        <v>0</v>
      </c>
      <c r="I25" s="61">
        <f>Практики!H256</f>
        <v>0</v>
      </c>
      <c r="J25" s="61">
        <f>Практики!H257</f>
        <v>0</v>
      </c>
      <c r="K25" s="62">
        <f>SUM(G25:J25)/4</f>
        <v>0</v>
      </c>
      <c r="L25" s="314"/>
      <c r="M25" s="312"/>
    </row>
    <row r="26" spans="2:13" x14ac:dyDescent="0.3">
      <c r="B26" s="321"/>
      <c r="C26" s="325"/>
      <c r="D26" s="60" t="s">
        <v>885</v>
      </c>
      <c r="E26" s="60" t="s">
        <v>884</v>
      </c>
      <c r="F26" s="61" t="str">
        <f>IF(Практики!F258="Неверно","Не реализовывается","Реализовывается")</f>
        <v>Реализовывается</v>
      </c>
      <c r="G26" s="61">
        <f>Практики!H259</f>
        <v>0</v>
      </c>
      <c r="H26" s="61">
        <f>Практики!H261</f>
        <v>0</v>
      </c>
      <c r="I26" s="61">
        <f>Практики!H263</f>
        <v>0</v>
      </c>
      <c r="J26" s="61"/>
      <c r="K26" s="62">
        <f>SUM(G26:I26)/3</f>
        <v>0</v>
      </c>
      <c r="L26" s="314"/>
      <c r="M26" s="312"/>
    </row>
    <row r="27" spans="2:13" x14ac:dyDescent="0.3">
      <c r="B27" s="321"/>
      <c r="C27" s="325"/>
      <c r="D27" s="60" t="s">
        <v>887</v>
      </c>
      <c r="E27" s="60" t="s">
        <v>886</v>
      </c>
      <c r="F27" s="61" t="str">
        <f>IF(Практики!F264="Неверно","Не реализовывается","Реализовывается")</f>
        <v>Реализовывается</v>
      </c>
      <c r="G27" s="61">
        <f>Практики!H265</f>
        <v>0</v>
      </c>
      <c r="H27" s="61">
        <f>Практики!H266</f>
        <v>0</v>
      </c>
      <c r="I27" s="61">
        <f>Практики!H267</f>
        <v>0</v>
      </c>
      <c r="J27" s="61"/>
      <c r="K27" s="62">
        <f>SUM(G27:I27)/3</f>
        <v>0</v>
      </c>
      <c r="L27" s="314"/>
      <c r="M27" s="312"/>
    </row>
    <row r="28" spans="2:13" x14ac:dyDescent="0.3">
      <c r="B28" s="321"/>
      <c r="C28" s="325"/>
      <c r="D28" s="60" t="s">
        <v>889</v>
      </c>
      <c r="E28" s="60" t="s">
        <v>888</v>
      </c>
      <c r="F28" s="61" t="str">
        <f>IF(Практики!F268="Неверно","Не реализовывается","Реализовывается")</f>
        <v>Реализовывается</v>
      </c>
      <c r="G28" s="61">
        <f>Практики!H269</f>
        <v>0</v>
      </c>
      <c r="H28" s="61">
        <f>Практики!H271</f>
        <v>0</v>
      </c>
      <c r="I28" s="61">
        <f>Практики!H274</f>
        <v>0</v>
      </c>
      <c r="J28" s="61">
        <f>Практики!H278</f>
        <v>0</v>
      </c>
      <c r="K28" s="62">
        <f>SUM(G28:J28)/4</f>
        <v>0</v>
      </c>
      <c r="L28" s="314"/>
      <c r="M28" s="312"/>
    </row>
    <row r="29" spans="2:13" x14ac:dyDescent="0.3">
      <c r="B29" s="322"/>
      <c r="C29" s="325"/>
      <c r="D29" s="60" t="s">
        <v>891</v>
      </c>
      <c r="E29" s="60" t="s">
        <v>890</v>
      </c>
      <c r="F29" s="61" t="str">
        <f>IF(Практики!F280="Неверно","Не реализовывается","Реализовывается")</f>
        <v>Реализовывается</v>
      </c>
      <c r="G29" s="61"/>
      <c r="H29" s="61">
        <f>Практики!H281</f>
        <v>0</v>
      </c>
      <c r="I29" s="61">
        <f>Практики!H282</f>
        <v>0</v>
      </c>
      <c r="J29" s="61"/>
      <c r="K29" s="62">
        <f>SUM(H29:I29)/2</f>
        <v>0</v>
      </c>
      <c r="L29" s="314"/>
      <c r="M29" s="312"/>
    </row>
    <row r="30" spans="2:13" x14ac:dyDescent="0.3">
      <c r="B30" s="323" t="s">
        <v>892</v>
      </c>
      <c r="C30" s="325" t="s">
        <v>893</v>
      </c>
      <c r="D30" s="65" t="s">
        <v>895</v>
      </c>
      <c r="E30" s="65" t="s">
        <v>894</v>
      </c>
      <c r="F30" s="61" t="str">
        <f>IF(Практики!F285="Неверно","Не реализовывается","Реализовывается")</f>
        <v>Реализовывается</v>
      </c>
      <c r="G30" s="61">
        <f>Практики!H286</f>
        <v>0</v>
      </c>
      <c r="H30" s="61">
        <f>Практики!H288</f>
        <v>0</v>
      </c>
      <c r="I30" s="61">
        <f>Практики!H292</f>
        <v>0</v>
      </c>
      <c r="J30" s="61">
        <f>Практики!H294</f>
        <v>0</v>
      </c>
      <c r="K30" s="62">
        <f t="shared" ref="K30:K38" si="1">SUM(G30:J30)/4</f>
        <v>0</v>
      </c>
      <c r="L30" s="314">
        <f>AVERAGE(K30:K31)</f>
        <v>0</v>
      </c>
      <c r="M30" s="312"/>
    </row>
    <row r="31" spans="2:13" x14ac:dyDescent="0.3">
      <c r="B31" s="321"/>
      <c r="C31" s="325"/>
      <c r="D31" s="65" t="s">
        <v>897</v>
      </c>
      <c r="E31" s="65" t="s">
        <v>896</v>
      </c>
      <c r="F31" s="61" t="str">
        <f>IF(Практики!F295="Неверно","Не реализовывается","Реализовывается")</f>
        <v>Реализовывается</v>
      </c>
      <c r="G31" s="61">
        <f>Практики!H296</f>
        <v>0</v>
      </c>
      <c r="H31" s="61">
        <f>Практики!H297</f>
        <v>0</v>
      </c>
      <c r="I31" s="61">
        <f>Практики!H299</f>
        <v>0</v>
      </c>
      <c r="J31" s="61">
        <f>Практики!H302</f>
        <v>0</v>
      </c>
      <c r="K31" s="62">
        <f t="shared" si="1"/>
        <v>0</v>
      </c>
      <c r="L31" s="314"/>
      <c r="M31" s="312"/>
    </row>
    <row r="32" spans="2:13" x14ac:dyDescent="0.3">
      <c r="B32" s="321"/>
      <c r="C32" s="325" t="s">
        <v>898</v>
      </c>
      <c r="D32" s="65" t="s">
        <v>900</v>
      </c>
      <c r="E32" s="65" t="s">
        <v>899</v>
      </c>
      <c r="F32" s="61" t="str">
        <f>IF(Практики!F306="Неверно","Не реализовывается","Реализовывается")</f>
        <v>Реализовывается</v>
      </c>
      <c r="G32" s="61">
        <f>Практики!H307</f>
        <v>0</v>
      </c>
      <c r="H32" s="61">
        <f>Практики!H310</f>
        <v>0</v>
      </c>
      <c r="I32" s="61">
        <f>Практики!H313</f>
        <v>0</v>
      </c>
      <c r="J32" s="61">
        <f>Практики!H316</f>
        <v>0</v>
      </c>
      <c r="K32" s="62">
        <f t="shared" si="1"/>
        <v>0</v>
      </c>
      <c r="L32" s="314">
        <f>AVERAGE(K32:K36)</f>
        <v>0</v>
      </c>
      <c r="M32" s="312"/>
    </row>
    <row r="33" spans="2:18" ht="16.2" thickBot="1" x14ac:dyDescent="0.35">
      <c r="B33" s="321"/>
      <c r="C33" s="325"/>
      <c r="D33" s="65" t="s">
        <v>902</v>
      </c>
      <c r="E33" s="65" t="s">
        <v>901</v>
      </c>
      <c r="F33" s="61" t="str">
        <f>IF(Практики!F317="Неверно","Не реализовывается","Реализовывается")</f>
        <v>Реализовывается</v>
      </c>
      <c r="G33" s="61">
        <f>Практики!H318</f>
        <v>0</v>
      </c>
      <c r="H33" s="61">
        <f>Практики!H320</f>
        <v>0</v>
      </c>
      <c r="I33" s="61">
        <f>Практики!H323</f>
        <v>0</v>
      </c>
      <c r="J33" s="61">
        <f>Практики!H326</f>
        <v>0</v>
      </c>
      <c r="K33" s="62">
        <f t="shared" si="1"/>
        <v>0</v>
      </c>
      <c r="L33" s="314"/>
      <c r="M33" s="312"/>
    </row>
    <row r="34" spans="2:18" ht="18" customHeight="1" x14ac:dyDescent="0.3">
      <c r="B34" s="321"/>
      <c r="C34" s="325"/>
      <c r="D34" s="65" t="s">
        <v>904</v>
      </c>
      <c r="E34" s="65" t="s">
        <v>903</v>
      </c>
      <c r="F34" s="61" t="str">
        <f>IF(Практики!F327="Неверно","Не реализовывается","Реализовывается")</f>
        <v>Реализовывается</v>
      </c>
      <c r="G34" s="61">
        <f>Практики!H328</f>
        <v>0</v>
      </c>
      <c r="H34" s="61">
        <f>Практики!H329</f>
        <v>0</v>
      </c>
      <c r="I34" s="61">
        <f>Практики!H330</f>
        <v>0</v>
      </c>
      <c r="J34" s="61">
        <f>Практики!H331</f>
        <v>0</v>
      </c>
      <c r="K34" s="62">
        <f t="shared" si="1"/>
        <v>0</v>
      </c>
      <c r="L34" s="314"/>
      <c r="M34" s="312"/>
      <c r="O34" s="306" t="s">
        <v>3136</v>
      </c>
      <c r="P34" s="307"/>
      <c r="Q34" s="308"/>
      <c r="R34" s="316">
        <v>0.8</v>
      </c>
    </row>
    <row r="35" spans="2:18" ht="15.75" customHeight="1" thickBot="1" x14ac:dyDescent="0.35">
      <c r="B35" s="321"/>
      <c r="C35" s="325"/>
      <c r="D35" s="65" t="s">
        <v>906</v>
      </c>
      <c r="E35" s="65" t="s">
        <v>905</v>
      </c>
      <c r="F35" s="61" t="str">
        <f>IF(Практики!F332="Неверно","Не реализовывается","Реализовывается")</f>
        <v>Реализовывается</v>
      </c>
      <c r="G35" s="61">
        <f>Практики!H333</f>
        <v>0</v>
      </c>
      <c r="H35" s="61">
        <f>Практики!H335</f>
        <v>0</v>
      </c>
      <c r="I35" s="61">
        <f>Практики!H336</f>
        <v>0</v>
      </c>
      <c r="J35" s="61">
        <f>Практики!H338</f>
        <v>0</v>
      </c>
      <c r="K35" s="62">
        <f t="shared" si="1"/>
        <v>0</v>
      </c>
      <c r="L35" s="314"/>
      <c r="M35" s="312"/>
      <c r="O35" s="309"/>
      <c r="P35" s="310"/>
      <c r="Q35" s="311"/>
      <c r="R35" s="317"/>
    </row>
    <row r="36" spans="2:18" x14ac:dyDescent="0.3">
      <c r="B36" s="321"/>
      <c r="C36" s="325"/>
      <c r="D36" s="65" t="s">
        <v>908</v>
      </c>
      <c r="E36" s="65" t="s">
        <v>907</v>
      </c>
      <c r="F36" s="61" t="str">
        <f>IF(Практики!F339="Неверно","Не реализовывается","Реализовывается")</f>
        <v>Реализовывается</v>
      </c>
      <c r="G36" s="61">
        <f>Практики!H340</f>
        <v>0</v>
      </c>
      <c r="H36" s="61">
        <f>Практики!H342</f>
        <v>0</v>
      </c>
      <c r="I36" s="61">
        <f>Практики!H344</f>
        <v>0</v>
      </c>
      <c r="J36" s="61">
        <f>Практики!H347</f>
        <v>0</v>
      </c>
      <c r="K36" s="62">
        <f t="shared" si="1"/>
        <v>0</v>
      </c>
      <c r="L36" s="314"/>
      <c r="M36" s="312"/>
      <c r="O36" s="334" t="s">
        <v>3690</v>
      </c>
      <c r="P36" s="335"/>
      <c r="Q36" s="335"/>
      <c r="R36" s="101">
        <f>IF(AND(Q3&gt;=R34, Q4&gt;=R34),1,0)</f>
        <v>0</v>
      </c>
    </row>
    <row r="37" spans="2:18" ht="15.75" customHeight="1" x14ac:dyDescent="0.3">
      <c r="B37" s="321"/>
      <c r="C37" s="302" t="s">
        <v>909</v>
      </c>
      <c r="D37" s="65" t="s">
        <v>911</v>
      </c>
      <c r="E37" s="65" t="s">
        <v>910</v>
      </c>
      <c r="F37" s="61" t="str">
        <f>IF(Практики!F350="Неверно","Не реализовывается","Реализовывается")</f>
        <v>Реализовывается</v>
      </c>
      <c r="G37" s="61">
        <f>Практики!H351</f>
        <v>0</v>
      </c>
      <c r="H37" s="61">
        <f>Практики!H352</f>
        <v>0</v>
      </c>
      <c r="I37" s="61">
        <f>Практики!H354</f>
        <v>0</v>
      </c>
      <c r="J37" s="61">
        <f>Практики!H357</f>
        <v>0</v>
      </c>
      <c r="K37" s="62">
        <f t="shared" si="1"/>
        <v>0</v>
      </c>
      <c r="L37" s="304">
        <f>AVERAGE(K37:K38)</f>
        <v>0</v>
      </c>
      <c r="M37" s="312"/>
      <c r="O37" s="336"/>
      <c r="P37" s="335"/>
      <c r="Q37" s="335"/>
      <c r="R37" s="101">
        <f>IF(AND(R36=1,Q5&gt;=R34),2,R36)</f>
        <v>0</v>
      </c>
    </row>
    <row r="38" spans="2:18" ht="15.75" customHeight="1" x14ac:dyDescent="0.3">
      <c r="B38" s="321"/>
      <c r="C38" s="303"/>
      <c r="D38" s="65" t="s">
        <v>913</v>
      </c>
      <c r="E38" s="65" t="s">
        <v>912</v>
      </c>
      <c r="F38" s="61" t="str">
        <f>IF(Практики!F358="Неверно","Не реализовывается","Реализовывается")</f>
        <v>Реализовывается</v>
      </c>
      <c r="G38" s="61">
        <f>Практики!H359</f>
        <v>0</v>
      </c>
      <c r="H38" s="61">
        <f>Практики!H361</f>
        <v>0</v>
      </c>
      <c r="I38" s="61">
        <f>Практики!H362</f>
        <v>0</v>
      </c>
      <c r="J38" s="61">
        <f>Практики!H365</f>
        <v>0</v>
      </c>
      <c r="K38" s="62">
        <f t="shared" si="1"/>
        <v>0</v>
      </c>
      <c r="L38" s="305"/>
      <c r="M38" s="312"/>
      <c r="O38" s="336"/>
      <c r="P38" s="335"/>
      <c r="Q38" s="335"/>
      <c r="R38" s="101">
        <f>IF(AND(R37=2,Q6&gt;=R34),3,R37)</f>
        <v>0</v>
      </c>
    </row>
    <row r="39" spans="2:18" ht="15.75" customHeight="1" x14ac:dyDescent="0.3">
      <c r="B39" s="321"/>
      <c r="C39" s="302" t="s">
        <v>1323</v>
      </c>
      <c r="D39" s="65" t="s">
        <v>915</v>
      </c>
      <c r="E39" s="65" t="s">
        <v>914</v>
      </c>
      <c r="F39" s="61" t="str">
        <f>IF(Практики!F368="Неверно","Не реализовывается","Реализовывается")</f>
        <v>Реализовывается</v>
      </c>
      <c r="G39" s="61"/>
      <c r="H39" s="61">
        <f>Практики!H369</f>
        <v>0</v>
      </c>
      <c r="I39" s="61">
        <f>Практики!H371</f>
        <v>0</v>
      </c>
      <c r="J39" s="61"/>
      <c r="K39" s="62">
        <f>SUM(H39:I39)/2</f>
        <v>0</v>
      </c>
      <c r="L39" s="304">
        <f>AVERAGE(K39:K40)</f>
        <v>0</v>
      </c>
      <c r="M39" s="312"/>
      <c r="O39" s="336"/>
      <c r="P39" s="335"/>
      <c r="Q39" s="335"/>
      <c r="R39" s="101">
        <f>IF(AND(R38=3,Q7&gt;=R34),4,R38)</f>
        <v>0</v>
      </c>
    </row>
    <row r="40" spans="2:18" ht="15.75" customHeight="1" x14ac:dyDescent="0.3">
      <c r="B40" s="321"/>
      <c r="C40" s="303"/>
      <c r="D40" s="65" t="s">
        <v>917</v>
      </c>
      <c r="E40" s="65" t="s">
        <v>916</v>
      </c>
      <c r="F40" s="61" t="str">
        <f>IF(Практики!F373="Неверно","Не реализовывается","Реализовывается")</f>
        <v>Реализовывается</v>
      </c>
      <c r="G40" s="61"/>
      <c r="H40" s="61">
        <f>Практики!H374</f>
        <v>0</v>
      </c>
      <c r="I40" s="61">
        <f>Практики!H376</f>
        <v>0</v>
      </c>
      <c r="J40" s="61">
        <f>Практики!H379</f>
        <v>0</v>
      </c>
      <c r="K40" s="62">
        <f>SUM(H40:J40)/3</f>
        <v>0</v>
      </c>
      <c r="L40" s="305"/>
      <c r="M40" s="312"/>
      <c r="O40" s="336"/>
      <c r="P40" s="335"/>
      <c r="Q40" s="335"/>
      <c r="R40" s="101">
        <f>IF(AND(R39=4,Q8&gt;=R34),5,R39)</f>
        <v>0</v>
      </c>
    </row>
    <row r="41" spans="2:18" x14ac:dyDescent="0.3">
      <c r="B41" s="321"/>
      <c r="C41" s="325" t="s">
        <v>918</v>
      </c>
      <c r="D41" s="65" t="s">
        <v>920</v>
      </c>
      <c r="E41" s="65" t="s">
        <v>919</v>
      </c>
      <c r="F41" s="61" t="str">
        <f>IF(Практики!F382="Неверно","Не реализовывается","Реализовывается")</f>
        <v>Реализовывается</v>
      </c>
      <c r="G41" s="61">
        <f>Практики!H383</f>
        <v>0</v>
      </c>
      <c r="H41" s="61">
        <f>Практики!H384</f>
        <v>0</v>
      </c>
      <c r="I41" s="61">
        <f>Практики!H386</f>
        <v>0</v>
      </c>
      <c r="J41" s="61">
        <f>Практики!H390</f>
        <v>0</v>
      </c>
      <c r="K41" s="62">
        <f>SUM(G41:J41)/4</f>
        <v>0</v>
      </c>
      <c r="L41" s="314">
        <f>AVERAGE(K41:K42)</f>
        <v>0</v>
      </c>
      <c r="M41" s="312"/>
      <c r="O41" s="336"/>
      <c r="P41" s="335"/>
      <c r="Q41" s="335"/>
      <c r="R41" s="101">
        <f>IF(AND(R40=5,Q9&gt;=R34),6,R40)</f>
        <v>0</v>
      </c>
    </row>
    <row r="42" spans="2:18" ht="16.2" thickBot="1" x14ac:dyDescent="0.35">
      <c r="B42" s="324"/>
      <c r="C42" s="326"/>
      <c r="D42" s="66" t="s">
        <v>922</v>
      </c>
      <c r="E42" s="66" t="s">
        <v>921</v>
      </c>
      <c r="F42" s="67" t="str">
        <f>IF(Практики!F394="Неверно","Не реализовывается","Реализовывается")</f>
        <v>Реализовывается</v>
      </c>
      <c r="G42" s="67">
        <f>Практики!H395</f>
        <v>0</v>
      </c>
      <c r="H42" s="67">
        <f>Практики!H397</f>
        <v>0</v>
      </c>
      <c r="I42" s="67">
        <f>Практики!H401</f>
        <v>0</v>
      </c>
      <c r="J42" s="67"/>
      <c r="K42" s="68">
        <f>SUM(G42:I42)/3</f>
        <v>0</v>
      </c>
      <c r="L42" s="315"/>
      <c r="M42" s="313"/>
      <c r="O42" s="337"/>
      <c r="P42" s="338"/>
      <c r="Q42" s="338"/>
      <c r="R42" s="102">
        <f>IF(AND(R41=6,Q10&gt;=R34),7,R41)</f>
        <v>0</v>
      </c>
    </row>
  </sheetData>
  <mergeCells count="30">
    <mergeCell ref="O1:R1"/>
    <mergeCell ref="R34:R35"/>
    <mergeCell ref="F1:J1"/>
    <mergeCell ref="B3:B29"/>
    <mergeCell ref="B30:B42"/>
    <mergeCell ref="C3:C4"/>
    <mergeCell ref="C5:C10"/>
    <mergeCell ref="C17:C21"/>
    <mergeCell ref="C22:C29"/>
    <mergeCell ref="C30:C31"/>
    <mergeCell ref="C32:C36"/>
    <mergeCell ref="C41:C42"/>
    <mergeCell ref="C11:C16"/>
    <mergeCell ref="O2:P2"/>
    <mergeCell ref="R3:R10"/>
    <mergeCell ref="O36:Q42"/>
    <mergeCell ref="L3:L4"/>
    <mergeCell ref="C37:C38"/>
    <mergeCell ref="C39:C40"/>
    <mergeCell ref="L37:L38"/>
    <mergeCell ref="L39:L40"/>
    <mergeCell ref="O34:Q35"/>
    <mergeCell ref="M3:M42"/>
    <mergeCell ref="L5:L10"/>
    <mergeCell ref="L11:L16"/>
    <mergeCell ref="L17:L21"/>
    <mergeCell ref="L22:L29"/>
    <mergeCell ref="L30:L31"/>
    <mergeCell ref="L32:L36"/>
    <mergeCell ref="L41:L42"/>
  </mergeCells>
  <conditionalFormatting sqref="F3:F42">
    <cfRule type="beginsWith" dxfId="718" priority="7" operator="beginsWith" text="Реализовывается">
      <formula>LEFT(F3,LEN("Реализовывается"))="Реализовывается"</formula>
    </cfRule>
    <cfRule type="containsText" dxfId="717" priority="8" operator="containsText" text="Не реализовывается">
      <formula>NOT(ISERROR(SEARCH("Не реализовывается",F3)))</formula>
    </cfRule>
  </conditionalFormatting>
  <conditionalFormatting sqref="G3:J42">
    <cfRule type="colorScale" priority="4240">
      <colorScale>
        <cfvo type="percent" val="0"/>
        <cfvo type="percent" val="50"/>
        <cfvo type="percent" val="100"/>
        <color rgb="FFFF7C80"/>
        <color rgb="FFFFEB84"/>
        <color theme="9" tint="0.39997558519241921"/>
      </colorScale>
    </cfRule>
  </conditionalFormatting>
  <conditionalFormatting sqref="K1:M1048576">
    <cfRule type="colorScale" priority="2">
      <colorScale>
        <cfvo type="min"/>
        <cfvo type="percentile" val="50"/>
        <cfvo type="num" val="1"/>
        <color theme="5" tint="0.39997558519241921"/>
        <color rgb="FFFFEB84"/>
        <color rgb="FF63BE7B"/>
      </colorScale>
    </cfRule>
  </conditionalFormatting>
  <conditionalFormatting sqref="Q3:Q10 R36:R42">
    <cfRule type="colorScale" priority="1">
      <colorScale>
        <cfvo type="min"/>
        <cfvo type="percentile" val="50"/>
        <cfvo type="num" val="1"/>
        <color theme="5" tint="0.39997558519241921"/>
        <color rgb="FFFFEB84"/>
        <color rgb="FF63BE7B"/>
      </colorScale>
    </cfRule>
  </conditionalFormatting>
  <hyperlinks>
    <hyperlink ref="O1:R1" r:id="rId1" display="Инструкция по заполнению описана в репозитории проекта на Github" xr:uid="{B54CCB7A-CAB7-4566-B7A9-B71A05242F5E}"/>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4">
    <tabColor rgb="FF92D050"/>
  </sheetPr>
  <dimension ref="A1:W411"/>
  <sheetViews>
    <sheetView zoomScale="70" zoomScaleNormal="70" workbookViewId="0">
      <pane xSplit="2" ySplit="1" topLeftCell="C2" activePane="bottomRight" state="frozen"/>
      <selection pane="topRight" activeCell="C1" sqref="C1"/>
      <selection pane="bottomLeft" activeCell="A2" sqref="A2"/>
      <selection pane="bottomRight" activeCell="Y32" sqref="A30:Y35"/>
    </sheetView>
  </sheetViews>
  <sheetFormatPr defaultColWidth="8.5546875" defaultRowHeight="14.4" outlineLevelRow="2" x14ac:dyDescent="0.3"/>
  <cols>
    <col min="1" max="1" width="2" style="3" customWidth="1"/>
    <col min="2" max="2" width="20" style="6" customWidth="1"/>
    <col min="3" max="3" width="20.109375" style="12" customWidth="1"/>
    <col min="4" max="4" width="99.33203125" style="12" customWidth="1"/>
    <col min="5" max="5" width="13.88671875" style="12" customWidth="1"/>
    <col min="6" max="6" width="13.33203125" style="7" customWidth="1"/>
    <col min="7" max="7" width="14.109375" style="94" customWidth="1"/>
    <col min="8" max="8" width="17.109375" style="95" customWidth="1"/>
    <col min="9" max="9" width="13.21875" style="95" customWidth="1"/>
    <col min="10" max="10" width="18.5546875" style="94" customWidth="1"/>
    <col min="11" max="12" width="10.5546875" style="99" customWidth="1"/>
    <col min="13" max="13" width="15.109375" style="99" customWidth="1"/>
    <col min="14" max="14" width="23.33203125" style="99" customWidth="1"/>
    <col min="15" max="15" width="10.109375" style="99" customWidth="1"/>
    <col min="16" max="16" width="12.88671875" style="14" customWidth="1"/>
    <col min="17" max="17" width="21.5546875" style="12" bestFit="1" customWidth="1"/>
    <col min="18" max="16384" width="8.5546875" style="3"/>
  </cols>
  <sheetData>
    <row r="1" spans="2:17" s="7" customFormat="1" ht="72" x14ac:dyDescent="0.3">
      <c r="B1" s="11" t="s">
        <v>1</v>
      </c>
      <c r="C1" s="11" t="s">
        <v>2</v>
      </c>
      <c r="D1" s="11" t="s">
        <v>3</v>
      </c>
      <c r="E1" s="11" t="s">
        <v>3918</v>
      </c>
      <c r="F1" s="11" t="s">
        <v>4</v>
      </c>
      <c r="G1" s="11" t="s">
        <v>5</v>
      </c>
      <c r="H1" s="11" t="s">
        <v>6</v>
      </c>
      <c r="I1" s="11" t="s">
        <v>7</v>
      </c>
      <c r="J1" s="11" t="s">
        <v>8</v>
      </c>
      <c r="K1" s="11" t="s">
        <v>2294</v>
      </c>
      <c r="L1" s="11" t="s">
        <v>9</v>
      </c>
      <c r="M1" s="11" t="s">
        <v>2293</v>
      </c>
      <c r="N1" s="11" t="s">
        <v>3140</v>
      </c>
      <c r="O1" s="11" t="s">
        <v>1789</v>
      </c>
      <c r="P1" s="11" t="s">
        <v>1790</v>
      </c>
      <c r="Q1" s="11" t="s">
        <v>2286</v>
      </c>
    </row>
    <row r="2" spans="2:17" ht="29.4" customHeight="1" x14ac:dyDescent="0.3">
      <c r="B2" s="373" t="s">
        <v>10</v>
      </c>
      <c r="C2" s="374"/>
      <c r="D2" s="375"/>
      <c r="E2" s="130"/>
      <c r="F2" s="386"/>
      <c r="G2" s="386"/>
      <c r="H2" s="386"/>
      <c r="I2" s="386"/>
      <c r="J2" s="386"/>
      <c r="K2" s="386"/>
      <c r="L2" s="386"/>
      <c r="M2" s="386"/>
      <c r="N2" s="386"/>
      <c r="O2" s="386"/>
      <c r="P2" s="386"/>
      <c r="Q2" s="300"/>
    </row>
    <row r="3" spans="2:17" ht="29.4" customHeight="1" outlineLevel="1" x14ac:dyDescent="0.3">
      <c r="B3" s="385" t="str">
        <f>'Результаты аудита'!D3</f>
        <v>Контроль использования сторонних компонентов</v>
      </c>
      <c r="C3" s="15" t="s">
        <v>11</v>
      </c>
      <c r="D3" s="15" t="s">
        <v>12</v>
      </c>
      <c r="E3" s="70" t="s">
        <v>3914</v>
      </c>
      <c r="F3" s="73" t="s">
        <v>3913</v>
      </c>
      <c r="G3" s="69">
        <v>0</v>
      </c>
      <c r="H3" s="70">
        <f>(COUNTIF(F3:F3,$F$407))/COUNTA(F3:F3)</f>
        <v>0</v>
      </c>
      <c r="I3" s="346">
        <f>SUM(H4:H15)/4</f>
        <v>0</v>
      </c>
      <c r="J3" s="69">
        <v>0</v>
      </c>
      <c r="K3" s="75"/>
      <c r="L3" s="75" t="s">
        <v>2830</v>
      </c>
      <c r="M3" s="75" t="s">
        <v>34</v>
      </c>
      <c r="N3" s="75"/>
      <c r="O3" s="75"/>
      <c r="P3" s="75"/>
      <c r="Q3" s="1"/>
    </row>
    <row r="4" spans="2:17" ht="29.4" hidden="1" customHeight="1" outlineLevel="2" x14ac:dyDescent="0.3">
      <c r="B4" s="385"/>
      <c r="C4" s="15" t="s">
        <v>14</v>
      </c>
      <c r="D4" s="15" t="s">
        <v>15</v>
      </c>
      <c r="E4" s="70" t="s">
        <v>3914</v>
      </c>
      <c r="F4" s="73" t="s">
        <v>3913</v>
      </c>
      <c r="G4" s="340">
        <v>1</v>
      </c>
      <c r="H4" s="346">
        <f>(COUNTIF(F4:F8,$G$409)+(COUNTIF(F4:F8,$G$408)*0.5))/(COUNTA(F4:F8)-COUNTIF(F4:F8,$G$410))</f>
        <v>0</v>
      </c>
      <c r="I4" s="346"/>
      <c r="J4" s="69">
        <v>2</v>
      </c>
      <c r="K4" s="75"/>
      <c r="L4" s="75"/>
      <c r="M4" s="75" t="s">
        <v>17</v>
      </c>
      <c r="N4" s="75" t="s">
        <v>3141</v>
      </c>
      <c r="O4" s="75"/>
      <c r="P4" s="73" t="s">
        <v>1840</v>
      </c>
      <c r="Q4" s="15"/>
    </row>
    <row r="5" spans="2:17" ht="29.4" hidden="1" customHeight="1" outlineLevel="2" x14ac:dyDescent="0.3">
      <c r="B5" s="385"/>
      <c r="C5" s="15" t="s">
        <v>18</v>
      </c>
      <c r="D5" s="15" t="s">
        <v>19</v>
      </c>
      <c r="E5" s="70" t="s">
        <v>3914</v>
      </c>
      <c r="F5" s="73" t="s">
        <v>3913</v>
      </c>
      <c r="G5" s="341"/>
      <c r="H5" s="346"/>
      <c r="I5" s="346"/>
      <c r="J5" s="69">
        <v>2</v>
      </c>
      <c r="K5" s="75"/>
      <c r="L5" s="75" t="s">
        <v>165</v>
      </c>
      <c r="M5" s="75" t="s">
        <v>1803</v>
      </c>
      <c r="N5" s="75"/>
      <c r="O5" s="75"/>
      <c r="P5" s="75"/>
      <c r="Q5" s="15"/>
    </row>
    <row r="6" spans="2:17" ht="29.4" hidden="1" customHeight="1" outlineLevel="2" x14ac:dyDescent="0.3">
      <c r="B6" s="385"/>
      <c r="C6" s="15" t="s">
        <v>21</v>
      </c>
      <c r="D6" s="15" t="s">
        <v>22</v>
      </c>
      <c r="E6" s="70" t="s">
        <v>3914</v>
      </c>
      <c r="F6" s="73" t="s">
        <v>3913</v>
      </c>
      <c r="G6" s="341"/>
      <c r="H6" s="346"/>
      <c r="I6" s="346"/>
      <c r="J6" s="69">
        <v>2</v>
      </c>
      <c r="K6" s="75" t="s">
        <v>23</v>
      </c>
      <c r="L6" s="75"/>
      <c r="M6" s="76"/>
      <c r="N6" s="75" t="s">
        <v>3141</v>
      </c>
      <c r="O6" s="75" t="s">
        <v>2378</v>
      </c>
      <c r="P6" s="75" t="s">
        <v>1841</v>
      </c>
      <c r="Q6" s="15"/>
    </row>
    <row r="7" spans="2:17" ht="29.4" hidden="1" customHeight="1" outlineLevel="2" x14ac:dyDescent="0.3">
      <c r="B7" s="385"/>
      <c r="C7" s="15" t="s">
        <v>24</v>
      </c>
      <c r="D7" s="15" t="s">
        <v>25</v>
      </c>
      <c r="E7" s="70" t="s">
        <v>3914</v>
      </c>
      <c r="F7" s="73" t="s">
        <v>3913</v>
      </c>
      <c r="G7" s="341"/>
      <c r="H7" s="346"/>
      <c r="I7" s="346"/>
      <c r="J7" s="69">
        <v>2</v>
      </c>
      <c r="K7" s="75"/>
      <c r="L7" s="75" t="s">
        <v>2831</v>
      </c>
      <c r="M7" s="75" t="s">
        <v>1804</v>
      </c>
      <c r="N7" s="75"/>
      <c r="O7" s="75"/>
      <c r="P7" s="75" t="s">
        <v>1842</v>
      </c>
      <c r="Q7" s="15"/>
    </row>
    <row r="8" spans="2:17" ht="29.4" hidden="1" customHeight="1" outlineLevel="2" x14ac:dyDescent="0.3">
      <c r="B8" s="385"/>
      <c r="C8" s="15" t="s">
        <v>26</v>
      </c>
      <c r="D8" s="15" t="s">
        <v>27</v>
      </c>
      <c r="E8" s="70" t="s">
        <v>3914</v>
      </c>
      <c r="F8" s="73" t="s">
        <v>3913</v>
      </c>
      <c r="G8" s="342"/>
      <c r="H8" s="346"/>
      <c r="I8" s="346"/>
      <c r="J8" s="69">
        <v>2</v>
      </c>
      <c r="K8" s="75"/>
      <c r="L8" s="75"/>
      <c r="M8" s="75" t="s">
        <v>766</v>
      </c>
      <c r="N8" s="75"/>
      <c r="O8" s="75"/>
      <c r="P8" s="75"/>
      <c r="Q8" s="15"/>
    </row>
    <row r="9" spans="2:17" ht="29.4" hidden="1" customHeight="1" outlineLevel="2" x14ac:dyDescent="0.3">
      <c r="B9" s="385"/>
      <c r="C9" s="15" t="s">
        <v>28</v>
      </c>
      <c r="D9" s="15" t="s">
        <v>29</v>
      </c>
      <c r="E9" s="70" t="s">
        <v>3914</v>
      </c>
      <c r="F9" s="73" t="s">
        <v>3913</v>
      </c>
      <c r="G9" s="340">
        <v>2</v>
      </c>
      <c r="H9" s="346">
        <f>(COUNTIF(F9:F10,$G$409)+(COUNTIF(F9:F10,$G$408)*0.5))/(COUNTA(F9:F10)-COUNTIF(F9:F10,$G$410))</f>
        <v>0</v>
      </c>
      <c r="I9" s="346"/>
      <c r="J9" s="69">
        <v>3</v>
      </c>
      <c r="K9" s="75" t="s">
        <v>23</v>
      </c>
      <c r="L9" s="75"/>
      <c r="M9" s="75"/>
      <c r="N9" s="75" t="s">
        <v>3142</v>
      </c>
      <c r="O9" s="75"/>
      <c r="P9" s="75"/>
      <c r="Q9" s="15"/>
    </row>
    <row r="10" spans="2:17" ht="29.4" hidden="1" customHeight="1" outlineLevel="2" x14ac:dyDescent="0.3">
      <c r="B10" s="385"/>
      <c r="C10" s="15" t="s">
        <v>30</v>
      </c>
      <c r="D10" s="15" t="s">
        <v>31</v>
      </c>
      <c r="E10" s="70" t="s">
        <v>3914</v>
      </c>
      <c r="F10" s="73" t="s">
        <v>3913</v>
      </c>
      <c r="G10" s="342"/>
      <c r="H10" s="346"/>
      <c r="I10" s="346"/>
      <c r="J10" s="69">
        <v>3</v>
      </c>
      <c r="K10" s="75"/>
      <c r="L10" s="75"/>
      <c r="M10" s="75" t="s">
        <v>2429</v>
      </c>
      <c r="N10" s="75" t="s">
        <v>3143</v>
      </c>
      <c r="O10" s="75"/>
      <c r="P10" s="75"/>
      <c r="Q10" s="15"/>
    </row>
    <row r="11" spans="2:17" ht="29.4" hidden="1" customHeight="1" outlineLevel="2" x14ac:dyDescent="0.3">
      <c r="B11" s="385"/>
      <c r="C11" s="15" t="s">
        <v>32</v>
      </c>
      <c r="D11" s="15" t="s">
        <v>33</v>
      </c>
      <c r="E11" s="70" t="s">
        <v>3914</v>
      </c>
      <c r="F11" s="73" t="s">
        <v>3913</v>
      </c>
      <c r="G11" s="340">
        <v>3</v>
      </c>
      <c r="H11" s="346">
        <f>(COUNTIF(F11:F13,$G$409)+(COUNTIF(F11:F13,$G$408)*0.5))/(COUNTA(F11:F13)-COUNTIF(F11:F13,$G$410))</f>
        <v>0</v>
      </c>
      <c r="I11" s="346"/>
      <c r="J11" s="69">
        <v>4</v>
      </c>
      <c r="K11" s="75" t="s">
        <v>1324</v>
      </c>
      <c r="L11" s="75"/>
      <c r="M11" s="77" t="s">
        <v>34</v>
      </c>
      <c r="N11" s="75" t="s">
        <v>3144</v>
      </c>
      <c r="O11" s="75" t="s">
        <v>2325</v>
      </c>
      <c r="P11" s="73" t="s">
        <v>1843</v>
      </c>
      <c r="Q11" s="15"/>
    </row>
    <row r="12" spans="2:17" ht="29.4" hidden="1" customHeight="1" outlineLevel="2" x14ac:dyDescent="0.3">
      <c r="B12" s="385"/>
      <c r="C12" s="15" t="s">
        <v>35</v>
      </c>
      <c r="D12" s="15" t="s">
        <v>3905</v>
      </c>
      <c r="E12" s="70" t="s">
        <v>3914</v>
      </c>
      <c r="F12" s="73" t="s">
        <v>3913</v>
      </c>
      <c r="G12" s="341"/>
      <c r="H12" s="346"/>
      <c r="I12" s="346"/>
      <c r="J12" s="69">
        <v>4</v>
      </c>
      <c r="K12" s="75"/>
      <c r="L12" s="75"/>
      <c r="M12" s="77"/>
      <c r="N12" s="75" t="s">
        <v>3145</v>
      </c>
      <c r="O12" s="75"/>
      <c r="P12" s="73"/>
      <c r="Q12" s="15"/>
    </row>
    <row r="13" spans="2:17" ht="29.4" hidden="1" customHeight="1" outlineLevel="2" x14ac:dyDescent="0.3">
      <c r="B13" s="385"/>
      <c r="C13" s="15" t="s">
        <v>36</v>
      </c>
      <c r="D13" s="15" t="s">
        <v>37</v>
      </c>
      <c r="E13" s="70" t="s">
        <v>3914</v>
      </c>
      <c r="F13" s="73" t="s">
        <v>3913</v>
      </c>
      <c r="G13" s="342"/>
      <c r="H13" s="346"/>
      <c r="I13" s="346"/>
      <c r="J13" s="69">
        <v>4</v>
      </c>
      <c r="K13" s="75"/>
      <c r="L13" s="75" t="s">
        <v>158</v>
      </c>
      <c r="M13" s="75"/>
      <c r="N13" s="75"/>
      <c r="O13" s="75"/>
      <c r="P13" s="75"/>
      <c r="Q13" s="15"/>
    </row>
    <row r="14" spans="2:17" ht="29.4" hidden="1" customHeight="1" outlineLevel="2" x14ac:dyDescent="0.3">
      <c r="B14" s="385"/>
      <c r="C14" s="15" t="s">
        <v>38</v>
      </c>
      <c r="D14" s="15" t="s">
        <v>1416</v>
      </c>
      <c r="E14" s="70" t="s">
        <v>3914</v>
      </c>
      <c r="F14" s="73" t="s">
        <v>3913</v>
      </c>
      <c r="G14" s="340">
        <v>4</v>
      </c>
      <c r="H14" s="346">
        <f>(COUNTIF(F14:F15,$G$409)+(COUNTIF(F14:F15,$G$408)*0.5))/(COUNTA(F14:F15)-COUNTIF(F14:F15,$G$410))</f>
        <v>0</v>
      </c>
      <c r="I14" s="346"/>
      <c r="J14" s="69">
        <v>6</v>
      </c>
      <c r="K14" s="75"/>
      <c r="L14" s="75"/>
      <c r="M14" s="75"/>
      <c r="N14" s="75"/>
      <c r="O14" s="75"/>
      <c r="P14" s="75" t="s">
        <v>1845</v>
      </c>
      <c r="Q14" s="15"/>
    </row>
    <row r="15" spans="2:17" ht="29.4" hidden="1" customHeight="1" outlineLevel="2" x14ac:dyDescent="0.3">
      <c r="B15" s="385"/>
      <c r="C15" s="15" t="s">
        <v>40</v>
      </c>
      <c r="D15" s="15" t="s">
        <v>39</v>
      </c>
      <c r="E15" s="70" t="s">
        <v>3914</v>
      </c>
      <c r="F15" s="73" t="s">
        <v>3913</v>
      </c>
      <c r="G15" s="342"/>
      <c r="H15" s="346"/>
      <c r="I15" s="346"/>
      <c r="J15" s="69">
        <v>6</v>
      </c>
      <c r="K15" s="75"/>
      <c r="L15" s="75"/>
      <c r="M15" s="75"/>
      <c r="N15" s="75"/>
      <c r="O15" s="75"/>
      <c r="P15" s="75"/>
      <c r="Q15" s="15"/>
    </row>
    <row r="16" spans="2:17" ht="29.4" customHeight="1" outlineLevel="1" collapsed="1" x14ac:dyDescent="0.3">
      <c r="B16" s="372" t="str">
        <f>'Результаты аудита'!D4</f>
        <v>Управление артефактами</v>
      </c>
      <c r="C16" s="15" t="s">
        <v>41</v>
      </c>
      <c r="D16" s="15" t="s">
        <v>42</v>
      </c>
      <c r="E16" s="70" t="s">
        <v>3914</v>
      </c>
      <c r="F16" s="73" t="s">
        <v>3913</v>
      </c>
      <c r="G16" s="69">
        <v>0</v>
      </c>
      <c r="H16" s="70">
        <f>(COUNTIF(F16:F16,$F$407))/COUNTA(F16:F16)</f>
        <v>0</v>
      </c>
      <c r="I16" s="346">
        <f>SUM(H17:H29)/4</f>
        <v>0</v>
      </c>
      <c r="J16" s="69">
        <v>0</v>
      </c>
      <c r="K16" s="75"/>
      <c r="L16" s="75"/>
      <c r="M16" s="75" t="s">
        <v>767</v>
      </c>
      <c r="N16" s="75"/>
      <c r="O16" s="75"/>
      <c r="P16" s="75"/>
      <c r="Q16" s="15"/>
    </row>
    <row r="17" spans="2:17" ht="29.4" hidden="1" customHeight="1" outlineLevel="2" x14ac:dyDescent="0.3">
      <c r="B17" s="372"/>
      <c r="C17" s="15" t="s">
        <v>43</v>
      </c>
      <c r="D17" s="15" t="s">
        <v>44</v>
      </c>
      <c r="E17" s="70" t="s">
        <v>3914</v>
      </c>
      <c r="F17" s="73" t="s">
        <v>3913</v>
      </c>
      <c r="G17" s="340">
        <v>1</v>
      </c>
      <c r="H17" s="346">
        <f>(COUNTIF(F17:F21,$G$409)+(COUNTIF(F17:F21,$G$408)*0.5))/(COUNTA(F17:F21)-COUNTIF(F17:F21,$G$410))</f>
        <v>0</v>
      </c>
      <c r="I17" s="346"/>
      <c r="J17" s="69">
        <v>1</v>
      </c>
      <c r="K17" s="75"/>
      <c r="L17" s="75"/>
      <c r="M17" s="75"/>
      <c r="N17" s="75" t="s">
        <v>3146</v>
      </c>
      <c r="O17" s="75" t="s">
        <v>2314</v>
      </c>
      <c r="P17" s="75" t="s">
        <v>1846</v>
      </c>
      <c r="Q17" s="15"/>
    </row>
    <row r="18" spans="2:17" ht="29.4" hidden="1" customHeight="1" outlineLevel="2" x14ac:dyDescent="0.3">
      <c r="B18" s="372"/>
      <c r="C18" s="15" t="s">
        <v>45</v>
      </c>
      <c r="D18" s="15" t="s">
        <v>46</v>
      </c>
      <c r="E18" s="70" t="s">
        <v>3914</v>
      </c>
      <c r="F18" s="73" t="s">
        <v>3913</v>
      </c>
      <c r="G18" s="341"/>
      <c r="H18" s="346"/>
      <c r="I18" s="346"/>
      <c r="J18" s="69">
        <v>1</v>
      </c>
      <c r="K18" s="75"/>
      <c r="L18" s="75" t="s">
        <v>2832</v>
      </c>
      <c r="M18" s="75"/>
      <c r="N18" s="75"/>
      <c r="O18" s="75" t="s">
        <v>2313</v>
      </c>
      <c r="P18" s="75" t="s">
        <v>1847</v>
      </c>
      <c r="Q18" s="15"/>
    </row>
    <row r="19" spans="2:17" ht="29.4" hidden="1" customHeight="1" outlineLevel="2" x14ac:dyDescent="0.3">
      <c r="B19" s="372"/>
      <c r="C19" s="15" t="s">
        <v>47</v>
      </c>
      <c r="D19" s="15" t="s">
        <v>48</v>
      </c>
      <c r="E19" s="70" t="s">
        <v>3914</v>
      </c>
      <c r="F19" s="73" t="s">
        <v>3913</v>
      </c>
      <c r="G19" s="341"/>
      <c r="H19" s="346"/>
      <c r="I19" s="346"/>
      <c r="J19" s="69">
        <v>1</v>
      </c>
      <c r="K19" s="75"/>
      <c r="L19" s="75" t="s">
        <v>2833</v>
      </c>
      <c r="M19" s="75"/>
      <c r="N19" s="75"/>
      <c r="O19" s="75"/>
      <c r="P19" s="75"/>
      <c r="Q19" s="15"/>
    </row>
    <row r="20" spans="2:17" ht="29.4" hidden="1" customHeight="1" outlineLevel="2" x14ac:dyDescent="0.3">
      <c r="B20" s="372"/>
      <c r="C20" s="15" t="s">
        <v>49</v>
      </c>
      <c r="D20" s="15" t="s">
        <v>50</v>
      </c>
      <c r="E20" s="70" t="s">
        <v>3914</v>
      </c>
      <c r="F20" s="73" t="s">
        <v>3913</v>
      </c>
      <c r="G20" s="341"/>
      <c r="H20" s="346"/>
      <c r="I20" s="346"/>
      <c r="J20" s="69">
        <v>1</v>
      </c>
      <c r="K20" s="75"/>
      <c r="L20" s="75"/>
      <c r="M20" s="75"/>
      <c r="N20" s="75"/>
      <c r="O20" s="75"/>
      <c r="P20" s="75" t="s">
        <v>1848</v>
      </c>
      <c r="Q20" s="15"/>
    </row>
    <row r="21" spans="2:17" ht="29.4" hidden="1" customHeight="1" outlineLevel="2" x14ac:dyDescent="0.3">
      <c r="B21" s="372"/>
      <c r="C21" s="15" t="s">
        <v>51</v>
      </c>
      <c r="D21" s="15" t="s">
        <v>52</v>
      </c>
      <c r="E21" s="70" t="s">
        <v>3914</v>
      </c>
      <c r="F21" s="73" t="s">
        <v>3913</v>
      </c>
      <c r="G21" s="342"/>
      <c r="H21" s="346"/>
      <c r="I21" s="346"/>
      <c r="J21" s="69">
        <v>1</v>
      </c>
      <c r="K21" s="75"/>
      <c r="L21" s="75" t="s">
        <v>2834</v>
      </c>
      <c r="M21" s="75"/>
      <c r="N21" s="75"/>
      <c r="O21" s="75"/>
      <c r="P21" s="75" t="s">
        <v>1842</v>
      </c>
      <c r="Q21" s="15"/>
    </row>
    <row r="22" spans="2:17" ht="29.4" hidden="1" customHeight="1" outlineLevel="2" x14ac:dyDescent="0.3">
      <c r="B22" s="372"/>
      <c r="C22" s="15" t="s">
        <v>53</v>
      </c>
      <c r="D22" s="15" t="s">
        <v>54</v>
      </c>
      <c r="E22" s="70" t="s">
        <v>3914</v>
      </c>
      <c r="F22" s="73" t="s">
        <v>3913</v>
      </c>
      <c r="G22" s="340">
        <v>2</v>
      </c>
      <c r="H22" s="346">
        <f>(COUNTIF(F22:F23,$G$409)+(COUNTIF(F22:F23,$G$408)*0.5))/(COUNTA(F22:F23)-COUNTIF(F22:F23,$G$410))</f>
        <v>0</v>
      </c>
      <c r="I22" s="346"/>
      <c r="J22" s="69">
        <v>3</v>
      </c>
      <c r="K22" s="75"/>
      <c r="L22" s="75"/>
      <c r="M22" s="75"/>
      <c r="N22" s="75" t="s">
        <v>3144</v>
      </c>
      <c r="O22" s="75"/>
      <c r="P22" s="75"/>
      <c r="Q22" s="15"/>
    </row>
    <row r="23" spans="2:17" ht="29.4" hidden="1" customHeight="1" outlineLevel="2" x14ac:dyDescent="0.3">
      <c r="B23" s="372"/>
      <c r="C23" s="15" t="s">
        <v>55</v>
      </c>
      <c r="D23" s="15" t="s">
        <v>57</v>
      </c>
      <c r="E23" s="70" t="s">
        <v>3914</v>
      </c>
      <c r="F23" s="73" t="s">
        <v>3913</v>
      </c>
      <c r="G23" s="342"/>
      <c r="H23" s="346"/>
      <c r="I23" s="346"/>
      <c r="J23" s="69">
        <v>3</v>
      </c>
      <c r="K23" s="75"/>
      <c r="L23" s="75"/>
      <c r="M23" s="75"/>
      <c r="N23" s="75"/>
      <c r="O23" s="75"/>
      <c r="P23" s="75"/>
      <c r="Q23" s="15"/>
    </row>
    <row r="24" spans="2:17" ht="29.4" hidden="1" customHeight="1" outlineLevel="2" x14ac:dyDescent="0.3">
      <c r="B24" s="372"/>
      <c r="C24" s="15" t="s">
        <v>58</v>
      </c>
      <c r="D24" s="15" t="s">
        <v>61</v>
      </c>
      <c r="E24" s="70" t="s">
        <v>3914</v>
      </c>
      <c r="F24" s="73" t="s">
        <v>3913</v>
      </c>
      <c r="G24" s="340">
        <v>3</v>
      </c>
      <c r="H24" s="346">
        <f>(COUNTIF(F24:F25,$G$409)+(COUNTIF(F24:F25,$G$408)*0.5))/(COUNTA(F24:F25)-COUNTIF(F24:F25,$G$410))</f>
        <v>0</v>
      </c>
      <c r="I24" s="346"/>
      <c r="J24" s="69">
        <v>4</v>
      </c>
      <c r="K24" s="75" t="s">
        <v>1325</v>
      </c>
      <c r="L24" s="75" t="s">
        <v>2830</v>
      </c>
      <c r="M24" s="75"/>
      <c r="N24" s="75"/>
      <c r="O24" s="75" t="s">
        <v>2325</v>
      </c>
      <c r="P24" s="75"/>
      <c r="Q24" s="15"/>
    </row>
    <row r="25" spans="2:17" ht="29.4" hidden="1" customHeight="1" outlineLevel="2" x14ac:dyDescent="0.3">
      <c r="B25" s="372"/>
      <c r="C25" s="15" t="s">
        <v>60</v>
      </c>
      <c r="D25" s="15" t="s">
        <v>62</v>
      </c>
      <c r="E25" s="70" t="s">
        <v>3914</v>
      </c>
      <c r="F25" s="73" t="s">
        <v>3913</v>
      </c>
      <c r="G25" s="342"/>
      <c r="H25" s="346"/>
      <c r="I25" s="346"/>
      <c r="J25" s="69">
        <v>4</v>
      </c>
      <c r="K25" s="75"/>
      <c r="L25" s="75" t="s">
        <v>2833</v>
      </c>
      <c r="M25" s="75"/>
      <c r="N25" s="75"/>
      <c r="O25" s="75"/>
      <c r="P25" s="75"/>
      <c r="Q25" s="15"/>
    </row>
    <row r="26" spans="2:17" ht="29.4" hidden="1" customHeight="1" outlineLevel="2" x14ac:dyDescent="0.3">
      <c r="B26" s="372"/>
      <c r="C26" s="15" t="s">
        <v>65</v>
      </c>
      <c r="D26" s="15" t="s">
        <v>64</v>
      </c>
      <c r="E26" s="70" t="s">
        <v>3914</v>
      </c>
      <c r="F26" s="73" t="s">
        <v>3913</v>
      </c>
      <c r="G26" s="69">
        <v>4</v>
      </c>
      <c r="H26" s="346">
        <f>(COUNTIF(F26:F29,$G$409)+(COUNTIF(F26:F29,$G$408)*0.5))/(COUNTA(F26:F29))</f>
        <v>0</v>
      </c>
      <c r="I26" s="346"/>
      <c r="J26" s="69">
        <v>5</v>
      </c>
      <c r="K26" s="75" t="s">
        <v>59</v>
      </c>
      <c r="L26" s="75"/>
      <c r="M26" s="75"/>
      <c r="N26" s="75"/>
      <c r="O26" s="75"/>
      <c r="P26" s="75" t="s">
        <v>1844</v>
      </c>
      <c r="Q26" s="15"/>
    </row>
    <row r="27" spans="2:17" ht="29.4" hidden="1" customHeight="1" outlineLevel="2" x14ac:dyDescent="0.3">
      <c r="B27" s="372"/>
      <c r="C27" s="15" t="s">
        <v>3116</v>
      </c>
      <c r="D27" s="15" t="s">
        <v>1426</v>
      </c>
      <c r="E27" s="70" t="s">
        <v>3914</v>
      </c>
      <c r="F27" s="73" t="s">
        <v>3913</v>
      </c>
      <c r="G27" s="69">
        <v>4</v>
      </c>
      <c r="H27" s="346"/>
      <c r="I27" s="346"/>
      <c r="J27" s="69">
        <v>5</v>
      </c>
      <c r="K27" s="75"/>
      <c r="L27" s="75"/>
      <c r="M27" s="75"/>
      <c r="N27" s="75"/>
      <c r="O27" s="75"/>
      <c r="P27" s="75"/>
      <c r="Q27" s="15"/>
    </row>
    <row r="28" spans="2:17" ht="29.4" hidden="1" customHeight="1" outlineLevel="2" x14ac:dyDescent="0.3">
      <c r="B28" s="372"/>
      <c r="C28" s="15" t="s">
        <v>3117</v>
      </c>
      <c r="D28" s="74" t="s">
        <v>3904</v>
      </c>
      <c r="E28" s="70" t="s">
        <v>3914</v>
      </c>
      <c r="F28" s="73" t="s">
        <v>3913</v>
      </c>
      <c r="G28" s="69">
        <v>4</v>
      </c>
      <c r="H28" s="346"/>
      <c r="I28" s="346"/>
      <c r="J28" s="69">
        <v>5</v>
      </c>
      <c r="K28" s="75" t="s">
        <v>59</v>
      </c>
      <c r="L28" s="75"/>
      <c r="M28" s="75"/>
      <c r="N28" s="75"/>
      <c r="O28" s="75"/>
      <c r="P28" s="75" t="s">
        <v>1845</v>
      </c>
      <c r="Q28" s="15"/>
    </row>
    <row r="29" spans="2:17" ht="29.4" hidden="1" customHeight="1" outlineLevel="2" x14ac:dyDescent="0.3">
      <c r="B29" s="372"/>
      <c r="C29" s="15" t="s">
        <v>3118</v>
      </c>
      <c r="D29" s="15" t="s">
        <v>56</v>
      </c>
      <c r="E29" s="70" t="s">
        <v>3914</v>
      </c>
      <c r="F29" s="73" t="s">
        <v>3913</v>
      </c>
      <c r="G29" s="69">
        <v>4</v>
      </c>
      <c r="H29" s="346"/>
      <c r="I29" s="346"/>
      <c r="J29" s="69">
        <v>5</v>
      </c>
      <c r="K29" s="75"/>
      <c r="L29" s="75"/>
      <c r="M29" s="75"/>
      <c r="N29" s="75" t="s">
        <v>3147</v>
      </c>
      <c r="O29" s="75"/>
      <c r="P29" s="75" t="s">
        <v>1845</v>
      </c>
      <c r="Q29" s="15"/>
    </row>
    <row r="30" spans="2:17" ht="3.6" customHeight="1" outlineLevel="1" collapsed="1" x14ac:dyDescent="0.3">
      <c r="B30" s="36"/>
      <c r="C30" s="74"/>
      <c r="D30" s="74"/>
      <c r="E30" s="70"/>
      <c r="F30" s="73"/>
      <c r="G30" s="71"/>
      <c r="H30" s="37"/>
      <c r="I30" s="78"/>
      <c r="J30" s="73"/>
      <c r="K30" s="75"/>
      <c r="L30" s="75"/>
      <c r="M30" s="75"/>
      <c r="N30" s="75"/>
      <c r="O30" s="75"/>
      <c r="P30" s="13"/>
      <c r="Q30" s="15"/>
    </row>
    <row r="31" spans="2:17" ht="29.4" customHeight="1" x14ac:dyDescent="0.3">
      <c r="B31" s="376" t="s">
        <v>66</v>
      </c>
      <c r="C31" s="376"/>
      <c r="D31" s="376"/>
      <c r="E31" s="105"/>
      <c r="F31" s="106"/>
      <c r="G31" s="107"/>
      <c r="H31" s="376"/>
      <c r="I31" s="376"/>
      <c r="J31" s="376"/>
      <c r="K31" s="376"/>
      <c r="L31" s="376"/>
      <c r="M31" s="376"/>
      <c r="N31" s="376"/>
      <c r="O31" s="376"/>
      <c r="P31" s="376"/>
      <c r="Q31" s="301"/>
    </row>
    <row r="32" spans="2:17" ht="29.4" customHeight="1" outlineLevel="1" x14ac:dyDescent="0.3">
      <c r="B32" s="371" t="str">
        <f>'Результаты аудита'!D5</f>
        <v>Защита рабочих мест разработчика</v>
      </c>
      <c r="C32" s="15" t="s">
        <v>67</v>
      </c>
      <c r="D32" s="15" t="s">
        <v>68</v>
      </c>
      <c r="E32" s="70" t="s">
        <v>3914</v>
      </c>
      <c r="F32" s="73" t="s">
        <v>3913</v>
      </c>
      <c r="G32" s="79">
        <v>0</v>
      </c>
      <c r="H32" s="70">
        <f>(COUNTIF(F32:F32,$F$407))/COUNTA(F32:F32)</f>
        <v>0</v>
      </c>
      <c r="I32" s="346">
        <f>SUM(H33:H35)/2</f>
        <v>0</v>
      </c>
      <c r="J32" s="79">
        <v>0</v>
      </c>
      <c r="K32" s="75"/>
      <c r="L32" s="75"/>
      <c r="M32" s="75"/>
      <c r="N32" s="75" t="s">
        <v>3148</v>
      </c>
      <c r="O32" s="75"/>
      <c r="P32" s="75" t="s">
        <v>1849</v>
      </c>
      <c r="Q32" s="15"/>
    </row>
    <row r="33" spans="2:17" ht="29.4" hidden="1" customHeight="1" outlineLevel="2" x14ac:dyDescent="0.3">
      <c r="B33" s="371"/>
      <c r="C33" s="15" t="s">
        <v>69</v>
      </c>
      <c r="D33" s="15" t="s">
        <v>70</v>
      </c>
      <c r="E33" s="70" t="s">
        <v>3914</v>
      </c>
      <c r="F33" s="73" t="s">
        <v>3913</v>
      </c>
      <c r="G33" s="340">
        <v>1</v>
      </c>
      <c r="H33" s="346">
        <f>(COUNTIF(F33:F34,$G$409)+(COUNTIF(F33:F34,$G$408)*0.5))/(COUNTA(F33:F34)-COUNTIF(F33:F34,$G$410))</f>
        <v>0</v>
      </c>
      <c r="I33" s="346"/>
      <c r="J33" s="69">
        <v>1</v>
      </c>
      <c r="K33" s="75"/>
      <c r="L33" s="75"/>
      <c r="M33" s="75"/>
      <c r="N33" s="75" t="s">
        <v>3148</v>
      </c>
      <c r="O33" s="75"/>
      <c r="P33" s="75"/>
      <c r="Q33" s="15"/>
    </row>
    <row r="34" spans="2:17" ht="29.4" hidden="1" customHeight="1" outlineLevel="2" x14ac:dyDescent="0.3">
      <c r="B34" s="371"/>
      <c r="C34" s="15" t="s">
        <v>71</v>
      </c>
      <c r="D34" s="15" t="s">
        <v>72</v>
      </c>
      <c r="E34" s="70" t="s">
        <v>3914</v>
      </c>
      <c r="F34" s="73" t="s">
        <v>3913</v>
      </c>
      <c r="G34" s="342"/>
      <c r="H34" s="346"/>
      <c r="I34" s="346"/>
      <c r="J34" s="69">
        <v>1</v>
      </c>
      <c r="K34" s="75"/>
      <c r="L34" s="75"/>
      <c r="M34" s="75"/>
      <c r="N34" s="75" t="s">
        <v>3148</v>
      </c>
      <c r="O34" s="75"/>
      <c r="P34" s="75" t="s">
        <v>1850</v>
      </c>
      <c r="Q34" s="15"/>
    </row>
    <row r="35" spans="2:17" ht="29.4" hidden="1" customHeight="1" outlineLevel="2" x14ac:dyDescent="0.3">
      <c r="B35" s="371"/>
      <c r="C35" s="15" t="s">
        <v>73</v>
      </c>
      <c r="D35" s="15" t="s">
        <v>1417</v>
      </c>
      <c r="E35" s="70" t="s">
        <v>3914</v>
      </c>
      <c r="F35" s="73" t="s">
        <v>3913</v>
      </c>
      <c r="G35" s="71">
        <v>2</v>
      </c>
      <c r="H35" s="37">
        <f>(COUNTIF(F35,$G$409)+(COUNTIF(F35,$G$408)*0.5))/COUNTA(F35)</f>
        <v>0</v>
      </c>
      <c r="I35" s="346"/>
      <c r="J35" s="71">
        <v>3</v>
      </c>
      <c r="K35" s="75"/>
      <c r="L35" s="75"/>
      <c r="M35" s="75"/>
      <c r="N35" s="75" t="s">
        <v>3148</v>
      </c>
      <c r="O35" s="75"/>
      <c r="P35" s="75" t="s">
        <v>1851</v>
      </c>
      <c r="Q35" s="15"/>
    </row>
    <row r="36" spans="2:17" ht="29.4" customHeight="1" outlineLevel="1" collapsed="1" x14ac:dyDescent="0.3">
      <c r="B36" s="357" t="str">
        <f>'Результаты аудита'!D6</f>
        <v>Защита секретов</v>
      </c>
      <c r="C36" s="15" t="s">
        <v>74</v>
      </c>
      <c r="D36" s="15" t="s">
        <v>75</v>
      </c>
      <c r="E36" s="70" t="s">
        <v>3914</v>
      </c>
      <c r="F36" s="73" t="s">
        <v>3913</v>
      </c>
      <c r="G36" s="69">
        <v>0</v>
      </c>
      <c r="H36" s="70">
        <f>(COUNTIF(F36:F36,$F$407))/COUNTA(F36:F36)</f>
        <v>0</v>
      </c>
      <c r="I36" s="346">
        <f>SUM(H37:H43)/4</f>
        <v>0</v>
      </c>
      <c r="J36" s="69">
        <v>0</v>
      </c>
      <c r="K36" s="75"/>
      <c r="L36" s="75" t="s">
        <v>2835</v>
      </c>
      <c r="M36" s="75" t="s">
        <v>1353</v>
      </c>
      <c r="N36" s="75"/>
      <c r="O36" s="75" t="s">
        <v>2321</v>
      </c>
      <c r="P36" s="75"/>
      <c r="Q36" s="15"/>
    </row>
    <row r="37" spans="2:17" ht="29.4" hidden="1" customHeight="1" outlineLevel="2" x14ac:dyDescent="0.3">
      <c r="B37" s="357"/>
      <c r="C37" s="15" t="s">
        <v>76</v>
      </c>
      <c r="D37" s="15" t="s">
        <v>77</v>
      </c>
      <c r="E37" s="70" t="s">
        <v>3914</v>
      </c>
      <c r="F37" s="73" t="s">
        <v>3913</v>
      </c>
      <c r="G37" s="340">
        <v>1</v>
      </c>
      <c r="H37" s="346">
        <f>(COUNTIF(F37:F38,$G$409)+(COUNTIF(F37:F38,$G$408)*0.5))/(COUNTA(F37:F38)-COUNTIF(F37:F38,$G$410))</f>
        <v>0</v>
      </c>
      <c r="I37" s="346"/>
      <c r="J37" s="69">
        <v>1</v>
      </c>
      <c r="K37" s="75"/>
      <c r="L37" s="75" t="s">
        <v>2835</v>
      </c>
      <c r="M37" s="75" t="s">
        <v>1353</v>
      </c>
      <c r="N37" s="75"/>
      <c r="O37" s="75"/>
      <c r="P37" s="75"/>
      <c r="Q37" s="15"/>
    </row>
    <row r="38" spans="2:17" ht="29.4" hidden="1" customHeight="1" outlineLevel="2" x14ac:dyDescent="0.3">
      <c r="B38" s="357"/>
      <c r="C38" s="15" t="s">
        <v>78</v>
      </c>
      <c r="D38" s="15" t="s">
        <v>79</v>
      </c>
      <c r="E38" s="70" t="s">
        <v>3914</v>
      </c>
      <c r="F38" s="73" t="s">
        <v>3913</v>
      </c>
      <c r="G38" s="342"/>
      <c r="H38" s="346"/>
      <c r="I38" s="346"/>
      <c r="J38" s="69">
        <v>1</v>
      </c>
      <c r="K38" s="75" t="s">
        <v>1326</v>
      </c>
      <c r="L38" s="75"/>
      <c r="M38" s="75" t="s">
        <v>1806</v>
      </c>
      <c r="N38" s="75"/>
      <c r="O38" s="75"/>
      <c r="P38" s="75" t="s">
        <v>1841</v>
      </c>
      <c r="Q38" s="15"/>
    </row>
    <row r="39" spans="2:17" ht="29.4" hidden="1" customHeight="1" outlineLevel="2" x14ac:dyDescent="0.3">
      <c r="B39" s="357"/>
      <c r="C39" s="15" t="s">
        <v>80</v>
      </c>
      <c r="D39" s="15" t="s">
        <v>81</v>
      </c>
      <c r="E39" s="70" t="s">
        <v>3914</v>
      </c>
      <c r="F39" s="73" t="s">
        <v>3913</v>
      </c>
      <c r="G39" s="340">
        <v>2</v>
      </c>
      <c r="H39" s="346">
        <f>(COUNTIF(F39:F40,$G$409)+(COUNTIF(F39:F40,$G$408)*0.5))/(COUNTA(F39:F40)-COUNTIF(F39:F40,$G$410))</f>
        <v>0</v>
      </c>
      <c r="I39" s="346"/>
      <c r="J39" s="69">
        <v>2</v>
      </c>
      <c r="K39" s="75"/>
      <c r="L39" s="75" t="s">
        <v>2835</v>
      </c>
      <c r="M39" s="75" t="s">
        <v>1362</v>
      </c>
      <c r="N39" s="75"/>
      <c r="O39" s="75" t="s">
        <v>2322</v>
      </c>
      <c r="P39" s="75" t="s">
        <v>1852</v>
      </c>
      <c r="Q39" s="15"/>
    </row>
    <row r="40" spans="2:17" ht="29.4" hidden="1" customHeight="1" outlineLevel="2" x14ac:dyDescent="0.3">
      <c r="B40" s="357"/>
      <c r="C40" s="15" t="s">
        <v>82</v>
      </c>
      <c r="D40" s="15" t="s">
        <v>2320</v>
      </c>
      <c r="E40" s="70" t="s">
        <v>3914</v>
      </c>
      <c r="F40" s="73" t="s">
        <v>3913</v>
      </c>
      <c r="G40" s="342"/>
      <c r="H40" s="346"/>
      <c r="I40" s="346"/>
      <c r="J40" s="69">
        <v>2</v>
      </c>
      <c r="K40" s="75"/>
      <c r="L40" s="75"/>
      <c r="M40" s="75" t="s">
        <v>1362</v>
      </c>
      <c r="N40" s="75"/>
      <c r="O40" s="75" t="s">
        <v>2322</v>
      </c>
      <c r="P40" s="75"/>
      <c r="Q40" s="15"/>
    </row>
    <row r="41" spans="2:17" ht="29.4" hidden="1" customHeight="1" outlineLevel="2" x14ac:dyDescent="0.3">
      <c r="B41" s="357"/>
      <c r="C41" s="15" t="s">
        <v>83</v>
      </c>
      <c r="D41" s="15" t="s">
        <v>1418</v>
      </c>
      <c r="E41" s="70" t="s">
        <v>3914</v>
      </c>
      <c r="F41" s="73" t="s">
        <v>3913</v>
      </c>
      <c r="G41" s="340">
        <v>3</v>
      </c>
      <c r="H41" s="346">
        <f>(COUNTIF(F41:F42,$G$409)+(COUNTIF(F41:F42,$G$408)*0.5))/(COUNTA(F41:F42)-COUNTIF(F41:F42,$G$410))</f>
        <v>0</v>
      </c>
      <c r="I41" s="346"/>
      <c r="J41" s="69">
        <v>3</v>
      </c>
      <c r="K41" s="75"/>
      <c r="L41" s="75" t="s">
        <v>2835</v>
      </c>
      <c r="M41" s="75" t="s">
        <v>1353</v>
      </c>
      <c r="N41" s="75"/>
      <c r="O41" s="75"/>
      <c r="P41" s="75"/>
      <c r="Q41" s="15"/>
    </row>
    <row r="42" spans="2:17" ht="29.4" hidden="1" customHeight="1" outlineLevel="2" x14ac:dyDescent="0.3">
      <c r="B42" s="357"/>
      <c r="C42" s="15" t="s">
        <v>84</v>
      </c>
      <c r="D42" s="15" t="s">
        <v>85</v>
      </c>
      <c r="E42" s="70" t="s">
        <v>3914</v>
      </c>
      <c r="F42" s="73" t="s">
        <v>3913</v>
      </c>
      <c r="G42" s="342"/>
      <c r="H42" s="346"/>
      <c r="I42" s="346"/>
      <c r="J42" s="69">
        <v>3</v>
      </c>
      <c r="K42" s="75"/>
      <c r="L42" s="75"/>
      <c r="M42" s="75" t="s">
        <v>1354</v>
      </c>
      <c r="N42" s="75"/>
      <c r="O42" s="75" t="s">
        <v>2323</v>
      </c>
      <c r="P42" s="75"/>
      <c r="Q42" s="15"/>
    </row>
    <row r="43" spans="2:17" ht="29.4" hidden="1" customHeight="1" outlineLevel="2" x14ac:dyDescent="0.3">
      <c r="B43" s="357"/>
      <c r="C43" s="15" t="s">
        <v>86</v>
      </c>
      <c r="D43" s="15" t="s">
        <v>87</v>
      </c>
      <c r="E43" s="70" t="s">
        <v>3914</v>
      </c>
      <c r="F43" s="73" t="s">
        <v>3913</v>
      </c>
      <c r="G43" s="71">
        <v>4</v>
      </c>
      <c r="H43" s="37">
        <f>(COUNTIF(F43,$G$409)+(COUNTIF(F43,$G$408)*0.5))/COUNTA(F43)</f>
        <v>0</v>
      </c>
      <c r="I43" s="346"/>
      <c r="J43" s="71">
        <v>6</v>
      </c>
      <c r="K43" s="75"/>
      <c r="L43" s="75"/>
      <c r="M43" s="75"/>
      <c r="N43" s="75"/>
      <c r="O43" s="75"/>
      <c r="P43" s="75"/>
      <c r="Q43" s="15"/>
    </row>
    <row r="44" spans="2:17" ht="29.4" customHeight="1" outlineLevel="1" collapsed="1" x14ac:dyDescent="0.3">
      <c r="B44" s="371" t="str">
        <f>'Результаты аудита'!D7</f>
        <v>Защита Build-среды</v>
      </c>
      <c r="C44" s="15" t="s">
        <v>88</v>
      </c>
      <c r="D44" s="15" t="s">
        <v>89</v>
      </c>
      <c r="E44" s="70" t="s">
        <v>3914</v>
      </c>
      <c r="F44" s="73" t="s">
        <v>3913</v>
      </c>
      <c r="G44" s="69">
        <v>0</v>
      </c>
      <c r="H44" s="70">
        <f>(COUNTIF(F44:F44,$F$407))/COUNTA(F44:F44)</f>
        <v>0</v>
      </c>
      <c r="I44" s="346">
        <f>SUM(H45:H53)/4</f>
        <v>0</v>
      </c>
      <c r="J44" s="69">
        <v>0</v>
      </c>
      <c r="K44" s="75"/>
      <c r="L44" s="75" t="s">
        <v>2836</v>
      </c>
      <c r="M44" s="75" t="s">
        <v>1805</v>
      </c>
      <c r="N44" s="75" t="s">
        <v>3148</v>
      </c>
      <c r="O44" s="75" t="s">
        <v>2880</v>
      </c>
      <c r="P44" s="75" t="s">
        <v>1853</v>
      </c>
      <c r="Q44" s="15"/>
    </row>
    <row r="45" spans="2:17" ht="29.4" hidden="1" customHeight="1" outlineLevel="2" x14ac:dyDescent="0.3">
      <c r="B45" s="371"/>
      <c r="C45" s="15" t="s">
        <v>90</v>
      </c>
      <c r="D45" s="15" t="s">
        <v>3906</v>
      </c>
      <c r="E45" s="70" t="s">
        <v>3914</v>
      </c>
      <c r="F45" s="73" t="s">
        <v>3913</v>
      </c>
      <c r="G45" s="340">
        <v>1</v>
      </c>
      <c r="H45" s="346">
        <f>(COUNTIF(F45:F48,$G$409)+(COUNTIF(F45:F48,$G$408)*0.5))/(COUNTA(F45:F48)-COUNTIF(F45:F48,$G$410))</f>
        <v>0</v>
      </c>
      <c r="I45" s="346"/>
      <c r="J45" s="69">
        <v>2</v>
      </c>
      <c r="K45" s="75"/>
      <c r="L45" s="75" t="s">
        <v>2837</v>
      </c>
      <c r="M45" s="75"/>
      <c r="N45" s="75" t="s">
        <v>3148</v>
      </c>
      <c r="O45" s="75" t="s">
        <v>2316</v>
      </c>
      <c r="P45" s="75" t="s">
        <v>1850</v>
      </c>
      <c r="Q45" s="15"/>
    </row>
    <row r="46" spans="2:17" ht="29.4" hidden="1" customHeight="1" outlineLevel="2" x14ac:dyDescent="0.3">
      <c r="B46" s="371"/>
      <c r="C46" s="15" t="s">
        <v>91</v>
      </c>
      <c r="D46" s="15" t="s">
        <v>92</v>
      </c>
      <c r="E46" s="70" t="s">
        <v>3914</v>
      </c>
      <c r="F46" s="73" t="s">
        <v>3913</v>
      </c>
      <c r="G46" s="341"/>
      <c r="H46" s="346"/>
      <c r="I46" s="346"/>
      <c r="J46" s="69">
        <v>2</v>
      </c>
      <c r="K46" s="75"/>
      <c r="L46" s="75"/>
      <c r="M46" s="75"/>
      <c r="N46" s="75"/>
      <c r="O46" s="75"/>
      <c r="P46" s="75"/>
      <c r="Q46" s="15"/>
    </row>
    <row r="47" spans="2:17" ht="29.4" hidden="1" customHeight="1" outlineLevel="2" x14ac:dyDescent="0.3">
      <c r="B47" s="371"/>
      <c r="C47" s="15" t="s">
        <v>93</v>
      </c>
      <c r="D47" s="15" t="s">
        <v>94</v>
      </c>
      <c r="E47" s="70" t="s">
        <v>3914</v>
      </c>
      <c r="F47" s="73" t="s">
        <v>3913</v>
      </c>
      <c r="G47" s="341"/>
      <c r="H47" s="346"/>
      <c r="I47" s="346"/>
      <c r="J47" s="69">
        <v>2</v>
      </c>
      <c r="K47" s="75"/>
      <c r="L47" s="75"/>
      <c r="M47" s="75" t="s">
        <v>1351</v>
      </c>
      <c r="N47" s="75" t="s">
        <v>3148</v>
      </c>
      <c r="O47" s="75" t="s">
        <v>2317</v>
      </c>
      <c r="P47" s="75" t="s">
        <v>1854</v>
      </c>
      <c r="Q47" s="15"/>
    </row>
    <row r="48" spans="2:17" ht="29.4" hidden="1" customHeight="1" outlineLevel="2" x14ac:dyDescent="0.3">
      <c r="B48" s="371"/>
      <c r="C48" s="15" t="s">
        <v>95</v>
      </c>
      <c r="D48" s="15" t="s">
        <v>96</v>
      </c>
      <c r="E48" s="70" t="s">
        <v>3914</v>
      </c>
      <c r="F48" s="73" t="s">
        <v>3913</v>
      </c>
      <c r="G48" s="342"/>
      <c r="H48" s="346"/>
      <c r="I48" s="346"/>
      <c r="J48" s="69">
        <v>2</v>
      </c>
      <c r="K48" s="75"/>
      <c r="L48" s="75"/>
      <c r="M48" s="75" t="s">
        <v>1352</v>
      </c>
      <c r="N48" s="75"/>
      <c r="O48" s="75" t="s">
        <v>2315</v>
      </c>
      <c r="P48" s="75" t="s">
        <v>1855</v>
      </c>
      <c r="Q48" s="15"/>
    </row>
    <row r="49" spans="2:17" ht="29.4" hidden="1" customHeight="1" outlineLevel="2" x14ac:dyDescent="0.3">
      <c r="B49" s="371"/>
      <c r="C49" s="74" t="s">
        <v>98</v>
      </c>
      <c r="D49" s="15" t="s">
        <v>99</v>
      </c>
      <c r="E49" s="70" t="s">
        <v>3914</v>
      </c>
      <c r="F49" s="73" t="s">
        <v>3913</v>
      </c>
      <c r="G49" s="71">
        <v>2</v>
      </c>
      <c r="H49" s="37">
        <f>(COUNTIF(F49,$G$409)+(COUNTIF(F49,$G$408)*0.5))/COUNTA(F49)</f>
        <v>0</v>
      </c>
      <c r="I49" s="346"/>
      <c r="J49" s="71">
        <v>3</v>
      </c>
      <c r="K49" s="73" t="s">
        <v>1326</v>
      </c>
      <c r="L49" s="73"/>
      <c r="M49" s="75"/>
      <c r="N49" s="75"/>
      <c r="O49" s="75"/>
      <c r="P49" s="75"/>
      <c r="Q49" s="15"/>
    </row>
    <row r="50" spans="2:17" ht="29.4" hidden="1" customHeight="1" outlineLevel="2" x14ac:dyDescent="0.3">
      <c r="B50" s="371"/>
      <c r="C50" s="74" t="s">
        <v>100</v>
      </c>
      <c r="D50" s="15" t="s">
        <v>101</v>
      </c>
      <c r="E50" s="70" t="s">
        <v>3914</v>
      </c>
      <c r="F50" s="73" t="s">
        <v>3913</v>
      </c>
      <c r="G50" s="340">
        <v>3</v>
      </c>
      <c r="H50" s="346">
        <f>(COUNTIF(F50:F52,$G$409)+(COUNTIF(F50:F52,$G$408)*0.5))/(COUNTA(F50:F52)-COUNTIF(F50:F52,$G$410))</f>
        <v>0</v>
      </c>
      <c r="I50" s="346"/>
      <c r="J50" s="69">
        <v>5</v>
      </c>
      <c r="K50" s="75"/>
      <c r="L50" s="75" t="s">
        <v>2838</v>
      </c>
      <c r="M50" s="75"/>
      <c r="N50" s="75"/>
      <c r="O50" s="75"/>
      <c r="P50" s="75" t="s">
        <v>1856</v>
      </c>
      <c r="Q50" s="15"/>
    </row>
    <row r="51" spans="2:17" ht="29.4" hidden="1" customHeight="1" outlineLevel="2" x14ac:dyDescent="0.3">
      <c r="B51" s="371"/>
      <c r="C51" s="15" t="s">
        <v>102</v>
      </c>
      <c r="D51" s="15" t="s">
        <v>103</v>
      </c>
      <c r="E51" s="70" t="s">
        <v>3914</v>
      </c>
      <c r="F51" s="73" t="s">
        <v>3913</v>
      </c>
      <c r="G51" s="341"/>
      <c r="H51" s="346"/>
      <c r="I51" s="346"/>
      <c r="J51" s="69">
        <v>5</v>
      </c>
      <c r="K51" s="75"/>
      <c r="L51" s="75" t="s">
        <v>2836</v>
      </c>
      <c r="M51" s="75" t="s">
        <v>1355</v>
      </c>
      <c r="N51" s="75" t="s">
        <v>3148</v>
      </c>
      <c r="O51" s="75"/>
      <c r="P51" s="75" t="s">
        <v>1842</v>
      </c>
      <c r="Q51" s="15"/>
    </row>
    <row r="52" spans="2:17" ht="29.4" hidden="1" customHeight="1" outlineLevel="2" x14ac:dyDescent="0.3">
      <c r="B52" s="371"/>
      <c r="C52" s="74" t="s">
        <v>104</v>
      </c>
      <c r="D52" s="15" t="s">
        <v>105</v>
      </c>
      <c r="E52" s="70" t="s">
        <v>3914</v>
      </c>
      <c r="F52" s="73" t="s">
        <v>3913</v>
      </c>
      <c r="G52" s="342"/>
      <c r="H52" s="346"/>
      <c r="I52" s="346"/>
      <c r="J52" s="69">
        <v>5</v>
      </c>
      <c r="K52" s="75"/>
      <c r="L52" s="75"/>
      <c r="M52" s="75"/>
      <c r="N52" s="75"/>
      <c r="O52" s="75"/>
      <c r="P52" s="75"/>
      <c r="Q52" s="15"/>
    </row>
    <row r="53" spans="2:17" ht="29.4" hidden="1" customHeight="1" outlineLevel="2" x14ac:dyDescent="0.3">
      <c r="B53" s="371"/>
      <c r="C53" s="15" t="s">
        <v>106</v>
      </c>
      <c r="D53" s="15" t="s">
        <v>107</v>
      </c>
      <c r="E53" s="70" t="s">
        <v>3914</v>
      </c>
      <c r="F53" s="73" t="s">
        <v>3913</v>
      </c>
      <c r="G53" s="71">
        <v>4</v>
      </c>
      <c r="H53" s="37">
        <f>(COUNTIF(F53,$G$409)+(COUNTIF(F53,$G$408)*0.5))/COUNTA(F53)</f>
        <v>0</v>
      </c>
      <c r="I53" s="346"/>
      <c r="J53" s="71">
        <v>6</v>
      </c>
      <c r="K53" s="75"/>
      <c r="L53" s="75" t="s">
        <v>2838</v>
      </c>
      <c r="M53" s="75"/>
      <c r="N53" s="75"/>
      <c r="O53" s="75"/>
      <c r="P53" s="75" t="s">
        <v>1855</v>
      </c>
      <c r="Q53" s="15"/>
    </row>
    <row r="54" spans="2:17" ht="29.4" customHeight="1" outlineLevel="1" collapsed="1" x14ac:dyDescent="0.3">
      <c r="B54" s="357" t="str">
        <f>'Результаты аудита'!D8</f>
        <v>Защита source code management (SCM)</v>
      </c>
      <c r="C54" s="15" t="s">
        <v>108</v>
      </c>
      <c r="D54" s="15" t="s">
        <v>109</v>
      </c>
      <c r="E54" s="70" t="s">
        <v>3914</v>
      </c>
      <c r="F54" s="73" t="s">
        <v>3913</v>
      </c>
      <c r="G54" s="69">
        <v>0</v>
      </c>
      <c r="H54" s="70">
        <f>(COUNTIF(F54:F54,$F$407))/COUNTA(F54:F54)</f>
        <v>0</v>
      </c>
      <c r="I54" s="346">
        <f>SUM(H55:H74)/4</f>
        <v>0</v>
      </c>
      <c r="J54" s="69">
        <v>0</v>
      </c>
      <c r="K54" s="75"/>
      <c r="L54" s="75" t="s">
        <v>2839</v>
      </c>
      <c r="M54" s="75"/>
      <c r="N54" s="75" t="s">
        <v>3149</v>
      </c>
      <c r="O54" s="75"/>
      <c r="P54" s="75"/>
      <c r="Q54" s="15"/>
    </row>
    <row r="55" spans="2:17" ht="29.4" hidden="1" customHeight="1" outlineLevel="2" x14ac:dyDescent="0.3">
      <c r="B55" s="357"/>
      <c r="C55" s="15" t="s">
        <v>110</v>
      </c>
      <c r="D55" s="15" t="s">
        <v>111</v>
      </c>
      <c r="E55" s="70" t="s">
        <v>3914</v>
      </c>
      <c r="F55" s="73" t="s">
        <v>3913</v>
      </c>
      <c r="G55" s="340">
        <v>1</v>
      </c>
      <c r="H55" s="346">
        <f>(COUNTIF(F55:F61,$G$409)+(COUNTIF(F55:F61,$G$408)*0.5))/(COUNTA(F55:F61)-COUNTIF(F55:F61,$G$410))</f>
        <v>0</v>
      </c>
      <c r="I55" s="346"/>
      <c r="J55" s="69">
        <v>2</v>
      </c>
      <c r="K55" s="75"/>
      <c r="L55" s="75" t="s">
        <v>2839</v>
      </c>
      <c r="M55" s="75"/>
      <c r="N55" s="75" t="s">
        <v>3146</v>
      </c>
      <c r="O55" s="75" t="s">
        <v>2318</v>
      </c>
      <c r="P55" s="75" t="s">
        <v>1847</v>
      </c>
      <c r="Q55" s="15"/>
    </row>
    <row r="56" spans="2:17" ht="29.4" hidden="1" customHeight="1" outlineLevel="2" x14ac:dyDescent="0.3">
      <c r="B56" s="357"/>
      <c r="C56" s="15" t="s">
        <v>112</v>
      </c>
      <c r="D56" s="15" t="s">
        <v>113</v>
      </c>
      <c r="E56" s="70" t="s">
        <v>3914</v>
      </c>
      <c r="F56" s="73" t="s">
        <v>3913</v>
      </c>
      <c r="G56" s="341"/>
      <c r="H56" s="346"/>
      <c r="I56" s="346"/>
      <c r="J56" s="69">
        <v>2</v>
      </c>
      <c r="K56" s="75"/>
      <c r="L56" s="75"/>
      <c r="M56" s="75"/>
      <c r="N56" s="75" t="s">
        <v>3146</v>
      </c>
      <c r="O56" s="75"/>
      <c r="P56" s="75" t="s">
        <v>1847</v>
      </c>
      <c r="Q56" s="15"/>
    </row>
    <row r="57" spans="2:17" ht="29.4" hidden="1" customHeight="1" outlineLevel="2" x14ac:dyDescent="0.3">
      <c r="B57" s="357"/>
      <c r="C57" s="15" t="s">
        <v>114</v>
      </c>
      <c r="D57" s="15" t="s">
        <v>115</v>
      </c>
      <c r="E57" s="70" t="s">
        <v>3914</v>
      </c>
      <c r="F57" s="73" t="s">
        <v>3913</v>
      </c>
      <c r="G57" s="341"/>
      <c r="H57" s="346"/>
      <c r="I57" s="346"/>
      <c r="J57" s="69">
        <v>2</v>
      </c>
      <c r="K57" s="75"/>
      <c r="L57" s="75"/>
      <c r="M57" s="75"/>
      <c r="N57" s="75" t="s">
        <v>3146</v>
      </c>
      <c r="O57" s="75" t="s">
        <v>2318</v>
      </c>
      <c r="P57" s="75" t="s">
        <v>1847</v>
      </c>
      <c r="Q57" s="15"/>
    </row>
    <row r="58" spans="2:17" ht="29.4" hidden="1" customHeight="1" outlineLevel="2" x14ac:dyDescent="0.3">
      <c r="B58" s="357"/>
      <c r="C58" s="15" t="s">
        <v>116</v>
      </c>
      <c r="D58" s="15" t="s">
        <v>2304</v>
      </c>
      <c r="E58" s="70" t="s">
        <v>3914</v>
      </c>
      <c r="F58" s="73" t="s">
        <v>3913</v>
      </c>
      <c r="G58" s="341"/>
      <c r="H58" s="346"/>
      <c r="I58" s="346"/>
      <c r="J58" s="69">
        <v>2</v>
      </c>
      <c r="K58" s="73"/>
      <c r="L58" s="73"/>
      <c r="M58" s="75"/>
      <c r="N58" s="75" t="s">
        <v>3146</v>
      </c>
      <c r="O58" s="75"/>
      <c r="P58" s="75"/>
      <c r="Q58" s="15"/>
    </row>
    <row r="59" spans="2:17" ht="29.4" hidden="1" customHeight="1" outlineLevel="2" x14ac:dyDescent="0.3">
      <c r="B59" s="357"/>
      <c r="C59" s="15" t="s">
        <v>118</v>
      </c>
      <c r="D59" s="15" t="s">
        <v>119</v>
      </c>
      <c r="E59" s="70" t="s">
        <v>3914</v>
      </c>
      <c r="F59" s="73" t="s">
        <v>3913</v>
      </c>
      <c r="G59" s="341"/>
      <c r="H59" s="346"/>
      <c r="I59" s="346"/>
      <c r="J59" s="69">
        <v>2</v>
      </c>
      <c r="K59" s="75"/>
      <c r="L59" s="75"/>
      <c r="M59" s="75"/>
      <c r="N59" s="75" t="s">
        <v>3146</v>
      </c>
      <c r="O59" s="75" t="s">
        <v>2318</v>
      </c>
      <c r="P59" s="75"/>
      <c r="Q59" s="15"/>
    </row>
    <row r="60" spans="2:17" ht="29.4" hidden="1" customHeight="1" outlineLevel="2" x14ac:dyDescent="0.3">
      <c r="B60" s="357"/>
      <c r="C60" s="15" t="s">
        <v>120</v>
      </c>
      <c r="D60" s="15" t="s">
        <v>121</v>
      </c>
      <c r="E60" s="70" t="s">
        <v>3914</v>
      </c>
      <c r="F60" s="73" t="s">
        <v>3913</v>
      </c>
      <c r="G60" s="341"/>
      <c r="H60" s="346"/>
      <c r="I60" s="346"/>
      <c r="J60" s="69">
        <v>2</v>
      </c>
      <c r="K60" s="75"/>
      <c r="L60" s="75"/>
      <c r="M60" s="75"/>
      <c r="N60" s="75" t="s">
        <v>3146</v>
      </c>
      <c r="O60" s="75" t="s">
        <v>2318</v>
      </c>
      <c r="P60" s="75" t="s">
        <v>1847</v>
      </c>
      <c r="Q60" s="15"/>
    </row>
    <row r="61" spans="2:17" ht="29.4" hidden="1" customHeight="1" outlineLevel="2" x14ac:dyDescent="0.3">
      <c r="B61" s="357"/>
      <c r="C61" s="15" t="s">
        <v>122</v>
      </c>
      <c r="D61" s="15" t="s">
        <v>123</v>
      </c>
      <c r="E61" s="70" t="s">
        <v>3914</v>
      </c>
      <c r="F61" s="73" t="s">
        <v>3913</v>
      </c>
      <c r="G61" s="342"/>
      <c r="H61" s="346"/>
      <c r="I61" s="346"/>
      <c r="J61" s="69">
        <v>2</v>
      </c>
      <c r="K61" s="75"/>
      <c r="L61" s="75"/>
      <c r="M61" s="75"/>
      <c r="N61" s="75" t="s">
        <v>3146</v>
      </c>
      <c r="O61" s="75"/>
      <c r="P61" s="75"/>
      <c r="Q61" s="15"/>
    </row>
    <row r="62" spans="2:17" ht="29.4" hidden="1" customHeight="1" outlineLevel="2" x14ac:dyDescent="0.3">
      <c r="B62" s="357"/>
      <c r="C62" s="15" t="s">
        <v>124</v>
      </c>
      <c r="D62" s="15" t="s">
        <v>125</v>
      </c>
      <c r="E62" s="70" t="s">
        <v>3914</v>
      </c>
      <c r="F62" s="73" t="s">
        <v>3913</v>
      </c>
      <c r="G62" s="340">
        <v>2</v>
      </c>
      <c r="H62" s="346">
        <f>(COUNTIF(F62:F67,$G$409)+(COUNTIF(F62:F67,$G$408)*0.5))/(COUNTA(F62:F67)-COUNTIF(F62:F67,$G$410))</f>
        <v>0</v>
      </c>
      <c r="I62" s="346"/>
      <c r="J62" s="69">
        <v>3</v>
      </c>
      <c r="K62" s="75"/>
      <c r="L62" s="75"/>
      <c r="M62" s="75"/>
      <c r="N62" s="75" t="s">
        <v>3146</v>
      </c>
      <c r="O62" s="75"/>
      <c r="P62" s="75"/>
      <c r="Q62" s="15"/>
    </row>
    <row r="63" spans="2:17" ht="29.4" hidden="1" customHeight="1" outlineLevel="2" x14ac:dyDescent="0.3">
      <c r="B63" s="357"/>
      <c r="C63" s="15" t="s">
        <v>126</v>
      </c>
      <c r="D63" s="15" t="s">
        <v>127</v>
      </c>
      <c r="E63" s="70" t="s">
        <v>3914</v>
      </c>
      <c r="F63" s="73" t="s">
        <v>3913</v>
      </c>
      <c r="G63" s="341"/>
      <c r="H63" s="346"/>
      <c r="I63" s="346"/>
      <c r="J63" s="69">
        <v>3</v>
      </c>
      <c r="K63" s="75"/>
      <c r="L63" s="75"/>
      <c r="M63" s="73"/>
      <c r="N63" s="75" t="s">
        <v>3146</v>
      </c>
      <c r="O63" s="75"/>
      <c r="P63" s="73"/>
      <c r="Q63" s="15"/>
    </row>
    <row r="64" spans="2:17" ht="29.4" hidden="1" customHeight="1" outlineLevel="2" x14ac:dyDescent="0.3">
      <c r="B64" s="357"/>
      <c r="C64" s="15" t="s">
        <v>128</v>
      </c>
      <c r="D64" s="15" t="s">
        <v>129</v>
      </c>
      <c r="E64" s="70" t="s">
        <v>3914</v>
      </c>
      <c r="F64" s="73" t="s">
        <v>3913</v>
      </c>
      <c r="G64" s="341"/>
      <c r="H64" s="346"/>
      <c r="I64" s="346"/>
      <c r="J64" s="69">
        <v>3</v>
      </c>
      <c r="K64" s="75"/>
      <c r="L64" s="75"/>
      <c r="M64" s="75"/>
      <c r="N64" s="75" t="s">
        <v>3146</v>
      </c>
      <c r="O64" s="75"/>
      <c r="P64" s="75"/>
      <c r="Q64" s="15"/>
    </row>
    <row r="65" spans="2:17" ht="29.4" hidden="1" customHeight="1" outlineLevel="2" x14ac:dyDescent="0.3">
      <c r="B65" s="357"/>
      <c r="C65" s="15" t="s">
        <v>130</v>
      </c>
      <c r="D65" s="15" t="s">
        <v>2157</v>
      </c>
      <c r="E65" s="70" t="s">
        <v>3914</v>
      </c>
      <c r="F65" s="73" t="s">
        <v>3913</v>
      </c>
      <c r="G65" s="341"/>
      <c r="H65" s="346"/>
      <c r="I65" s="346"/>
      <c r="J65" s="69">
        <v>3</v>
      </c>
      <c r="K65" s="75"/>
      <c r="L65" s="75"/>
      <c r="M65" s="75" t="s">
        <v>1807</v>
      </c>
      <c r="N65" s="75"/>
      <c r="O65" s="75"/>
      <c r="P65" s="75"/>
      <c r="Q65" s="15"/>
    </row>
    <row r="66" spans="2:17" ht="29.4" hidden="1" customHeight="1" outlineLevel="2" x14ac:dyDescent="0.3">
      <c r="B66" s="357"/>
      <c r="C66" s="15" t="s">
        <v>131</v>
      </c>
      <c r="D66" s="15" t="s">
        <v>132</v>
      </c>
      <c r="E66" s="70" t="s">
        <v>3914</v>
      </c>
      <c r="F66" s="73" t="s">
        <v>3913</v>
      </c>
      <c r="G66" s="341"/>
      <c r="H66" s="346"/>
      <c r="I66" s="346"/>
      <c r="J66" s="69">
        <v>3</v>
      </c>
      <c r="K66" s="75"/>
      <c r="L66" s="75"/>
      <c r="M66" s="75" t="s">
        <v>562</v>
      </c>
      <c r="N66" s="75" t="s">
        <v>3146</v>
      </c>
      <c r="O66" s="75"/>
      <c r="P66" s="75"/>
      <c r="Q66" s="15"/>
    </row>
    <row r="67" spans="2:17" ht="29.4" hidden="1" customHeight="1" outlineLevel="2" x14ac:dyDescent="0.3">
      <c r="B67" s="357"/>
      <c r="C67" s="15" t="s">
        <v>133</v>
      </c>
      <c r="D67" s="15" t="s">
        <v>2305</v>
      </c>
      <c r="E67" s="70" t="s">
        <v>3914</v>
      </c>
      <c r="F67" s="73" t="s">
        <v>3913</v>
      </c>
      <c r="G67" s="342"/>
      <c r="H67" s="346"/>
      <c r="I67" s="346"/>
      <c r="J67" s="69">
        <v>3</v>
      </c>
      <c r="K67" s="75"/>
      <c r="L67" s="75"/>
      <c r="M67" s="75"/>
      <c r="N67" s="75" t="s">
        <v>3146</v>
      </c>
      <c r="O67" s="75"/>
      <c r="P67" s="75"/>
      <c r="Q67" s="15"/>
    </row>
    <row r="68" spans="2:17" ht="29.4" hidden="1" customHeight="1" outlineLevel="2" x14ac:dyDescent="0.3">
      <c r="B68" s="357"/>
      <c r="C68" s="15" t="s">
        <v>134</v>
      </c>
      <c r="D68" s="15" t="s">
        <v>135</v>
      </c>
      <c r="E68" s="70" t="s">
        <v>3914</v>
      </c>
      <c r="F68" s="73" t="s">
        <v>3913</v>
      </c>
      <c r="G68" s="340">
        <v>3</v>
      </c>
      <c r="H68" s="346">
        <f>(COUNTIF(F68:F71,$G$409)+(COUNTIF(F68:F71,$G$408)*0.5))/(COUNTA(F68:F71)-COUNTIF(F68:F71,$G$410))</f>
        <v>0</v>
      </c>
      <c r="I68" s="346"/>
      <c r="J68" s="69">
        <v>4</v>
      </c>
      <c r="K68" s="75"/>
      <c r="L68" s="75"/>
      <c r="M68" s="75"/>
      <c r="N68" s="75" t="s">
        <v>3146</v>
      </c>
      <c r="O68" s="75"/>
      <c r="P68" s="75"/>
      <c r="Q68" s="15"/>
    </row>
    <row r="69" spans="2:17" ht="29.4" hidden="1" customHeight="1" outlineLevel="2" x14ac:dyDescent="0.3">
      <c r="B69" s="357"/>
      <c r="C69" s="15" t="s">
        <v>136</v>
      </c>
      <c r="D69" s="15" t="s">
        <v>137</v>
      </c>
      <c r="E69" s="70" t="s">
        <v>3914</v>
      </c>
      <c r="F69" s="73" t="s">
        <v>3913</v>
      </c>
      <c r="G69" s="341"/>
      <c r="H69" s="346"/>
      <c r="I69" s="346"/>
      <c r="J69" s="69">
        <v>4</v>
      </c>
      <c r="K69" s="75"/>
      <c r="L69" s="75"/>
      <c r="M69" s="75"/>
      <c r="N69" s="75"/>
      <c r="O69" s="75"/>
      <c r="P69" s="75"/>
      <c r="Q69" s="15"/>
    </row>
    <row r="70" spans="2:17" ht="29.4" hidden="1" customHeight="1" outlineLevel="2" x14ac:dyDescent="0.3">
      <c r="B70" s="357"/>
      <c r="C70" s="15" t="s">
        <v>138</v>
      </c>
      <c r="D70" s="15" t="s">
        <v>139</v>
      </c>
      <c r="E70" s="70" t="s">
        <v>3914</v>
      </c>
      <c r="F70" s="73" t="s">
        <v>3913</v>
      </c>
      <c r="G70" s="341"/>
      <c r="H70" s="346"/>
      <c r="I70" s="346"/>
      <c r="J70" s="69">
        <v>4</v>
      </c>
      <c r="K70" s="73"/>
      <c r="L70" s="75" t="s">
        <v>2840</v>
      </c>
      <c r="M70" s="75"/>
      <c r="N70" s="75" t="s">
        <v>3146</v>
      </c>
      <c r="O70" s="75"/>
      <c r="P70" s="75"/>
      <c r="Q70" s="15"/>
    </row>
    <row r="71" spans="2:17" ht="29.4" hidden="1" customHeight="1" outlineLevel="2" x14ac:dyDescent="0.3">
      <c r="B71" s="357"/>
      <c r="C71" s="15" t="s">
        <v>141</v>
      </c>
      <c r="D71" s="15" t="s">
        <v>3903</v>
      </c>
      <c r="E71" s="70" t="s">
        <v>3914</v>
      </c>
      <c r="F71" s="73" t="s">
        <v>3913</v>
      </c>
      <c r="G71" s="342"/>
      <c r="H71" s="346"/>
      <c r="I71" s="346"/>
      <c r="J71" s="69">
        <v>4</v>
      </c>
      <c r="K71" s="75"/>
      <c r="L71" s="75"/>
      <c r="M71" s="73"/>
      <c r="N71" s="75" t="s">
        <v>3146</v>
      </c>
      <c r="O71" s="75"/>
      <c r="P71" s="73" t="s">
        <v>1857</v>
      </c>
      <c r="Q71" s="15"/>
    </row>
    <row r="72" spans="2:17" ht="29.4" hidden="1" customHeight="1" outlineLevel="2" x14ac:dyDescent="0.3">
      <c r="B72" s="357"/>
      <c r="C72" s="15" t="s">
        <v>143</v>
      </c>
      <c r="D72" s="15" t="s">
        <v>1425</v>
      </c>
      <c r="E72" s="70" t="s">
        <v>3914</v>
      </c>
      <c r="F72" s="73" t="s">
        <v>3913</v>
      </c>
      <c r="G72" s="340">
        <v>4</v>
      </c>
      <c r="H72" s="346">
        <f>(COUNTIF(F72:F74,$G$409)+(COUNTIF(F72:F74,$G$408)*0.5))/(COUNTA(F72:F74)-COUNTIF(F72:F74,$G$410))</f>
        <v>0</v>
      </c>
      <c r="I72" s="346"/>
      <c r="J72" s="69">
        <v>6</v>
      </c>
      <c r="K72" s="75"/>
      <c r="L72" s="75"/>
      <c r="M72" s="75"/>
      <c r="N72" s="75" t="s">
        <v>3146</v>
      </c>
      <c r="O72" s="75"/>
      <c r="P72" s="75" t="s">
        <v>1841</v>
      </c>
      <c r="Q72" s="15"/>
    </row>
    <row r="73" spans="2:17" ht="29.4" hidden="1" customHeight="1" outlineLevel="2" x14ac:dyDescent="0.3">
      <c r="B73" s="357"/>
      <c r="C73" s="15" t="s">
        <v>144</v>
      </c>
      <c r="D73" s="15" t="s">
        <v>145</v>
      </c>
      <c r="E73" s="70" t="s">
        <v>3914</v>
      </c>
      <c r="F73" s="73" t="s">
        <v>3913</v>
      </c>
      <c r="G73" s="341"/>
      <c r="H73" s="346"/>
      <c r="I73" s="346"/>
      <c r="J73" s="69">
        <v>6</v>
      </c>
      <c r="K73" s="75"/>
      <c r="L73" s="75"/>
      <c r="M73" s="75"/>
      <c r="N73" s="75" t="s">
        <v>3146</v>
      </c>
      <c r="O73" s="75"/>
      <c r="P73" s="75"/>
      <c r="Q73" s="15"/>
    </row>
    <row r="74" spans="2:17" ht="29.4" hidden="1" customHeight="1" outlineLevel="2" x14ac:dyDescent="0.3">
      <c r="B74" s="357"/>
      <c r="C74" s="15" t="s">
        <v>2144</v>
      </c>
      <c r="D74" s="15" t="s">
        <v>3902</v>
      </c>
      <c r="E74" s="70" t="s">
        <v>3914</v>
      </c>
      <c r="F74" s="73" t="s">
        <v>3913</v>
      </c>
      <c r="G74" s="342"/>
      <c r="H74" s="346"/>
      <c r="I74" s="346"/>
      <c r="J74" s="69">
        <v>6</v>
      </c>
      <c r="K74" s="75"/>
      <c r="L74" s="75"/>
      <c r="M74" s="75"/>
      <c r="N74" s="75"/>
      <c r="O74" s="75"/>
      <c r="P74" s="75"/>
      <c r="Q74" s="15"/>
    </row>
    <row r="75" spans="2:17" ht="29.4" customHeight="1" outlineLevel="1" collapsed="1" x14ac:dyDescent="0.3">
      <c r="B75" s="371" t="str">
        <f>'Результаты аудита'!D9</f>
        <v>Контроль внесения изменений в исходный код</v>
      </c>
      <c r="C75" s="15" t="s">
        <v>146</v>
      </c>
      <c r="D75" s="15" t="s">
        <v>147</v>
      </c>
      <c r="E75" s="70" t="s">
        <v>3914</v>
      </c>
      <c r="F75" s="73" t="s">
        <v>3913</v>
      </c>
      <c r="G75" s="69">
        <v>0</v>
      </c>
      <c r="H75" s="70">
        <f>(COUNTIF(F75:F75,$F$407))/COUNTA(F75:F75)</f>
        <v>0</v>
      </c>
      <c r="I75" s="346">
        <f>SUM(H76:H93)/4</f>
        <v>0</v>
      </c>
      <c r="J75" s="69">
        <v>0</v>
      </c>
      <c r="K75" s="75"/>
      <c r="L75" s="75" t="s">
        <v>2841</v>
      </c>
      <c r="M75" s="75" t="s">
        <v>1808</v>
      </c>
      <c r="N75" s="75" t="s">
        <v>3150</v>
      </c>
      <c r="O75" s="75" t="s">
        <v>2881</v>
      </c>
      <c r="P75" s="75"/>
      <c r="Q75" s="15"/>
    </row>
    <row r="76" spans="2:17" ht="29.4" hidden="1" customHeight="1" outlineLevel="2" x14ac:dyDescent="0.3">
      <c r="B76" s="371"/>
      <c r="C76" s="15" t="s">
        <v>148</v>
      </c>
      <c r="D76" s="15" t="s">
        <v>149</v>
      </c>
      <c r="E76" s="70" t="s">
        <v>3914</v>
      </c>
      <c r="F76" s="73" t="s">
        <v>3913</v>
      </c>
      <c r="G76" s="340">
        <v>1</v>
      </c>
      <c r="H76" s="346">
        <f>(COUNTIF(F76:F80,$G$409)+(COUNTIF(F76:F80,$G$408)*0.5))/(COUNTA(F76:F80)-COUNTIF(F76:F80,$G$410))</f>
        <v>0</v>
      </c>
      <c r="I76" s="346"/>
      <c r="J76" s="69">
        <v>1</v>
      </c>
      <c r="K76" s="75"/>
      <c r="L76" s="75"/>
      <c r="M76" s="75"/>
      <c r="N76" s="75" t="s">
        <v>3150</v>
      </c>
      <c r="O76" s="75" t="s">
        <v>2882</v>
      </c>
      <c r="P76" s="75" t="s">
        <v>1858</v>
      </c>
      <c r="Q76" s="15"/>
    </row>
    <row r="77" spans="2:17" ht="29.4" hidden="1" customHeight="1" outlineLevel="2" x14ac:dyDescent="0.3">
      <c r="B77" s="371"/>
      <c r="C77" s="15" t="s">
        <v>150</v>
      </c>
      <c r="D77" s="15" t="s">
        <v>151</v>
      </c>
      <c r="E77" s="70" t="s">
        <v>3914</v>
      </c>
      <c r="F77" s="73" t="s">
        <v>3913</v>
      </c>
      <c r="G77" s="341"/>
      <c r="H77" s="346"/>
      <c r="I77" s="346"/>
      <c r="J77" s="69">
        <v>1</v>
      </c>
      <c r="K77" s="75"/>
      <c r="L77" s="75"/>
      <c r="M77" s="75"/>
      <c r="N77" s="80" t="s">
        <v>3150</v>
      </c>
      <c r="O77" s="76"/>
      <c r="P77" s="75" t="s">
        <v>1858</v>
      </c>
      <c r="Q77" s="15"/>
    </row>
    <row r="78" spans="2:17" ht="29.4" hidden="1" customHeight="1" outlineLevel="2" x14ac:dyDescent="0.3">
      <c r="B78" s="371"/>
      <c r="C78" s="15" t="s">
        <v>152</v>
      </c>
      <c r="D78" s="15" t="s">
        <v>153</v>
      </c>
      <c r="E78" s="70" t="s">
        <v>3914</v>
      </c>
      <c r="F78" s="73" t="s">
        <v>3913</v>
      </c>
      <c r="G78" s="341"/>
      <c r="H78" s="346"/>
      <c r="I78" s="346"/>
      <c r="J78" s="69">
        <v>1</v>
      </c>
      <c r="K78" s="75"/>
      <c r="L78" s="75"/>
      <c r="M78" s="75"/>
      <c r="N78" s="75" t="s">
        <v>3150</v>
      </c>
      <c r="O78" s="75"/>
      <c r="P78" s="75" t="s">
        <v>1847</v>
      </c>
      <c r="Q78" s="15"/>
    </row>
    <row r="79" spans="2:17" ht="29.4" hidden="1" customHeight="1" outlineLevel="2" x14ac:dyDescent="0.3">
      <c r="B79" s="371"/>
      <c r="C79" s="15" t="s">
        <v>154</v>
      </c>
      <c r="D79" s="15" t="s">
        <v>155</v>
      </c>
      <c r="E79" s="70" t="s">
        <v>3914</v>
      </c>
      <c r="F79" s="73" t="s">
        <v>3913</v>
      </c>
      <c r="G79" s="341"/>
      <c r="H79" s="346"/>
      <c r="I79" s="346"/>
      <c r="J79" s="69">
        <v>1</v>
      </c>
      <c r="K79" s="75"/>
      <c r="L79" s="75"/>
      <c r="M79" s="75"/>
      <c r="N79" s="75"/>
      <c r="O79" s="75"/>
      <c r="P79" s="75"/>
      <c r="Q79" s="15"/>
    </row>
    <row r="80" spans="2:17" ht="29.4" hidden="1" customHeight="1" outlineLevel="2" x14ac:dyDescent="0.3">
      <c r="B80" s="371"/>
      <c r="C80" s="15" t="s">
        <v>156</v>
      </c>
      <c r="D80" s="15" t="s">
        <v>157</v>
      </c>
      <c r="E80" s="70" t="s">
        <v>3914</v>
      </c>
      <c r="F80" s="73" t="s">
        <v>3913</v>
      </c>
      <c r="G80" s="342"/>
      <c r="H80" s="346"/>
      <c r="I80" s="346"/>
      <c r="J80" s="69">
        <v>1</v>
      </c>
      <c r="K80" s="75"/>
      <c r="L80" s="75"/>
      <c r="M80" s="73"/>
      <c r="N80" s="75"/>
      <c r="O80" s="75"/>
      <c r="P80" s="73"/>
      <c r="Q80" s="15"/>
    </row>
    <row r="81" spans="2:17" ht="29.4" hidden="1" customHeight="1" outlineLevel="2" x14ac:dyDescent="0.3">
      <c r="B81" s="371"/>
      <c r="C81" s="15" t="s">
        <v>159</v>
      </c>
      <c r="D81" s="15" t="s">
        <v>160</v>
      </c>
      <c r="E81" s="70" t="s">
        <v>3914</v>
      </c>
      <c r="F81" s="73" t="s">
        <v>3913</v>
      </c>
      <c r="G81" s="340">
        <v>2</v>
      </c>
      <c r="H81" s="346">
        <f>(COUNTIF(F81:F86,$G$409)+(COUNTIF(F81:F86,$G$408)*0.5))/(COUNTA(F81:F86)-COUNTIF(F81:F86,$G$410))</f>
        <v>0</v>
      </c>
      <c r="I81" s="346"/>
      <c r="J81" s="69">
        <v>3</v>
      </c>
      <c r="K81" s="75"/>
      <c r="L81" s="75"/>
      <c r="M81" s="75"/>
      <c r="N81" s="75"/>
      <c r="O81" s="75"/>
      <c r="P81" s="75"/>
      <c r="Q81" s="15"/>
    </row>
    <row r="82" spans="2:17" ht="29.4" hidden="1" customHeight="1" outlineLevel="2" x14ac:dyDescent="0.3">
      <c r="B82" s="371"/>
      <c r="C82" s="15" t="s">
        <v>161</v>
      </c>
      <c r="D82" s="15" t="s">
        <v>3907</v>
      </c>
      <c r="E82" s="70" t="s">
        <v>3914</v>
      </c>
      <c r="F82" s="73" t="s">
        <v>3913</v>
      </c>
      <c r="G82" s="341"/>
      <c r="H82" s="346"/>
      <c r="I82" s="346"/>
      <c r="J82" s="69">
        <v>3</v>
      </c>
      <c r="K82" s="75" t="s">
        <v>738</v>
      </c>
      <c r="L82" s="75" t="s">
        <v>2842</v>
      </c>
      <c r="M82" s="75"/>
      <c r="N82" s="75"/>
      <c r="O82" s="75"/>
      <c r="P82" s="75"/>
      <c r="Q82" s="15"/>
    </row>
    <row r="83" spans="2:17" ht="29.4" hidden="1" customHeight="1" outlineLevel="2" x14ac:dyDescent="0.3">
      <c r="B83" s="371"/>
      <c r="C83" s="15" t="s">
        <v>162</v>
      </c>
      <c r="D83" s="15" t="s">
        <v>3908</v>
      </c>
      <c r="E83" s="70" t="s">
        <v>3914</v>
      </c>
      <c r="F83" s="73" t="s">
        <v>3913</v>
      </c>
      <c r="G83" s="341"/>
      <c r="H83" s="346"/>
      <c r="I83" s="346"/>
      <c r="J83" s="69">
        <v>3</v>
      </c>
      <c r="K83" s="75"/>
      <c r="L83" s="75"/>
      <c r="M83" s="75"/>
      <c r="N83" s="75"/>
      <c r="O83" s="75"/>
      <c r="P83" s="75"/>
      <c r="Q83" s="15"/>
    </row>
    <row r="84" spans="2:17" ht="29.4" hidden="1" customHeight="1" outlineLevel="2" x14ac:dyDescent="0.3">
      <c r="B84" s="371"/>
      <c r="C84" s="15" t="s">
        <v>163</v>
      </c>
      <c r="D84" s="15" t="s">
        <v>164</v>
      </c>
      <c r="E84" s="70" t="s">
        <v>3914</v>
      </c>
      <c r="F84" s="73" t="s">
        <v>3913</v>
      </c>
      <c r="G84" s="341"/>
      <c r="H84" s="346"/>
      <c r="I84" s="346"/>
      <c r="J84" s="69">
        <v>3</v>
      </c>
      <c r="K84" s="75"/>
      <c r="L84" s="75"/>
      <c r="M84" s="75"/>
      <c r="N84" s="75"/>
      <c r="O84" s="75"/>
      <c r="P84" s="75"/>
      <c r="Q84" s="15"/>
    </row>
    <row r="85" spans="2:17" ht="29.4" hidden="1" customHeight="1" outlineLevel="2" x14ac:dyDescent="0.3">
      <c r="B85" s="371"/>
      <c r="C85" s="15" t="s">
        <v>166</v>
      </c>
      <c r="D85" s="15" t="s">
        <v>3909</v>
      </c>
      <c r="E85" s="70" t="s">
        <v>3914</v>
      </c>
      <c r="F85" s="73" t="s">
        <v>3913</v>
      </c>
      <c r="G85" s="341"/>
      <c r="H85" s="346"/>
      <c r="I85" s="346"/>
      <c r="J85" s="69">
        <v>3</v>
      </c>
      <c r="K85" s="75"/>
      <c r="L85" s="75"/>
      <c r="M85" s="75"/>
      <c r="N85" s="75"/>
      <c r="O85" s="75"/>
      <c r="P85" s="75"/>
      <c r="Q85" s="15"/>
    </row>
    <row r="86" spans="2:17" ht="29.4" hidden="1" customHeight="1" outlineLevel="2" x14ac:dyDescent="0.3">
      <c r="B86" s="371"/>
      <c r="C86" s="15" t="s">
        <v>167</v>
      </c>
      <c r="D86" s="15" t="s">
        <v>168</v>
      </c>
      <c r="E86" s="70" t="s">
        <v>3914</v>
      </c>
      <c r="F86" s="73" t="s">
        <v>3913</v>
      </c>
      <c r="G86" s="342"/>
      <c r="H86" s="346"/>
      <c r="I86" s="346"/>
      <c r="J86" s="69">
        <v>3</v>
      </c>
      <c r="K86" s="75"/>
      <c r="L86" s="75" t="s">
        <v>2843</v>
      </c>
      <c r="M86" s="75"/>
      <c r="N86" s="75"/>
      <c r="O86" s="75"/>
      <c r="P86" s="75"/>
      <c r="Q86" s="15"/>
    </row>
    <row r="87" spans="2:17" ht="29.4" hidden="1" customHeight="1" outlineLevel="2" x14ac:dyDescent="0.3">
      <c r="B87" s="371"/>
      <c r="C87" s="15" t="s">
        <v>169</v>
      </c>
      <c r="D87" s="15" t="s">
        <v>170</v>
      </c>
      <c r="E87" s="70" t="s">
        <v>3914</v>
      </c>
      <c r="F87" s="73" t="s">
        <v>3913</v>
      </c>
      <c r="G87" s="340">
        <v>3</v>
      </c>
      <c r="H87" s="346">
        <f>(COUNTIF(F87:F92,$G$409)+(COUNTIF(F87:F92,$G$408)*0.5))/(COUNTA(F87:F92)-COUNTIF(F87:F92,$G$410))</f>
        <v>0</v>
      </c>
      <c r="I87" s="346"/>
      <c r="J87" s="69">
        <v>4</v>
      </c>
      <c r="K87" s="75"/>
      <c r="L87" s="75"/>
      <c r="M87" s="75"/>
      <c r="N87" s="75"/>
      <c r="O87" s="75"/>
      <c r="P87" s="75"/>
      <c r="Q87" s="15"/>
    </row>
    <row r="88" spans="2:17" ht="29.4" hidden="1" customHeight="1" outlineLevel="2" x14ac:dyDescent="0.3">
      <c r="B88" s="371"/>
      <c r="C88" s="15" t="s">
        <v>171</v>
      </c>
      <c r="D88" s="15" t="s">
        <v>172</v>
      </c>
      <c r="E88" s="70" t="s">
        <v>3914</v>
      </c>
      <c r="F88" s="73" t="s">
        <v>3913</v>
      </c>
      <c r="G88" s="341"/>
      <c r="H88" s="346"/>
      <c r="I88" s="346"/>
      <c r="J88" s="69">
        <v>4</v>
      </c>
      <c r="K88" s="75"/>
      <c r="L88" s="75"/>
      <c r="M88" s="75"/>
      <c r="N88" s="75" t="s">
        <v>3150</v>
      </c>
      <c r="O88" s="75"/>
      <c r="P88" s="75"/>
      <c r="Q88" s="15"/>
    </row>
    <row r="89" spans="2:17" ht="29.4" hidden="1" customHeight="1" outlineLevel="2" x14ac:dyDescent="0.3">
      <c r="B89" s="371"/>
      <c r="C89" s="15" t="s">
        <v>173</v>
      </c>
      <c r="D89" s="15" t="s">
        <v>3910</v>
      </c>
      <c r="E89" s="70" t="s">
        <v>3914</v>
      </c>
      <c r="F89" s="73" t="s">
        <v>3913</v>
      </c>
      <c r="G89" s="341"/>
      <c r="H89" s="346"/>
      <c r="I89" s="346"/>
      <c r="J89" s="69">
        <v>4</v>
      </c>
      <c r="K89" s="75" t="s">
        <v>59</v>
      </c>
      <c r="L89" s="75"/>
      <c r="M89" s="75"/>
      <c r="N89" s="75" t="s">
        <v>3147</v>
      </c>
      <c r="O89" s="75" t="s">
        <v>2319</v>
      </c>
      <c r="P89" s="75"/>
      <c r="Q89" s="15"/>
    </row>
    <row r="90" spans="2:17" ht="29.4" hidden="1" customHeight="1" outlineLevel="2" x14ac:dyDescent="0.3">
      <c r="B90" s="371"/>
      <c r="C90" s="15" t="s">
        <v>174</v>
      </c>
      <c r="D90" s="15" t="s">
        <v>3911</v>
      </c>
      <c r="E90" s="70" t="s">
        <v>3914</v>
      </c>
      <c r="F90" s="73" t="s">
        <v>3913</v>
      </c>
      <c r="G90" s="341"/>
      <c r="H90" s="346"/>
      <c r="I90" s="346"/>
      <c r="J90" s="69">
        <v>4</v>
      </c>
      <c r="K90" s="75"/>
      <c r="L90" s="75"/>
      <c r="M90" s="75"/>
      <c r="N90" s="75" t="s">
        <v>3150</v>
      </c>
      <c r="O90" s="75"/>
      <c r="P90" s="75"/>
      <c r="Q90" s="15"/>
    </row>
    <row r="91" spans="2:17" ht="29.4" hidden="1" customHeight="1" outlineLevel="2" x14ac:dyDescent="0.3">
      <c r="B91" s="371"/>
      <c r="C91" s="15" t="s">
        <v>175</v>
      </c>
      <c r="D91" s="15" t="s">
        <v>176</v>
      </c>
      <c r="E91" s="70" t="s">
        <v>3914</v>
      </c>
      <c r="F91" s="73" t="s">
        <v>3913</v>
      </c>
      <c r="G91" s="341"/>
      <c r="H91" s="346"/>
      <c r="I91" s="346"/>
      <c r="J91" s="69">
        <v>4</v>
      </c>
      <c r="K91" s="75"/>
      <c r="L91" s="75"/>
      <c r="M91" s="75"/>
      <c r="N91" s="75"/>
      <c r="O91" s="75"/>
      <c r="P91" s="75"/>
      <c r="Q91" s="15"/>
    </row>
    <row r="92" spans="2:17" ht="29.4" hidden="1" customHeight="1" outlineLevel="2" x14ac:dyDescent="0.3">
      <c r="B92" s="371"/>
      <c r="C92" s="15" t="s">
        <v>2143</v>
      </c>
      <c r="D92" s="15" t="s">
        <v>3901</v>
      </c>
      <c r="E92" s="70" t="s">
        <v>3914</v>
      </c>
      <c r="F92" s="73" t="s">
        <v>3913</v>
      </c>
      <c r="G92" s="342"/>
      <c r="H92" s="346"/>
      <c r="I92" s="346"/>
      <c r="J92" s="69">
        <v>4</v>
      </c>
      <c r="K92" s="75"/>
      <c r="L92" s="75" t="s">
        <v>2842</v>
      </c>
      <c r="M92" s="75"/>
      <c r="N92" s="75"/>
      <c r="O92" s="75"/>
      <c r="P92" s="75"/>
      <c r="Q92" s="15"/>
    </row>
    <row r="93" spans="2:17" ht="29.4" hidden="1" customHeight="1" outlineLevel="2" x14ac:dyDescent="0.3">
      <c r="B93" s="371"/>
      <c r="C93" s="15" t="s">
        <v>177</v>
      </c>
      <c r="D93" s="15" t="s">
        <v>178</v>
      </c>
      <c r="E93" s="70" t="s">
        <v>3914</v>
      </c>
      <c r="F93" s="73" t="s">
        <v>3913</v>
      </c>
      <c r="G93" s="69">
        <v>4</v>
      </c>
      <c r="H93" s="37">
        <f>(COUNTIF(F93,$G$409)+(COUNTIF(F93,$G$408)*0.5))/COUNTA(F93)</f>
        <v>0</v>
      </c>
      <c r="I93" s="346"/>
      <c r="J93" s="69">
        <v>6</v>
      </c>
      <c r="K93" s="75"/>
      <c r="L93" s="75" t="s">
        <v>2844</v>
      </c>
      <c r="M93" s="75"/>
      <c r="N93" s="75"/>
      <c r="O93" s="75"/>
      <c r="P93" s="75"/>
      <c r="Q93" s="15"/>
    </row>
    <row r="94" spans="2:17" ht="29.4" customHeight="1" outlineLevel="1" collapsed="1" x14ac:dyDescent="0.3">
      <c r="B94" s="357" t="str">
        <f>'Результаты аудита'!D10</f>
        <v>Защита конвейера сборки</v>
      </c>
      <c r="C94" s="15" t="s">
        <v>179</v>
      </c>
      <c r="D94" s="15" t="s">
        <v>180</v>
      </c>
      <c r="E94" s="70" t="s">
        <v>3914</v>
      </c>
      <c r="F94" s="73" t="s">
        <v>3913</v>
      </c>
      <c r="G94" s="69">
        <v>0</v>
      </c>
      <c r="H94" s="70">
        <f>(COUNTIF(F94:F94,$F$407))/COUNTA(F94:F94)</f>
        <v>0</v>
      </c>
      <c r="I94" s="346">
        <f>SUM(H95:H103)/4</f>
        <v>0</v>
      </c>
      <c r="J94" s="69">
        <v>0</v>
      </c>
      <c r="K94" s="75"/>
      <c r="L94" s="75" t="s">
        <v>2836</v>
      </c>
      <c r="M94" s="75" t="s">
        <v>1805</v>
      </c>
      <c r="N94" s="75" t="s">
        <v>3146</v>
      </c>
      <c r="O94" s="75"/>
      <c r="P94" s="75" t="s">
        <v>1850</v>
      </c>
      <c r="Q94" s="15"/>
    </row>
    <row r="95" spans="2:17" ht="29.4" hidden="1" customHeight="1" outlineLevel="2" x14ac:dyDescent="0.3">
      <c r="B95" s="357"/>
      <c r="C95" s="15" t="s">
        <v>181</v>
      </c>
      <c r="D95" s="15" t="s">
        <v>182</v>
      </c>
      <c r="E95" s="70" t="s">
        <v>3914</v>
      </c>
      <c r="F95" s="73" t="s">
        <v>3913</v>
      </c>
      <c r="G95" s="340">
        <v>1</v>
      </c>
      <c r="H95" s="346">
        <f>(COUNTIF(F95:F99,$G$409)+(COUNTIF(F95:F99,$G$408)*0.5))/(COUNTA(F95:F99)-COUNTIF(F95:F99,$G$410))</f>
        <v>0</v>
      </c>
      <c r="I95" s="346"/>
      <c r="J95" s="69">
        <v>1</v>
      </c>
      <c r="K95" s="75"/>
      <c r="L95" s="75"/>
      <c r="M95" s="75"/>
      <c r="N95" s="75" t="s">
        <v>3146</v>
      </c>
      <c r="O95" s="75" t="s">
        <v>2883</v>
      </c>
      <c r="P95" s="75" t="s">
        <v>1855</v>
      </c>
      <c r="Q95" s="15"/>
    </row>
    <row r="96" spans="2:17" ht="29.4" hidden="1" customHeight="1" outlineLevel="2" x14ac:dyDescent="0.3">
      <c r="B96" s="357"/>
      <c r="C96" s="15" t="s">
        <v>183</v>
      </c>
      <c r="D96" s="15" t="s">
        <v>184</v>
      </c>
      <c r="E96" s="70" t="s">
        <v>3914</v>
      </c>
      <c r="F96" s="73" t="s">
        <v>3913</v>
      </c>
      <c r="G96" s="341"/>
      <c r="H96" s="346"/>
      <c r="I96" s="346"/>
      <c r="J96" s="69">
        <v>1</v>
      </c>
      <c r="K96" s="75"/>
      <c r="L96" s="75"/>
      <c r="M96" s="75"/>
      <c r="N96" s="75"/>
      <c r="O96" s="75" t="s">
        <v>2315</v>
      </c>
      <c r="P96" s="75"/>
      <c r="Q96" s="15"/>
    </row>
    <row r="97" spans="1:17" ht="29.4" hidden="1" customHeight="1" outlineLevel="2" x14ac:dyDescent="0.3">
      <c r="B97" s="357"/>
      <c r="C97" s="15" t="s">
        <v>185</v>
      </c>
      <c r="D97" s="15" t="s">
        <v>186</v>
      </c>
      <c r="E97" s="70" t="s">
        <v>3914</v>
      </c>
      <c r="F97" s="73" t="s">
        <v>3913</v>
      </c>
      <c r="G97" s="341"/>
      <c r="H97" s="346"/>
      <c r="I97" s="346"/>
      <c r="J97" s="69">
        <v>1</v>
      </c>
      <c r="K97" s="75" t="s">
        <v>1327</v>
      </c>
      <c r="L97" s="75"/>
      <c r="M97" s="75"/>
      <c r="N97" s="75"/>
      <c r="O97" s="75"/>
      <c r="P97" s="75"/>
      <c r="Q97" s="15"/>
    </row>
    <row r="98" spans="1:17" ht="29.4" hidden="1" customHeight="1" outlineLevel="2" x14ac:dyDescent="0.3">
      <c r="B98" s="357"/>
      <c r="C98" s="15" t="s">
        <v>2140</v>
      </c>
      <c r="D98" s="15" t="s">
        <v>2139</v>
      </c>
      <c r="E98" s="70" t="s">
        <v>3914</v>
      </c>
      <c r="F98" s="73" t="s">
        <v>3913</v>
      </c>
      <c r="G98" s="341"/>
      <c r="H98" s="346"/>
      <c r="I98" s="346"/>
      <c r="J98" s="69">
        <v>1</v>
      </c>
      <c r="K98" s="75"/>
      <c r="L98" s="75"/>
      <c r="M98" s="75"/>
      <c r="N98" s="75"/>
      <c r="O98" s="75"/>
      <c r="P98" s="75"/>
      <c r="Q98" s="15"/>
    </row>
    <row r="99" spans="1:17" ht="29.4" hidden="1" customHeight="1" outlineLevel="2" x14ac:dyDescent="0.3">
      <c r="B99" s="357"/>
      <c r="C99" s="15" t="s">
        <v>2141</v>
      </c>
      <c r="D99" s="15" t="s">
        <v>2142</v>
      </c>
      <c r="E99" s="70" t="s">
        <v>3914</v>
      </c>
      <c r="F99" s="73" t="s">
        <v>3913</v>
      </c>
      <c r="G99" s="342"/>
      <c r="H99" s="346"/>
      <c r="I99" s="346"/>
      <c r="J99" s="69">
        <v>1</v>
      </c>
      <c r="K99" s="75"/>
      <c r="L99" s="75"/>
      <c r="M99" s="75"/>
      <c r="N99" s="75"/>
      <c r="O99" s="75"/>
      <c r="P99" s="75"/>
      <c r="Q99" s="15"/>
    </row>
    <row r="100" spans="1:17" ht="29.4" hidden="1" customHeight="1" outlineLevel="2" x14ac:dyDescent="0.3">
      <c r="B100" s="357"/>
      <c r="C100" s="15" t="s">
        <v>187</v>
      </c>
      <c r="D100" s="15" t="s">
        <v>188</v>
      </c>
      <c r="E100" s="70" t="s">
        <v>3914</v>
      </c>
      <c r="F100" s="73" t="s">
        <v>3913</v>
      </c>
      <c r="G100" s="340">
        <v>2</v>
      </c>
      <c r="H100" s="346">
        <f>(COUNTIF(F100:F101,$G$409)+(COUNTIF(F100:F101,$G$408)*0.5))/(COUNTA(F100:F101)-COUNTIF(F100:F101,$G$410))</f>
        <v>0</v>
      </c>
      <c r="I100" s="346"/>
      <c r="J100" s="69">
        <v>3</v>
      </c>
      <c r="K100" s="75"/>
      <c r="L100" s="75"/>
      <c r="M100" s="75"/>
      <c r="N100" s="75"/>
      <c r="O100" s="75" t="s">
        <v>2313</v>
      </c>
      <c r="P100" s="75"/>
      <c r="Q100" s="15"/>
    </row>
    <row r="101" spans="1:17" ht="29.4" hidden="1" customHeight="1" outlineLevel="2" x14ac:dyDescent="0.3">
      <c r="B101" s="357"/>
      <c r="C101" s="15" t="s">
        <v>189</v>
      </c>
      <c r="D101" s="15" t="s">
        <v>190</v>
      </c>
      <c r="E101" s="70" t="s">
        <v>3914</v>
      </c>
      <c r="F101" s="73" t="s">
        <v>3913</v>
      </c>
      <c r="G101" s="342"/>
      <c r="H101" s="346"/>
      <c r="I101" s="346"/>
      <c r="J101" s="69">
        <v>3</v>
      </c>
      <c r="K101" s="75"/>
      <c r="L101" s="75"/>
      <c r="M101" s="75"/>
      <c r="N101" s="75" t="s">
        <v>3146</v>
      </c>
      <c r="O101" s="75"/>
      <c r="P101" s="75"/>
      <c r="Q101" s="15"/>
    </row>
    <row r="102" spans="1:17" ht="29.4" hidden="1" customHeight="1" outlineLevel="2" x14ac:dyDescent="0.3">
      <c r="B102" s="357"/>
      <c r="C102" s="15" t="s">
        <v>191</v>
      </c>
      <c r="D102" s="15" t="s">
        <v>192</v>
      </c>
      <c r="E102" s="70" t="s">
        <v>3914</v>
      </c>
      <c r="F102" s="73" t="s">
        <v>3913</v>
      </c>
      <c r="G102" s="69">
        <v>3</v>
      </c>
      <c r="H102" s="70">
        <f>(COUNTIF(F102:F102,$G$409)+(COUNTIF(F102:F102,$G$408)*0.5))/COUNTA(F102:F102)</f>
        <v>0</v>
      </c>
      <c r="I102" s="346"/>
      <c r="J102" s="69">
        <v>4</v>
      </c>
      <c r="K102" s="75"/>
      <c r="L102" s="75"/>
      <c r="M102" s="75"/>
      <c r="N102" s="75"/>
      <c r="O102" s="75" t="s">
        <v>2315</v>
      </c>
      <c r="P102" s="75" t="s">
        <v>1855</v>
      </c>
      <c r="Q102" s="15"/>
    </row>
    <row r="103" spans="1:17" ht="29.4" hidden="1" customHeight="1" outlineLevel="2" x14ac:dyDescent="0.3">
      <c r="B103" s="357"/>
      <c r="C103" s="15" t="s">
        <v>193</v>
      </c>
      <c r="D103" s="15" t="s">
        <v>194</v>
      </c>
      <c r="E103" s="70" t="s">
        <v>3914</v>
      </c>
      <c r="F103" s="73" t="s">
        <v>3913</v>
      </c>
      <c r="G103" s="69">
        <v>4</v>
      </c>
      <c r="H103" s="37">
        <f>(COUNTIF(F103,$G$409)+(COUNTIF(F103,$G$408)*0.5))/COUNTA(F103)</f>
        <v>0</v>
      </c>
      <c r="I103" s="346"/>
      <c r="J103" s="69">
        <v>5</v>
      </c>
      <c r="K103" s="75"/>
      <c r="L103" s="75"/>
      <c r="M103" s="75"/>
      <c r="N103" s="75"/>
      <c r="O103" s="75"/>
      <c r="P103" s="75" t="s">
        <v>1856</v>
      </c>
      <c r="Q103" s="15"/>
    </row>
    <row r="104" spans="1:17" ht="3.6" customHeight="1" outlineLevel="1" collapsed="1" x14ac:dyDescent="0.3">
      <c r="B104" s="36"/>
      <c r="C104" s="74"/>
      <c r="D104" s="74"/>
      <c r="E104" s="70"/>
      <c r="F104" s="73"/>
      <c r="G104" s="71"/>
      <c r="H104" s="37"/>
      <c r="I104" s="78"/>
      <c r="J104" s="73"/>
      <c r="K104" s="75"/>
      <c r="L104" s="75"/>
      <c r="M104" s="75"/>
      <c r="N104" s="75"/>
      <c r="O104" s="75"/>
      <c r="P104" s="13"/>
      <c r="Q104" s="15"/>
    </row>
    <row r="105" spans="1:17" ht="29.4" customHeight="1" x14ac:dyDescent="0.3">
      <c r="B105" s="614" t="s">
        <v>2127</v>
      </c>
      <c r="C105" s="614"/>
      <c r="D105" s="614"/>
      <c r="E105" s="615"/>
      <c r="F105" s="616"/>
      <c r="G105" s="617"/>
      <c r="H105" s="614"/>
      <c r="I105" s="614"/>
      <c r="J105" s="614"/>
      <c r="K105" s="614"/>
      <c r="L105" s="614"/>
      <c r="M105" s="614"/>
      <c r="N105" s="614"/>
      <c r="O105" s="614"/>
      <c r="P105" s="614"/>
      <c r="Q105" s="297"/>
    </row>
    <row r="106" spans="1:17" ht="29.4" customHeight="1" outlineLevel="1" x14ac:dyDescent="0.3">
      <c r="B106" s="618" t="str">
        <f>'Результаты аудита'!D11</f>
        <v>Безопасность заказной разработки</v>
      </c>
      <c r="C106" s="619" t="s">
        <v>1829</v>
      </c>
      <c r="D106" s="74" t="s">
        <v>1976</v>
      </c>
      <c r="E106" s="299" t="s">
        <v>3914</v>
      </c>
      <c r="F106" s="85" t="s">
        <v>3913</v>
      </c>
      <c r="G106" s="71">
        <v>0</v>
      </c>
      <c r="H106" s="299">
        <f>(COUNTIF(F106:F106,$F$407))/COUNTA(F106:F106)</f>
        <v>0</v>
      </c>
      <c r="I106" s="358">
        <f>SUM(H107:H118)/4</f>
        <v>0</v>
      </c>
      <c r="J106" s="71">
        <v>0</v>
      </c>
      <c r="K106" s="80"/>
      <c r="L106" s="80"/>
      <c r="M106" s="80"/>
      <c r="N106" s="620" t="s">
        <v>3151</v>
      </c>
      <c r="O106" s="80"/>
      <c r="P106" s="91"/>
      <c r="Q106" s="15"/>
    </row>
    <row r="107" spans="1:17" ht="29.4" hidden="1" customHeight="1" outlineLevel="2" x14ac:dyDescent="0.3">
      <c r="A107" s="38"/>
      <c r="B107" s="618"/>
      <c r="C107" s="619" t="s">
        <v>1830</v>
      </c>
      <c r="D107" s="74" t="s">
        <v>1977</v>
      </c>
      <c r="E107" s="299" t="s">
        <v>3914</v>
      </c>
      <c r="F107" s="85" t="s">
        <v>3913</v>
      </c>
      <c r="G107" s="348">
        <v>1</v>
      </c>
      <c r="H107" s="358">
        <f>(COUNTIF(F107:F108,$G$409)+(COUNTIF(F107:F108,$G$408)*0.5))/(COUNTA(F107:F108)-COUNTIF(F107:F108,$G$410))</f>
        <v>0</v>
      </c>
      <c r="I107" s="358"/>
      <c r="J107" s="71">
        <v>2</v>
      </c>
      <c r="K107" s="80"/>
      <c r="L107" s="80"/>
      <c r="M107" s="80"/>
      <c r="N107" s="620" t="s">
        <v>3151</v>
      </c>
      <c r="O107" s="80"/>
      <c r="P107" s="91"/>
      <c r="Q107" s="15"/>
    </row>
    <row r="108" spans="1:17" ht="29.4" hidden="1" customHeight="1" outlineLevel="2" x14ac:dyDescent="0.3">
      <c r="A108" s="38"/>
      <c r="B108" s="618"/>
      <c r="C108" s="619" t="s">
        <v>1831</v>
      </c>
      <c r="D108" s="74" t="s">
        <v>1978</v>
      </c>
      <c r="E108" s="299" t="s">
        <v>3914</v>
      </c>
      <c r="F108" s="85" t="s">
        <v>3913</v>
      </c>
      <c r="G108" s="349"/>
      <c r="H108" s="358"/>
      <c r="I108" s="358"/>
      <c r="J108" s="71">
        <v>2</v>
      </c>
      <c r="K108" s="80"/>
      <c r="L108" s="80"/>
      <c r="M108" s="80"/>
      <c r="N108" s="620" t="s">
        <v>3151</v>
      </c>
      <c r="O108" s="80"/>
      <c r="P108" s="91"/>
      <c r="Q108" s="15"/>
    </row>
    <row r="109" spans="1:17" ht="29.4" hidden="1" customHeight="1" outlineLevel="2" x14ac:dyDescent="0.3">
      <c r="B109" s="618"/>
      <c r="C109" s="619" t="s">
        <v>1832</v>
      </c>
      <c r="D109" s="74" t="s">
        <v>3967</v>
      </c>
      <c r="E109" s="299" t="s">
        <v>3914</v>
      </c>
      <c r="F109" s="85" t="s">
        <v>3913</v>
      </c>
      <c r="G109" s="348">
        <v>2</v>
      </c>
      <c r="H109" s="358">
        <f>(COUNTIF(F109:F112,$G$409)+(COUNTIF(F109:F112,$G$408)*0.5))/(COUNTA(F109:F112)-COUNTIF(F109:F112,$G$410))</f>
        <v>0</v>
      </c>
      <c r="I109" s="358"/>
      <c r="J109" s="71">
        <v>4</v>
      </c>
      <c r="K109" s="80"/>
      <c r="L109" s="80"/>
      <c r="M109" s="80"/>
      <c r="N109" s="620" t="s">
        <v>3152</v>
      </c>
      <c r="O109" s="80" t="s">
        <v>2884</v>
      </c>
      <c r="P109" s="91"/>
      <c r="Q109" s="15"/>
    </row>
    <row r="110" spans="1:17" ht="29.4" hidden="1" customHeight="1" outlineLevel="2" x14ac:dyDescent="0.3">
      <c r="B110" s="618"/>
      <c r="C110" s="619" t="s">
        <v>1833</v>
      </c>
      <c r="D110" s="74" t="s">
        <v>2153</v>
      </c>
      <c r="E110" s="299" t="s">
        <v>3914</v>
      </c>
      <c r="F110" s="85" t="s">
        <v>3913</v>
      </c>
      <c r="G110" s="378"/>
      <c r="H110" s="358"/>
      <c r="I110" s="358"/>
      <c r="J110" s="71">
        <v>4</v>
      </c>
      <c r="K110" s="80"/>
      <c r="L110" s="80"/>
      <c r="M110" s="80"/>
      <c r="N110" s="620" t="s">
        <v>3151</v>
      </c>
      <c r="O110" s="80"/>
      <c r="P110" s="91"/>
      <c r="Q110" s="15"/>
    </row>
    <row r="111" spans="1:17" ht="29.4" hidden="1" customHeight="1" outlineLevel="2" x14ac:dyDescent="0.3">
      <c r="B111" s="618"/>
      <c r="C111" s="619" t="s">
        <v>1834</v>
      </c>
      <c r="D111" s="74" t="s">
        <v>2154</v>
      </c>
      <c r="E111" s="299" t="s">
        <v>3914</v>
      </c>
      <c r="F111" s="85" t="s">
        <v>3913</v>
      </c>
      <c r="G111" s="378"/>
      <c r="H111" s="358"/>
      <c r="I111" s="358"/>
      <c r="J111" s="71">
        <v>4</v>
      </c>
      <c r="K111" s="80"/>
      <c r="L111" s="80"/>
      <c r="M111" s="80"/>
      <c r="N111" s="620" t="s">
        <v>3153</v>
      </c>
      <c r="O111" s="80"/>
      <c r="P111" s="91"/>
      <c r="Q111" s="15"/>
    </row>
    <row r="112" spans="1:17" ht="29.4" hidden="1" customHeight="1" outlineLevel="2" x14ac:dyDescent="0.3">
      <c r="B112" s="618"/>
      <c r="C112" s="619" t="s">
        <v>1837</v>
      </c>
      <c r="D112" s="74" t="s">
        <v>1979</v>
      </c>
      <c r="E112" s="299" t="s">
        <v>3914</v>
      </c>
      <c r="F112" s="85" t="s">
        <v>3913</v>
      </c>
      <c r="G112" s="349"/>
      <c r="H112" s="358"/>
      <c r="I112" s="358"/>
      <c r="J112" s="71">
        <v>4</v>
      </c>
      <c r="K112" s="80"/>
      <c r="L112" s="80"/>
      <c r="M112" s="80"/>
      <c r="N112" s="620" t="s">
        <v>3151</v>
      </c>
      <c r="O112" s="80" t="s">
        <v>2328</v>
      </c>
      <c r="P112" s="91"/>
      <c r="Q112" s="15"/>
    </row>
    <row r="113" spans="1:17" ht="29.4" hidden="1" customHeight="1" outlineLevel="2" x14ac:dyDescent="0.3">
      <c r="A113" s="38"/>
      <c r="B113" s="618"/>
      <c r="C113" s="619" t="s">
        <v>1835</v>
      </c>
      <c r="D113" s="74" t="s">
        <v>1980</v>
      </c>
      <c r="E113" s="299" t="s">
        <v>3914</v>
      </c>
      <c r="F113" s="85" t="s">
        <v>3913</v>
      </c>
      <c r="G113" s="348">
        <v>3</v>
      </c>
      <c r="H113" s="358">
        <f>(COUNTIF(F113:F117,$G$409)+(COUNTIF(F113:F117,$G$408)*0.5))/(COUNTA(F113:F117)-COUNTIF(F113:F117,$G$410))</f>
        <v>0</v>
      </c>
      <c r="I113" s="358"/>
      <c r="J113" s="71">
        <v>5</v>
      </c>
      <c r="K113" s="80"/>
      <c r="L113" s="80"/>
      <c r="M113" s="80"/>
      <c r="N113" s="620" t="s">
        <v>3151</v>
      </c>
      <c r="O113" s="80"/>
      <c r="P113" s="91"/>
      <c r="Q113" s="15"/>
    </row>
    <row r="114" spans="1:17" ht="29.4" hidden="1" customHeight="1" outlineLevel="2" x14ac:dyDescent="0.3">
      <c r="A114" s="38"/>
      <c r="B114" s="618"/>
      <c r="C114" s="619" t="s">
        <v>1836</v>
      </c>
      <c r="D114" s="74" t="s">
        <v>3968</v>
      </c>
      <c r="E114" s="299" t="s">
        <v>3914</v>
      </c>
      <c r="F114" s="85" t="s">
        <v>3913</v>
      </c>
      <c r="G114" s="378"/>
      <c r="H114" s="358"/>
      <c r="I114" s="358"/>
      <c r="J114" s="71">
        <v>5</v>
      </c>
      <c r="K114" s="80"/>
      <c r="L114" s="80"/>
      <c r="M114" s="80"/>
      <c r="N114" s="620" t="s">
        <v>3152</v>
      </c>
      <c r="O114" s="80" t="s">
        <v>2884</v>
      </c>
      <c r="P114" s="91"/>
      <c r="Q114" s="15"/>
    </row>
    <row r="115" spans="1:17" ht="29.4" hidden="1" customHeight="1" outlineLevel="2" x14ac:dyDescent="0.3">
      <c r="A115" s="38"/>
      <c r="B115" s="618"/>
      <c r="C115" s="619" t="s">
        <v>1838</v>
      </c>
      <c r="D115" s="74" t="s">
        <v>1981</v>
      </c>
      <c r="E115" s="299" t="s">
        <v>3914</v>
      </c>
      <c r="F115" s="85" t="s">
        <v>3913</v>
      </c>
      <c r="G115" s="378"/>
      <c r="H115" s="358"/>
      <c r="I115" s="358"/>
      <c r="J115" s="71">
        <v>5</v>
      </c>
      <c r="K115" s="80"/>
      <c r="L115" s="80"/>
      <c r="M115" s="80"/>
      <c r="N115" s="620" t="s">
        <v>3154</v>
      </c>
      <c r="O115" s="80"/>
      <c r="P115" s="91"/>
      <c r="Q115" s="15"/>
    </row>
    <row r="116" spans="1:17" ht="29.4" hidden="1" customHeight="1" outlineLevel="2" x14ac:dyDescent="0.3">
      <c r="A116" s="38"/>
      <c r="B116" s="618"/>
      <c r="C116" s="619" t="s">
        <v>1967</v>
      </c>
      <c r="D116" s="74" t="s">
        <v>1982</v>
      </c>
      <c r="E116" s="299" t="s">
        <v>3914</v>
      </c>
      <c r="F116" s="85" t="s">
        <v>3913</v>
      </c>
      <c r="G116" s="378"/>
      <c r="H116" s="358"/>
      <c r="I116" s="358"/>
      <c r="J116" s="71">
        <v>5</v>
      </c>
      <c r="K116" s="80"/>
      <c r="L116" s="80"/>
      <c r="M116" s="80"/>
      <c r="N116" s="620" t="s">
        <v>3151</v>
      </c>
      <c r="O116" s="80" t="s">
        <v>2885</v>
      </c>
      <c r="P116" s="91"/>
      <c r="Q116" s="15"/>
    </row>
    <row r="117" spans="1:17" ht="29.4" hidden="1" customHeight="1" outlineLevel="2" x14ac:dyDescent="0.3">
      <c r="A117" s="38"/>
      <c r="B117" s="618"/>
      <c r="C117" s="619" t="s">
        <v>1969</v>
      </c>
      <c r="D117" s="74" t="s">
        <v>1983</v>
      </c>
      <c r="E117" s="299" t="s">
        <v>3914</v>
      </c>
      <c r="F117" s="85" t="s">
        <v>3913</v>
      </c>
      <c r="G117" s="349"/>
      <c r="H117" s="358"/>
      <c r="I117" s="358"/>
      <c r="J117" s="71">
        <v>5</v>
      </c>
      <c r="K117" s="80"/>
      <c r="L117" s="80"/>
      <c r="M117" s="80"/>
      <c r="N117" s="620" t="s">
        <v>3155</v>
      </c>
      <c r="O117" s="80" t="s">
        <v>2327</v>
      </c>
      <c r="P117" s="91"/>
      <c r="Q117" s="15"/>
    </row>
    <row r="118" spans="1:17" ht="29.4" hidden="1" customHeight="1" outlineLevel="2" x14ac:dyDescent="0.3">
      <c r="B118" s="618"/>
      <c r="C118" s="619" t="s">
        <v>1839</v>
      </c>
      <c r="D118" s="74" t="s">
        <v>1984</v>
      </c>
      <c r="E118" s="299" t="s">
        <v>3914</v>
      </c>
      <c r="F118" s="85" t="s">
        <v>3913</v>
      </c>
      <c r="G118" s="71">
        <v>4</v>
      </c>
      <c r="H118" s="299">
        <f>(COUNTIF(F118,$G$409)+(COUNTIF(F118,$G$408)*0.5))/COUNTA(F118)</f>
        <v>0</v>
      </c>
      <c r="I118" s="358"/>
      <c r="J118" s="71">
        <v>7</v>
      </c>
      <c r="K118" s="80"/>
      <c r="L118" s="80"/>
      <c r="M118" s="80"/>
      <c r="N118" s="620"/>
      <c r="O118" s="80"/>
      <c r="P118" s="91"/>
      <c r="Q118" s="15"/>
    </row>
    <row r="119" spans="1:17" ht="29.4" customHeight="1" outlineLevel="1" collapsed="1" x14ac:dyDescent="0.3">
      <c r="B119" s="382" t="str">
        <f>'Результаты аудита'!D12</f>
        <v>Статический анализ (SAST)</v>
      </c>
      <c r="C119" s="74" t="s">
        <v>195</v>
      </c>
      <c r="D119" s="74" t="s">
        <v>196</v>
      </c>
      <c r="E119" s="299" t="s">
        <v>3914</v>
      </c>
      <c r="F119" s="85" t="s">
        <v>3913</v>
      </c>
      <c r="G119" s="71">
        <v>0</v>
      </c>
      <c r="H119" s="299">
        <f>(COUNTIF(F119:F119,$F$407))/COUNTA(F119:F119)</f>
        <v>0</v>
      </c>
      <c r="I119" s="621">
        <f>SUM(H120:H129)/4</f>
        <v>0</v>
      </c>
      <c r="J119" s="85">
        <v>0</v>
      </c>
      <c r="K119" s="620"/>
      <c r="L119" s="620" t="s">
        <v>2845</v>
      </c>
      <c r="M119" s="620" t="s">
        <v>1356</v>
      </c>
      <c r="N119" s="620" t="s">
        <v>3155</v>
      </c>
      <c r="O119" s="80" t="s">
        <v>2310</v>
      </c>
      <c r="P119" s="80" t="s">
        <v>1859</v>
      </c>
      <c r="Q119" s="15"/>
    </row>
    <row r="120" spans="1:17" ht="29.4" hidden="1" customHeight="1" outlineLevel="2" x14ac:dyDescent="0.3">
      <c r="B120" s="382"/>
      <c r="C120" s="74" t="s">
        <v>198</v>
      </c>
      <c r="D120" s="74" t="s">
        <v>199</v>
      </c>
      <c r="E120" s="299" t="s">
        <v>3914</v>
      </c>
      <c r="F120" s="85" t="s">
        <v>3913</v>
      </c>
      <c r="G120" s="348">
        <v>1</v>
      </c>
      <c r="H120" s="358">
        <f>(COUNTIF(F120:F121,$G$409)+(COUNTIF(F120:F121,$G$408)*0.5))/(COUNTA(F120:F121)-COUNTIF(F120:F121,$G$410))</f>
        <v>0</v>
      </c>
      <c r="I120" s="621"/>
      <c r="J120" s="85">
        <v>2</v>
      </c>
      <c r="K120" s="620" t="s">
        <v>727</v>
      </c>
      <c r="L120" s="620"/>
      <c r="M120" s="620" t="s">
        <v>1356</v>
      </c>
      <c r="N120" s="620"/>
      <c r="O120" s="80" t="s">
        <v>2310</v>
      </c>
      <c r="P120" s="80"/>
      <c r="Q120" s="15"/>
    </row>
    <row r="121" spans="1:17" ht="29.4" hidden="1" customHeight="1" outlineLevel="2" x14ac:dyDescent="0.3">
      <c r="B121" s="382"/>
      <c r="C121" s="74" t="s">
        <v>200</v>
      </c>
      <c r="D121" s="74" t="s">
        <v>201</v>
      </c>
      <c r="E121" s="299" t="s">
        <v>3914</v>
      </c>
      <c r="F121" s="85" t="s">
        <v>3913</v>
      </c>
      <c r="G121" s="349"/>
      <c r="H121" s="358"/>
      <c r="I121" s="621"/>
      <c r="J121" s="85">
        <v>2</v>
      </c>
      <c r="K121" s="80"/>
      <c r="L121" s="80"/>
      <c r="M121" s="80" t="s">
        <v>1356</v>
      </c>
      <c r="N121" s="80" t="s">
        <v>3155</v>
      </c>
      <c r="O121" s="80" t="s">
        <v>2365</v>
      </c>
      <c r="P121" s="80"/>
      <c r="Q121" s="15"/>
    </row>
    <row r="122" spans="1:17" ht="29.4" hidden="1" customHeight="1" outlineLevel="2" x14ac:dyDescent="0.3">
      <c r="B122" s="382"/>
      <c r="C122" s="74" t="s">
        <v>202</v>
      </c>
      <c r="D122" s="74" t="s">
        <v>203</v>
      </c>
      <c r="E122" s="299" t="s">
        <v>3914</v>
      </c>
      <c r="F122" s="85" t="s">
        <v>3913</v>
      </c>
      <c r="G122" s="348">
        <v>2</v>
      </c>
      <c r="H122" s="358">
        <f>(COUNTIF(F122:F125,$G$409)+(COUNTIF(F122:F125,$G$408)*0.5))/(COUNTA(F122:F125)-COUNTIF(F122:F125,$G$410))</f>
        <v>0</v>
      </c>
      <c r="I122" s="621"/>
      <c r="J122" s="85">
        <v>3</v>
      </c>
      <c r="K122" s="80"/>
      <c r="L122" s="80" t="s">
        <v>2846</v>
      </c>
      <c r="M122" s="80" t="s">
        <v>1358</v>
      </c>
      <c r="N122" s="80" t="s">
        <v>3155</v>
      </c>
      <c r="O122" s="80" t="s">
        <v>2310</v>
      </c>
      <c r="P122" s="80" t="s">
        <v>1860</v>
      </c>
      <c r="Q122" s="15"/>
    </row>
    <row r="123" spans="1:17" ht="29.4" hidden="1" customHeight="1" outlineLevel="2" x14ac:dyDescent="0.3">
      <c r="B123" s="382"/>
      <c r="C123" s="74" t="s">
        <v>204</v>
      </c>
      <c r="D123" s="74" t="s">
        <v>205</v>
      </c>
      <c r="E123" s="299" t="s">
        <v>3914</v>
      </c>
      <c r="F123" s="85" t="s">
        <v>3913</v>
      </c>
      <c r="G123" s="378"/>
      <c r="H123" s="358"/>
      <c r="I123" s="621"/>
      <c r="J123" s="85">
        <v>3</v>
      </c>
      <c r="K123" s="80"/>
      <c r="L123" s="80"/>
      <c r="M123" s="80" t="s">
        <v>1358</v>
      </c>
      <c r="N123" s="80"/>
      <c r="O123" s="80" t="s">
        <v>2365</v>
      </c>
      <c r="P123" s="80" t="s">
        <v>1861</v>
      </c>
      <c r="Q123" s="15"/>
    </row>
    <row r="124" spans="1:17" ht="29.4" hidden="1" customHeight="1" outlineLevel="2" x14ac:dyDescent="0.3">
      <c r="B124" s="382"/>
      <c r="C124" s="74" t="s">
        <v>206</v>
      </c>
      <c r="D124" s="74" t="s">
        <v>207</v>
      </c>
      <c r="E124" s="299" t="s">
        <v>3914</v>
      </c>
      <c r="F124" s="85" t="s">
        <v>3913</v>
      </c>
      <c r="G124" s="378"/>
      <c r="H124" s="358"/>
      <c r="I124" s="621"/>
      <c r="J124" s="85">
        <v>3</v>
      </c>
      <c r="K124" s="80" t="s">
        <v>3966</v>
      </c>
      <c r="L124" s="80"/>
      <c r="M124" s="80" t="s">
        <v>1357</v>
      </c>
      <c r="N124" s="80"/>
      <c r="O124" s="80"/>
      <c r="P124" s="80" t="s">
        <v>1862</v>
      </c>
      <c r="Q124" s="15"/>
    </row>
    <row r="125" spans="1:17" ht="29.4" hidden="1" customHeight="1" outlineLevel="2" x14ac:dyDescent="0.3">
      <c r="B125" s="382"/>
      <c r="C125" s="74" t="s">
        <v>208</v>
      </c>
      <c r="D125" s="74" t="s">
        <v>209</v>
      </c>
      <c r="E125" s="299" t="s">
        <v>3914</v>
      </c>
      <c r="F125" s="85" t="s">
        <v>3913</v>
      </c>
      <c r="G125" s="349"/>
      <c r="H125" s="358"/>
      <c r="I125" s="621"/>
      <c r="J125" s="85">
        <v>3</v>
      </c>
      <c r="K125" s="80"/>
      <c r="L125" s="80"/>
      <c r="M125" s="80"/>
      <c r="N125" s="80" t="s">
        <v>3156</v>
      </c>
      <c r="O125" s="80"/>
      <c r="P125" s="80" t="s">
        <v>1859</v>
      </c>
      <c r="Q125" s="15"/>
    </row>
    <row r="126" spans="1:17" ht="29.4" hidden="1" customHeight="1" outlineLevel="2" x14ac:dyDescent="0.3">
      <c r="B126" s="382"/>
      <c r="C126" s="74" t="s">
        <v>210</v>
      </c>
      <c r="D126" s="74" t="s">
        <v>211</v>
      </c>
      <c r="E126" s="299" t="s">
        <v>3914</v>
      </c>
      <c r="F126" s="85" t="s">
        <v>3913</v>
      </c>
      <c r="G126" s="348">
        <v>3</v>
      </c>
      <c r="H126" s="358">
        <f>(COUNTIF(F126:F128,$G$409)+(COUNTIF(F126:F128,$G$408)*0.5))/(COUNTA(F126:F128)-COUNTIF(F126:F128,$G$410))</f>
        <v>0</v>
      </c>
      <c r="I126" s="621"/>
      <c r="J126" s="85">
        <v>4</v>
      </c>
      <c r="K126" s="80"/>
      <c r="L126" s="80"/>
      <c r="M126" s="80" t="s">
        <v>1356</v>
      </c>
      <c r="N126" s="80" t="s">
        <v>3155</v>
      </c>
      <c r="O126" s="80" t="s">
        <v>2886</v>
      </c>
      <c r="P126" s="80" t="s">
        <v>1860</v>
      </c>
      <c r="Q126" s="15"/>
    </row>
    <row r="127" spans="1:17" ht="29.4" hidden="1" customHeight="1" outlineLevel="2" x14ac:dyDescent="0.3">
      <c r="B127" s="382"/>
      <c r="C127" s="74" t="s">
        <v>212</v>
      </c>
      <c r="D127" s="74" t="s">
        <v>213</v>
      </c>
      <c r="E127" s="299" t="s">
        <v>3914</v>
      </c>
      <c r="F127" s="85" t="s">
        <v>3913</v>
      </c>
      <c r="G127" s="378"/>
      <c r="H127" s="358"/>
      <c r="I127" s="621"/>
      <c r="J127" s="85">
        <v>4</v>
      </c>
      <c r="K127" s="80" t="s">
        <v>214</v>
      </c>
      <c r="L127" s="80"/>
      <c r="M127" s="80" t="s">
        <v>1358</v>
      </c>
      <c r="N127" s="80" t="s">
        <v>3155</v>
      </c>
      <c r="O127" s="80" t="s">
        <v>2365</v>
      </c>
      <c r="P127" s="80" t="s">
        <v>1863</v>
      </c>
      <c r="Q127" s="15"/>
    </row>
    <row r="128" spans="1:17" ht="29.4" hidden="1" customHeight="1" outlineLevel="2" x14ac:dyDescent="0.3">
      <c r="B128" s="382"/>
      <c r="C128" s="74" t="s">
        <v>215</v>
      </c>
      <c r="D128" s="74" t="s">
        <v>216</v>
      </c>
      <c r="E128" s="299" t="s">
        <v>3914</v>
      </c>
      <c r="F128" s="85" t="s">
        <v>3913</v>
      </c>
      <c r="G128" s="349"/>
      <c r="H128" s="358"/>
      <c r="I128" s="621"/>
      <c r="J128" s="85">
        <v>4</v>
      </c>
      <c r="K128" s="80"/>
      <c r="L128" s="80"/>
      <c r="M128" s="80"/>
      <c r="N128" s="80"/>
      <c r="O128" s="80"/>
      <c r="P128" s="80"/>
      <c r="Q128" s="15"/>
    </row>
    <row r="129" spans="2:17" ht="29.4" hidden="1" customHeight="1" outlineLevel="2" x14ac:dyDescent="0.3">
      <c r="B129" s="382"/>
      <c r="C129" s="74" t="s">
        <v>217</v>
      </c>
      <c r="D129" s="74" t="s">
        <v>218</v>
      </c>
      <c r="E129" s="299" t="s">
        <v>3914</v>
      </c>
      <c r="F129" s="85" t="s">
        <v>3913</v>
      </c>
      <c r="G129" s="71">
        <v>4</v>
      </c>
      <c r="H129" s="299">
        <f>(COUNTIF(F129,$G$409)+(COUNTIF(F129,$G$408)*0.5))/COUNTA(F129)</f>
        <v>0</v>
      </c>
      <c r="I129" s="621"/>
      <c r="J129" s="85">
        <v>7</v>
      </c>
      <c r="K129" s="80"/>
      <c r="L129" s="80" t="s">
        <v>2847</v>
      </c>
      <c r="M129" s="80" t="s">
        <v>1350</v>
      </c>
      <c r="N129" s="80"/>
      <c r="O129" s="80"/>
      <c r="P129" s="80"/>
      <c r="Q129" s="15"/>
    </row>
    <row r="130" spans="2:17" ht="29.4" customHeight="1" outlineLevel="1" collapsed="1" x14ac:dyDescent="0.3">
      <c r="B130" s="377" t="str">
        <f>'Результаты аудита'!D13</f>
        <v>Композиционный анализ (SCA)</v>
      </c>
      <c r="C130" s="74" t="s">
        <v>219</v>
      </c>
      <c r="D130" s="74" t="s">
        <v>220</v>
      </c>
      <c r="E130" s="299" t="s">
        <v>3914</v>
      </c>
      <c r="F130" s="85" t="s">
        <v>3913</v>
      </c>
      <c r="G130" s="71">
        <v>0</v>
      </c>
      <c r="H130" s="299">
        <f>(COUNTIF(F130:F130,$F$407))/COUNTA(F130:F130)</f>
        <v>0</v>
      </c>
      <c r="I130" s="621">
        <f>SUM(H131:H143)/4</f>
        <v>0</v>
      </c>
      <c r="J130" s="85">
        <v>0</v>
      </c>
      <c r="K130" s="80" t="s">
        <v>1328</v>
      </c>
      <c r="L130" s="80" t="s">
        <v>2848</v>
      </c>
      <c r="M130" s="80" t="s">
        <v>17</v>
      </c>
      <c r="N130" s="80" t="s">
        <v>3145</v>
      </c>
      <c r="O130" s="80" t="s">
        <v>2326</v>
      </c>
      <c r="P130" s="80" t="s">
        <v>1864</v>
      </c>
      <c r="Q130" s="15"/>
    </row>
    <row r="131" spans="2:17" ht="29.4" hidden="1" customHeight="1" outlineLevel="2" x14ac:dyDescent="0.3">
      <c r="B131" s="377"/>
      <c r="C131" s="74" t="s">
        <v>221</v>
      </c>
      <c r="D131" s="74" t="s">
        <v>222</v>
      </c>
      <c r="E131" s="299" t="s">
        <v>3914</v>
      </c>
      <c r="F131" s="85" t="s">
        <v>3913</v>
      </c>
      <c r="G131" s="348">
        <v>1</v>
      </c>
      <c r="H131" s="358">
        <f>(COUNTIF(F131:F133,$G$409)+(COUNTIF(F131:F133,$G$408)*0.5))/(COUNTA(F131:F133)-COUNTIF(F131:F133,$G$410))</f>
        <v>0</v>
      </c>
      <c r="I131" s="621"/>
      <c r="J131" s="85">
        <v>1</v>
      </c>
      <c r="K131" s="80" t="s">
        <v>223</v>
      </c>
      <c r="L131" s="80"/>
      <c r="M131" s="80"/>
      <c r="N131" s="80" t="s">
        <v>3145</v>
      </c>
      <c r="O131" s="80"/>
      <c r="P131" s="80" t="s">
        <v>1865</v>
      </c>
      <c r="Q131" s="15"/>
    </row>
    <row r="132" spans="2:17" ht="29.4" hidden="1" customHeight="1" outlineLevel="2" x14ac:dyDescent="0.3">
      <c r="B132" s="377"/>
      <c r="C132" s="74" t="s">
        <v>224</v>
      </c>
      <c r="D132" s="74" t="s">
        <v>225</v>
      </c>
      <c r="E132" s="299" t="s">
        <v>3914</v>
      </c>
      <c r="F132" s="85" t="s">
        <v>3913</v>
      </c>
      <c r="G132" s="378"/>
      <c r="H132" s="358"/>
      <c r="I132" s="621"/>
      <c r="J132" s="85">
        <v>1</v>
      </c>
      <c r="K132" s="80"/>
      <c r="L132" s="80"/>
      <c r="M132" s="80"/>
      <c r="N132" s="80"/>
      <c r="O132" s="80" t="s">
        <v>2887</v>
      </c>
      <c r="P132" s="80"/>
      <c r="Q132" s="15"/>
    </row>
    <row r="133" spans="2:17" ht="29.4" hidden="1" customHeight="1" outlineLevel="2" x14ac:dyDescent="0.3">
      <c r="B133" s="377"/>
      <c r="C133" s="74" t="s">
        <v>226</v>
      </c>
      <c r="D133" s="74" t="s">
        <v>227</v>
      </c>
      <c r="E133" s="299" t="s">
        <v>3914</v>
      </c>
      <c r="F133" s="85" t="s">
        <v>3913</v>
      </c>
      <c r="G133" s="349"/>
      <c r="H133" s="358"/>
      <c r="I133" s="621"/>
      <c r="J133" s="85">
        <v>1</v>
      </c>
      <c r="K133" s="80" t="s">
        <v>1324</v>
      </c>
      <c r="L133" s="80"/>
      <c r="M133" s="80"/>
      <c r="N133" s="80"/>
      <c r="O133" s="80"/>
      <c r="P133" s="80"/>
      <c r="Q133" s="15"/>
    </row>
    <row r="134" spans="2:17" ht="29.4" hidden="1" customHeight="1" outlineLevel="2" x14ac:dyDescent="0.3">
      <c r="B134" s="377"/>
      <c r="C134" s="74" t="s">
        <v>228</v>
      </c>
      <c r="D134" s="74" t="s">
        <v>229</v>
      </c>
      <c r="E134" s="299" t="s">
        <v>3914</v>
      </c>
      <c r="F134" s="85" t="s">
        <v>3913</v>
      </c>
      <c r="G134" s="348">
        <v>2</v>
      </c>
      <c r="H134" s="358">
        <f>(COUNTIF(F134:F138,$G$409)+(COUNTIF(F134:F138,$G$408)*0.5))/(COUNTA(F134:F138)-COUNTIF(F134:F138,$G$410))</f>
        <v>0</v>
      </c>
      <c r="I134" s="621"/>
      <c r="J134" s="85">
        <v>2</v>
      </c>
      <c r="K134" s="80"/>
      <c r="L134" s="80"/>
      <c r="M134" s="80" t="s">
        <v>1809</v>
      </c>
      <c r="N134" s="80" t="s">
        <v>3157</v>
      </c>
      <c r="O134" s="80" t="s">
        <v>2887</v>
      </c>
      <c r="P134" s="80"/>
      <c r="Q134" s="15"/>
    </row>
    <row r="135" spans="2:17" ht="29.4" hidden="1" customHeight="1" outlineLevel="2" x14ac:dyDescent="0.3">
      <c r="B135" s="377"/>
      <c r="C135" s="74" t="s">
        <v>230</v>
      </c>
      <c r="D135" s="74" t="s">
        <v>231</v>
      </c>
      <c r="E135" s="299" t="s">
        <v>3914</v>
      </c>
      <c r="F135" s="85" t="s">
        <v>3913</v>
      </c>
      <c r="G135" s="378"/>
      <c r="H135" s="358"/>
      <c r="I135" s="621"/>
      <c r="J135" s="85">
        <v>2</v>
      </c>
      <c r="K135" s="80"/>
      <c r="L135" s="80"/>
      <c r="M135" s="80"/>
      <c r="N135" s="80" t="s">
        <v>3144</v>
      </c>
      <c r="O135" s="80"/>
      <c r="P135" s="80"/>
      <c r="Q135" s="15"/>
    </row>
    <row r="136" spans="2:17" ht="29.4" hidden="1" customHeight="1" outlineLevel="2" x14ac:dyDescent="0.3">
      <c r="B136" s="377"/>
      <c r="C136" s="74" t="s">
        <v>232</v>
      </c>
      <c r="D136" s="74" t="s">
        <v>233</v>
      </c>
      <c r="E136" s="299" t="s">
        <v>3914</v>
      </c>
      <c r="F136" s="85" t="s">
        <v>3913</v>
      </c>
      <c r="G136" s="378"/>
      <c r="H136" s="358"/>
      <c r="I136" s="621"/>
      <c r="J136" s="85">
        <v>2</v>
      </c>
      <c r="K136" s="80" t="s">
        <v>59</v>
      </c>
      <c r="L136" s="80"/>
      <c r="M136" s="80" t="s">
        <v>1805</v>
      </c>
      <c r="N136" s="80" t="s">
        <v>3147</v>
      </c>
      <c r="O136" s="80"/>
      <c r="P136" s="80"/>
      <c r="Q136" s="15"/>
    </row>
    <row r="137" spans="2:17" ht="29.4" hidden="1" customHeight="1" outlineLevel="2" x14ac:dyDescent="0.3">
      <c r="B137" s="377"/>
      <c r="C137" s="74" t="s">
        <v>234</v>
      </c>
      <c r="D137" s="74" t="s">
        <v>235</v>
      </c>
      <c r="E137" s="299" t="s">
        <v>3914</v>
      </c>
      <c r="F137" s="85" t="s">
        <v>3913</v>
      </c>
      <c r="G137" s="378"/>
      <c r="H137" s="358"/>
      <c r="I137" s="621"/>
      <c r="J137" s="85">
        <v>2</v>
      </c>
      <c r="K137" s="80" t="s">
        <v>3966</v>
      </c>
      <c r="L137" s="80"/>
      <c r="M137" s="80" t="s">
        <v>1357</v>
      </c>
      <c r="N137" s="80"/>
      <c r="O137" s="80"/>
      <c r="P137" s="80" t="s">
        <v>1866</v>
      </c>
      <c r="Q137" s="15"/>
    </row>
    <row r="138" spans="2:17" ht="29.4" hidden="1" customHeight="1" outlineLevel="2" x14ac:dyDescent="0.3">
      <c r="B138" s="377"/>
      <c r="C138" s="74" t="s">
        <v>236</v>
      </c>
      <c r="D138" s="74" t="s">
        <v>237</v>
      </c>
      <c r="E138" s="299" t="s">
        <v>3914</v>
      </c>
      <c r="F138" s="85" t="s">
        <v>3913</v>
      </c>
      <c r="G138" s="349"/>
      <c r="H138" s="358"/>
      <c r="I138" s="621"/>
      <c r="J138" s="85">
        <v>2</v>
      </c>
      <c r="K138" s="80" t="s">
        <v>23</v>
      </c>
      <c r="L138" s="80"/>
      <c r="M138" s="80" t="s">
        <v>17</v>
      </c>
      <c r="N138" s="80"/>
      <c r="O138" s="80"/>
      <c r="P138" s="80" t="s">
        <v>1867</v>
      </c>
      <c r="Q138" s="15"/>
    </row>
    <row r="139" spans="2:17" ht="29.4" hidden="1" customHeight="1" outlineLevel="2" x14ac:dyDescent="0.3">
      <c r="B139" s="377"/>
      <c r="C139" s="74" t="s">
        <v>238</v>
      </c>
      <c r="D139" s="74" t="s">
        <v>239</v>
      </c>
      <c r="E139" s="299" t="s">
        <v>3914</v>
      </c>
      <c r="F139" s="85" t="s">
        <v>3913</v>
      </c>
      <c r="G139" s="348">
        <v>3</v>
      </c>
      <c r="H139" s="358">
        <f>(COUNTIF(F139:F142,$G$409)+(COUNTIF(F139:F142,$G$408)*0.5))/(COUNTA(F139:F142)-COUNTIF(F139:F142,$G$410))</f>
        <v>0</v>
      </c>
      <c r="I139" s="621"/>
      <c r="J139" s="85">
        <v>4</v>
      </c>
      <c r="K139" s="80"/>
      <c r="L139" s="80"/>
      <c r="M139" s="80"/>
      <c r="N139" s="80"/>
      <c r="O139" s="80" t="s">
        <v>2334</v>
      </c>
      <c r="P139" s="80"/>
      <c r="Q139" s="15"/>
    </row>
    <row r="140" spans="2:17" ht="29.4" hidden="1" customHeight="1" outlineLevel="2" x14ac:dyDescent="0.3">
      <c r="B140" s="377"/>
      <c r="C140" s="74" t="s">
        <v>240</v>
      </c>
      <c r="D140" s="74" t="s">
        <v>241</v>
      </c>
      <c r="E140" s="299" t="s">
        <v>3914</v>
      </c>
      <c r="F140" s="85" t="s">
        <v>3913</v>
      </c>
      <c r="G140" s="378"/>
      <c r="H140" s="358"/>
      <c r="I140" s="621"/>
      <c r="J140" s="85">
        <v>4</v>
      </c>
      <c r="K140" s="80" t="s">
        <v>1329</v>
      </c>
      <c r="L140" s="80" t="s">
        <v>2849</v>
      </c>
      <c r="M140" s="80"/>
      <c r="N140" s="80"/>
      <c r="O140" s="80"/>
      <c r="P140" s="80"/>
      <c r="Q140" s="15"/>
    </row>
    <row r="141" spans="2:17" ht="29.4" hidden="1" customHeight="1" outlineLevel="2" x14ac:dyDescent="0.3">
      <c r="B141" s="377"/>
      <c r="C141" s="74" t="s">
        <v>242</v>
      </c>
      <c r="D141" s="74" t="s">
        <v>243</v>
      </c>
      <c r="E141" s="299" t="s">
        <v>3914</v>
      </c>
      <c r="F141" s="85" t="s">
        <v>3913</v>
      </c>
      <c r="G141" s="378"/>
      <c r="H141" s="358"/>
      <c r="I141" s="621"/>
      <c r="J141" s="85">
        <v>4</v>
      </c>
      <c r="K141" s="80"/>
      <c r="L141" s="80"/>
      <c r="M141" s="80"/>
      <c r="N141" s="80"/>
      <c r="O141" s="80"/>
      <c r="P141" s="80"/>
      <c r="Q141" s="15"/>
    </row>
    <row r="142" spans="2:17" ht="29.4" hidden="1" customHeight="1" outlineLevel="2" x14ac:dyDescent="0.3">
      <c r="B142" s="377"/>
      <c r="C142" s="74" t="s">
        <v>244</v>
      </c>
      <c r="D142" s="74" t="s">
        <v>245</v>
      </c>
      <c r="E142" s="299" t="s">
        <v>3914</v>
      </c>
      <c r="F142" s="85" t="s">
        <v>3913</v>
      </c>
      <c r="G142" s="349"/>
      <c r="H142" s="358"/>
      <c r="I142" s="621"/>
      <c r="J142" s="85">
        <v>4</v>
      </c>
      <c r="K142" s="80"/>
      <c r="L142" s="80"/>
      <c r="M142" s="80" t="s">
        <v>1349</v>
      </c>
      <c r="N142" s="80"/>
      <c r="O142" s="80"/>
      <c r="P142" s="80"/>
      <c r="Q142" s="15"/>
    </row>
    <row r="143" spans="2:17" ht="29.4" hidden="1" customHeight="1" outlineLevel="2" x14ac:dyDescent="0.3">
      <c r="B143" s="377"/>
      <c r="C143" s="74" t="s">
        <v>246</v>
      </c>
      <c r="D143" s="74" t="s">
        <v>247</v>
      </c>
      <c r="E143" s="299" t="s">
        <v>3914</v>
      </c>
      <c r="F143" s="85" t="s">
        <v>3913</v>
      </c>
      <c r="G143" s="71">
        <v>4</v>
      </c>
      <c r="H143" s="299">
        <f>(COUNTIF(F143,$G$409)+(COUNTIF(F143,$G$408)*0.5))/COUNTA(F143)</f>
        <v>0</v>
      </c>
      <c r="I143" s="621"/>
      <c r="J143" s="85">
        <v>6</v>
      </c>
      <c r="K143" s="80"/>
      <c r="L143" s="80"/>
      <c r="M143" s="80"/>
      <c r="N143" s="80"/>
      <c r="O143" s="80"/>
      <c r="P143" s="80"/>
      <c r="Q143" s="15"/>
    </row>
    <row r="144" spans="2:17" ht="29.4" customHeight="1" outlineLevel="1" collapsed="1" x14ac:dyDescent="0.3">
      <c r="B144" s="382" t="str">
        <f>'Результаты аудита'!D14</f>
        <v>Анализ образов контейнеров</v>
      </c>
      <c r="C144" s="74" t="s">
        <v>248</v>
      </c>
      <c r="D144" s="74" t="s">
        <v>249</v>
      </c>
      <c r="E144" s="299" t="s">
        <v>3914</v>
      </c>
      <c r="F144" s="85" t="s">
        <v>3913</v>
      </c>
      <c r="G144" s="71">
        <v>0</v>
      </c>
      <c r="H144" s="299">
        <f>(COUNTIF(F144:F144,$F$407))/COUNTA(F144:F144)</f>
        <v>0</v>
      </c>
      <c r="I144" s="621">
        <f>SUM(H145:H152)/4</f>
        <v>0</v>
      </c>
      <c r="J144" s="85">
        <v>0</v>
      </c>
      <c r="K144" s="80"/>
      <c r="L144" s="80"/>
      <c r="M144" s="80"/>
      <c r="N144" s="80" t="s">
        <v>3145</v>
      </c>
      <c r="O144" s="80" t="s">
        <v>2326</v>
      </c>
      <c r="P144" s="80"/>
      <c r="Q144" s="15"/>
    </row>
    <row r="145" spans="2:17" ht="29.4" hidden="1" customHeight="1" outlineLevel="2" x14ac:dyDescent="0.3">
      <c r="B145" s="382"/>
      <c r="C145" s="74" t="s">
        <v>250</v>
      </c>
      <c r="D145" s="74" t="s">
        <v>251</v>
      </c>
      <c r="E145" s="299" t="s">
        <v>3914</v>
      </c>
      <c r="F145" s="85" t="s">
        <v>3913</v>
      </c>
      <c r="G145" s="348">
        <v>1</v>
      </c>
      <c r="H145" s="358">
        <f>(COUNTIF(F145:F147,$G$409)+(COUNTIF(F145:F147,$G$408)*0.5))/(COUNTA(F145:F147)-COUNTIF(F145:F147,$G$410))</f>
        <v>0</v>
      </c>
      <c r="I145" s="621"/>
      <c r="J145" s="85">
        <v>1</v>
      </c>
      <c r="K145" s="80"/>
      <c r="L145" s="80"/>
      <c r="M145" s="80"/>
      <c r="N145" s="80" t="s">
        <v>3153</v>
      </c>
      <c r="O145" s="80" t="s">
        <v>2378</v>
      </c>
      <c r="P145" s="80"/>
      <c r="Q145" s="15"/>
    </row>
    <row r="146" spans="2:17" ht="29.4" hidden="1" customHeight="1" outlineLevel="2" x14ac:dyDescent="0.3">
      <c r="B146" s="382"/>
      <c r="C146" s="74" t="s">
        <v>252</v>
      </c>
      <c r="D146" s="74" t="s">
        <v>253</v>
      </c>
      <c r="E146" s="299" t="s">
        <v>3914</v>
      </c>
      <c r="F146" s="85" t="s">
        <v>3913</v>
      </c>
      <c r="G146" s="378"/>
      <c r="H146" s="358"/>
      <c r="I146" s="621"/>
      <c r="J146" s="85">
        <v>1</v>
      </c>
      <c r="K146" s="80"/>
      <c r="L146" s="80"/>
      <c r="M146" s="80"/>
      <c r="N146" s="80" t="s">
        <v>3145</v>
      </c>
      <c r="O146" s="80" t="s">
        <v>2326</v>
      </c>
      <c r="P146" s="80" t="s">
        <v>1868</v>
      </c>
      <c r="Q146" s="15"/>
    </row>
    <row r="147" spans="2:17" ht="29.4" hidden="1" customHeight="1" outlineLevel="2" x14ac:dyDescent="0.3">
      <c r="B147" s="382"/>
      <c r="C147" s="74" t="s">
        <v>254</v>
      </c>
      <c r="D147" s="74" t="s">
        <v>255</v>
      </c>
      <c r="E147" s="299" t="s">
        <v>3914</v>
      </c>
      <c r="F147" s="85" t="s">
        <v>3913</v>
      </c>
      <c r="G147" s="349"/>
      <c r="H147" s="358"/>
      <c r="I147" s="621"/>
      <c r="J147" s="85">
        <v>1</v>
      </c>
      <c r="K147" s="80"/>
      <c r="L147" s="80"/>
      <c r="M147" s="80"/>
      <c r="N147" s="80" t="s">
        <v>3157</v>
      </c>
      <c r="O147" s="80" t="s">
        <v>2887</v>
      </c>
      <c r="P147" s="80"/>
      <c r="Q147" s="15"/>
    </row>
    <row r="148" spans="2:17" ht="29.4" hidden="1" customHeight="1" outlineLevel="2" x14ac:dyDescent="0.3">
      <c r="B148" s="382"/>
      <c r="C148" s="74" t="s">
        <v>256</v>
      </c>
      <c r="D148" s="74" t="s">
        <v>257</v>
      </c>
      <c r="E148" s="299" t="s">
        <v>3914</v>
      </c>
      <c r="F148" s="85" t="s">
        <v>3913</v>
      </c>
      <c r="G148" s="348">
        <v>2</v>
      </c>
      <c r="H148" s="358">
        <f>(COUNTIF(F148:F150,$G$409)+(COUNTIF(F148:F150,$G$408)*0.5))/(COUNTA(F148:F150)-COUNTIF(F148:F150,$G$410))</f>
        <v>0</v>
      </c>
      <c r="I148" s="621"/>
      <c r="J148" s="85">
        <v>2</v>
      </c>
      <c r="K148" s="80" t="s">
        <v>1327</v>
      </c>
      <c r="L148" s="80"/>
      <c r="M148" s="80"/>
      <c r="N148" s="80" t="s">
        <v>3145</v>
      </c>
      <c r="O148" s="80" t="s">
        <v>2326</v>
      </c>
      <c r="P148" s="80"/>
      <c r="Q148" s="15"/>
    </row>
    <row r="149" spans="2:17" ht="29.4" hidden="1" customHeight="1" outlineLevel="2" x14ac:dyDescent="0.3">
      <c r="B149" s="382"/>
      <c r="C149" s="74" t="s">
        <v>258</v>
      </c>
      <c r="D149" s="74" t="s">
        <v>259</v>
      </c>
      <c r="E149" s="299" t="s">
        <v>3914</v>
      </c>
      <c r="F149" s="85" t="s">
        <v>3913</v>
      </c>
      <c r="G149" s="378"/>
      <c r="H149" s="358"/>
      <c r="I149" s="621"/>
      <c r="J149" s="85">
        <v>2</v>
      </c>
      <c r="K149" s="80"/>
      <c r="L149" s="80"/>
      <c r="M149" s="80"/>
      <c r="N149" s="80" t="s">
        <v>3145</v>
      </c>
      <c r="O149" s="80" t="s">
        <v>2886</v>
      </c>
      <c r="P149" s="80"/>
      <c r="Q149" s="15"/>
    </row>
    <row r="150" spans="2:17" ht="29.4" hidden="1" customHeight="1" outlineLevel="2" x14ac:dyDescent="0.3">
      <c r="B150" s="382"/>
      <c r="C150" s="74" t="s">
        <v>260</v>
      </c>
      <c r="D150" s="74" t="s">
        <v>261</v>
      </c>
      <c r="E150" s="299" t="s">
        <v>3914</v>
      </c>
      <c r="F150" s="85" t="s">
        <v>3913</v>
      </c>
      <c r="G150" s="349"/>
      <c r="H150" s="358"/>
      <c r="I150" s="621"/>
      <c r="J150" s="85">
        <v>2</v>
      </c>
      <c r="K150" s="80"/>
      <c r="L150" s="80"/>
      <c r="M150" s="80"/>
      <c r="N150" s="80"/>
      <c r="O150" s="80" t="s">
        <v>2302</v>
      </c>
      <c r="P150" s="80"/>
      <c r="Q150" s="15"/>
    </row>
    <row r="151" spans="2:17" ht="29.4" hidden="1" customHeight="1" outlineLevel="2" x14ac:dyDescent="0.3">
      <c r="B151" s="382"/>
      <c r="C151" s="74" t="s">
        <v>262</v>
      </c>
      <c r="D151" s="74" t="s">
        <v>264</v>
      </c>
      <c r="E151" s="299" t="s">
        <v>3914</v>
      </c>
      <c r="F151" s="85" t="s">
        <v>3913</v>
      </c>
      <c r="G151" s="71">
        <v>3</v>
      </c>
      <c r="H151" s="299">
        <f>(COUNTIF(F151,$G$409)+(COUNTIF(F151,$G$408)*0.5))/(COUNTA(F151)-COUNTIF(F151,$G$410))</f>
        <v>0</v>
      </c>
      <c r="I151" s="621"/>
      <c r="J151" s="85">
        <v>3</v>
      </c>
      <c r="K151" s="80" t="s">
        <v>59</v>
      </c>
      <c r="L151" s="80"/>
      <c r="M151" s="80"/>
      <c r="N151" s="80" t="s">
        <v>3157</v>
      </c>
      <c r="O151" s="80"/>
      <c r="P151" s="80"/>
      <c r="Q151" s="15"/>
    </row>
    <row r="152" spans="2:17" ht="29.4" hidden="1" customHeight="1" outlineLevel="2" x14ac:dyDescent="0.3">
      <c r="B152" s="382"/>
      <c r="C152" s="74" t="s">
        <v>265</v>
      </c>
      <c r="D152" s="74" t="s">
        <v>263</v>
      </c>
      <c r="E152" s="299" t="s">
        <v>3914</v>
      </c>
      <c r="F152" s="85" t="s">
        <v>3913</v>
      </c>
      <c r="G152" s="348">
        <v>4</v>
      </c>
      <c r="H152" s="358">
        <f>(COUNTIF(F152:F153,$G$409)+(COUNTIF(F152:F153,$G$408)*0.5))/COUNTA(F152:F153)</f>
        <v>0</v>
      </c>
      <c r="I152" s="621"/>
      <c r="J152" s="85">
        <v>4</v>
      </c>
      <c r="K152" s="80"/>
      <c r="L152" s="80"/>
      <c r="M152" s="80"/>
      <c r="N152" s="80" t="s">
        <v>3147</v>
      </c>
      <c r="O152" s="80" t="s">
        <v>2887</v>
      </c>
      <c r="P152" s="80"/>
      <c r="Q152" s="15"/>
    </row>
    <row r="153" spans="2:17" ht="29.4" hidden="1" customHeight="1" outlineLevel="2" x14ac:dyDescent="0.3">
      <c r="B153" s="382"/>
      <c r="C153" s="74" t="s">
        <v>3115</v>
      </c>
      <c r="D153" s="74" t="s">
        <v>266</v>
      </c>
      <c r="E153" s="299" t="s">
        <v>3914</v>
      </c>
      <c r="F153" s="85" t="s">
        <v>3913</v>
      </c>
      <c r="G153" s="349"/>
      <c r="H153" s="358"/>
      <c r="I153" s="621"/>
      <c r="J153" s="85">
        <v>4</v>
      </c>
      <c r="K153" s="80"/>
      <c r="L153" s="80"/>
      <c r="M153" s="80"/>
      <c r="N153" s="80" t="s">
        <v>3157</v>
      </c>
      <c r="O153" s="80" t="s">
        <v>2887</v>
      </c>
      <c r="P153" s="80"/>
      <c r="Q153" s="15"/>
    </row>
    <row r="154" spans="2:17" ht="29.4" customHeight="1" outlineLevel="1" collapsed="1" x14ac:dyDescent="0.3">
      <c r="B154" s="377" t="str">
        <f>'Результаты аудита'!D15</f>
        <v>Идентификация секретов</v>
      </c>
      <c r="C154" s="74" t="s">
        <v>267</v>
      </c>
      <c r="D154" s="74" t="s">
        <v>268</v>
      </c>
      <c r="E154" s="299" t="s">
        <v>3914</v>
      </c>
      <c r="F154" s="85" t="s">
        <v>3913</v>
      </c>
      <c r="G154" s="71">
        <v>0</v>
      </c>
      <c r="H154" s="299">
        <f>(COUNTIF(F154:F154,$F$407))/COUNTA(F154:F154)</f>
        <v>0</v>
      </c>
      <c r="I154" s="621">
        <f>SUM(H155:H165)/4</f>
        <v>0</v>
      </c>
      <c r="J154" s="85">
        <v>0</v>
      </c>
      <c r="K154" s="80"/>
      <c r="L154" s="80" t="s">
        <v>2850</v>
      </c>
      <c r="M154" s="80"/>
      <c r="N154" s="80"/>
      <c r="O154" s="80" t="s">
        <v>2324</v>
      </c>
      <c r="P154" s="80" t="s">
        <v>1869</v>
      </c>
      <c r="Q154" s="15"/>
    </row>
    <row r="155" spans="2:17" ht="29.4" hidden="1" customHeight="1" outlineLevel="2" x14ac:dyDescent="0.3">
      <c r="B155" s="377"/>
      <c r="C155" s="74" t="s">
        <v>269</v>
      </c>
      <c r="D155" s="74" t="s">
        <v>270</v>
      </c>
      <c r="E155" s="299" t="s">
        <v>3914</v>
      </c>
      <c r="F155" s="85" t="s">
        <v>3913</v>
      </c>
      <c r="G155" s="348">
        <v>1</v>
      </c>
      <c r="H155" s="358">
        <f>(COUNTIF(F155:F158,$G$409)+(COUNTIF(F155:F158,$G$408)*0.5))/(COUNTA(F155:F158)-COUNTIF(F155:F158,$G$410))</f>
        <v>0</v>
      </c>
      <c r="I155" s="621"/>
      <c r="J155" s="85">
        <v>1</v>
      </c>
      <c r="K155" s="80"/>
      <c r="L155" s="80" t="s">
        <v>2850</v>
      </c>
      <c r="M155" s="80"/>
      <c r="N155" s="80"/>
      <c r="O155" s="80" t="s">
        <v>2324</v>
      </c>
      <c r="P155" s="80"/>
      <c r="Q155" s="15"/>
    </row>
    <row r="156" spans="2:17" ht="29.4" hidden="1" customHeight="1" outlineLevel="2" x14ac:dyDescent="0.3">
      <c r="B156" s="377"/>
      <c r="C156" s="74" t="s">
        <v>271</v>
      </c>
      <c r="D156" s="74" t="s">
        <v>272</v>
      </c>
      <c r="E156" s="299" t="s">
        <v>3914</v>
      </c>
      <c r="F156" s="85" t="s">
        <v>3913</v>
      </c>
      <c r="G156" s="378"/>
      <c r="H156" s="358"/>
      <c r="I156" s="621"/>
      <c r="J156" s="85">
        <v>1</v>
      </c>
      <c r="K156" s="80"/>
      <c r="L156" s="80"/>
      <c r="M156" s="80"/>
      <c r="N156" s="80"/>
      <c r="O156" s="80"/>
      <c r="P156" s="80"/>
      <c r="Q156" s="15"/>
    </row>
    <row r="157" spans="2:17" ht="29.4" hidden="1" customHeight="1" outlineLevel="2" x14ac:dyDescent="0.3">
      <c r="B157" s="377"/>
      <c r="C157" s="74" t="s">
        <v>273</v>
      </c>
      <c r="D157" s="74" t="s">
        <v>274</v>
      </c>
      <c r="E157" s="299" t="s">
        <v>3914</v>
      </c>
      <c r="F157" s="85" t="s">
        <v>3913</v>
      </c>
      <c r="G157" s="378"/>
      <c r="H157" s="358"/>
      <c r="I157" s="621"/>
      <c r="J157" s="85">
        <v>1</v>
      </c>
      <c r="K157" s="80"/>
      <c r="L157" s="80"/>
      <c r="M157" s="80"/>
      <c r="N157" s="80"/>
      <c r="O157" s="80"/>
      <c r="P157" s="80" t="s">
        <v>1869</v>
      </c>
      <c r="Q157" s="15"/>
    </row>
    <row r="158" spans="2:17" ht="29.4" hidden="1" customHeight="1" outlineLevel="2" x14ac:dyDescent="0.3">
      <c r="B158" s="377"/>
      <c r="C158" s="74" t="s">
        <v>275</v>
      </c>
      <c r="D158" s="74" t="s">
        <v>276</v>
      </c>
      <c r="E158" s="299" t="s">
        <v>3914</v>
      </c>
      <c r="F158" s="85" t="s">
        <v>3913</v>
      </c>
      <c r="G158" s="349"/>
      <c r="H158" s="358"/>
      <c r="I158" s="621"/>
      <c r="J158" s="85">
        <v>1</v>
      </c>
      <c r="K158" s="80" t="s">
        <v>1326</v>
      </c>
      <c r="L158" s="80"/>
      <c r="M158" s="80" t="s">
        <v>1360</v>
      </c>
      <c r="N158" s="80"/>
      <c r="O158" s="80" t="s">
        <v>2323</v>
      </c>
      <c r="P158" s="80"/>
      <c r="Q158" s="15"/>
    </row>
    <row r="159" spans="2:17" ht="29.4" hidden="1" customHeight="1" outlineLevel="2" x14ac:dyDescent="0.3">
      <c r="B159" s="377"/>
      <c r="C159" s="74" t="s">
        <v>277</v>
      </c>
      <c r="D159" s="74" t="s">
        <v>3912</v>
      </c>
      <c r="E159" s="299" t="s">
        <v>3914</v>
      </c>
      <c r="F159" s="85" t="s">
        <v>3913</v>
      </c>
      <c r="G159" s="348">
        <v>2</v>
      </c>
      <c r="H159" s="358">
        <f>(COUNTIF(F159:F161,$G$409)+(COUNTIF(F159:F161,$G$408)*0.5))/(COUNTA(F159:F161)-COUNTIF(F159:F161,$G$410))</f>
        <v>0</v>
      </c>
      <c r="I159" s="621"/>
      <c r="J159" s="85">
        <v>2</v>
      </c>
      <c r="K159" s="80"/>
      <c r="L159" s="80" t="s">
        <v>2850</v>
      </c>
      <c r="M159" s="80"/>
      <c r="N159" s="80"/>
      <c r="O159" s="80"/>
      <c r="P159" s="80"/>
      <c r="Q159" s="15"/>
    </row>
    <row r="160" spans="2:17" ht="29.4" hidden="1" customHeight="1" outlineLevel="2" x14ac:dyDescent="0.3">
      <c r="B160" s="377"/>
      <c r="C160" s="74" t="s">
        <v>278</v>
      </c>
      <c r="D160" s="74" t="s">
        <v>2126</v>
      </c>
      <c r="E160" s="299" t="s">
        <v>3914</v>
      </c>
      <c r="F160" s="85" t="s">
        <v>3913</v>
      </c>
      <c r="G160" s="378"/>
      <c r="H160" s="358"/>
      <c r="I160" s="621"/>
      <c r="J160" s="85">
        <v>2</v>
      </c>
      <c r="K160" s="80" t="s">
        <v>214</v>
      </c>
      <c r="L160" s="80"/>
      <c r="M160" s="80"/>
      <c r="N160" s="80"/>
      <c r="O160" s="80"/>
      <c r="P160" s="80" t="s">
        <v>1870</v>
      </c>
      <c r="Q160" s="15"/>
    </row>
    <row r="161" spans="2:17" ht="29.4" hidden="1" customHeight="1" outlineLevel="2" x14ac:dyDescent="0.3">
      <c r="B161" s="377"/>
      <c r="C161" s="74" t="s">
        <v>279</v>
      </c>
      <c r="D161" s="74" t="s">
        <v>280</v>
      </c>
      <c r="E161" s="299" t="s">
        <v>3914</v>
      </c>
      <c r="F161" s="85" t="s">
        <v>3913</v>
      </c>
      <c r="G161" s="349"/>
      <c r="H161" s="358"/>
      <c r="I161" s="621"/>
      <c r="J161" s="85">
        <v>2</v>
      </c>
      <c r="K161" s="80"/>
      <c r="L161" s="80"/>
      <c r="M161" s="80" t="s">
        <v>1361</v>
      </c>
      <c r="N161" s="80"/>
      <c r="O161" s="80"/>
      <c r="P161" s="80"/>
      <c r="Q161" s="15"/>
    </row>
    <row r="162" spans="2:17" ht="29.4" hidden="1" customHeight="1" outlineLevel="2" x14ac:dyDescent="0.3">
      <c r="B162" s="377"/>
      <c r="C162" s="74" t="s">
        <v>281</v>
      </c>
      <c r="D162" s="74" t="s">
        <v>3137</v>
      </c>
      <c r="E162" s="299" t="s">
        <v>3914</v>
      </c>
      <c r="F162" s="85" t="s">
        <v>3913</v>
      </c>
      <c r="G162" s="348">
        <v>3</v>
      </c>
      <c r="H162" s="358">
        <f>(COUNTIF(F162:F164,$G$409)+(COUNTIF(F162:F164,$G$408)*0.5))/(COUNTA(F162:F164)-COUNTIF(F162:F164,$G$410))</f>
        <v>0</v>
      </c>
      <c r="I162" s="621"/>
      <c r="J162" s="85">
        <v>3</v>
      </c>
      <c r="K162" s="80"/>
      <c r="L162" s="80"/>
      <c r="M162" s="80"/>
      <c r="N162" s="80"/>
      <c r="O162" s="80"/>
      <c r="P162" s="80"/>
      <c r="Q162" s="15"/>
    </row>
    <row r="163" spans="2:17" ht="29.4" hidden="1" customHeight="1" outlineLevel="2" x14ac:dyDescent="0.3">
      <c r="B163" s="377"/>
      <c r="C163" s="74" t="s">
        <v>282</v>
      </c>
      <c r="D163" s="74" t="s">
        <v>283</v>
      </c>
      <c r="E163" s="299" t="s">
        <v>3914</v>
      </c>
      <c r="F163" s="85" t="s">
        <v>3913</v>
      </c>
      <c r="G163" s="378"/>
      <c r="H163" s="358"/>
      <c r="I163" s="621"/>
      <c r="J163" s="85">
        <v>3</v>
      </c>
      <c r="K163" s="80"/>
      <c r="L163" s="80"/>
      <c r="M163" s="80"/>
      <c r="N163" s="80"/>
      <c r="O163" s="80"/>
      <c r="P163" s="80"/>
      <c r="Q163" s="15"/>
    </row>
    <row r="164" spans="2:17" ht="29.4" hidden="1" customHeight="1" outlineLevel="2" x14ac:dyDescent="0.3">
      <c r="B164" s="377"/>
      <c r="C164" s="74" t="s">
        <v>2290</v>
      </c>
      <c r="D164" s="74" t="s">
        <v>3138</v>
      </c>
      <c r="E164" s="299" t="s">
        <v>3914</v>
      </c>
      <c r="F164" s="85" t="s">
        <v>3913</v>
      </c>
      <c r="G164" s="349"/>
      <c r="H164" s="358"/>
      <c r="I164" s="621"/>
      <c r="J164" s="85">
        <v>3</v>
      </c>
      <c r="K164" s="80"/>
      <c r="L164" s="80"/>
      <c r="M164" s="80"/>
      <c r="N164" s="80"/>
      <c r="O164" s="80"/>
      <c r="P164" s="80"/>
      <c r="Q164" s="15"/>
    </row>
    <row r="165" spans="2:17" ht="29.4" hidden="1" customHeight="1" outlineLevel="2" x14ac:dyDescent="0.3">
      <c r="B165" s="377"/>
      <c r="C165" s="74" t="s">
        <v>284</v>
      </c>
      <c r="D165" s="74" t="s">
        <v>3139</v>
      </c>
      <c r="E165" s="299" t="s">
        <v>3914</v>
      </c>
      <c r="F165" s="85" t="s">
        <v>3913</v>
      </c>
      <c r="G165" s="71">
        <v>4</v>
      </c>
      <c r="H165" s="299">
        <f>(COUNTIF(F165,$G$409)+(COUNTIF(F165,$G$408)*0.5))/COUNTA(F165)</f>
        <v>0</v>
      </c>
      <c r="I165" s="621"/>
      <c r="J165" s="85">
        <v>5</v>
      </c>
      <c r="K165" s="80"/>
      <c r="L165" s="80"/>
      <c r="M165" s="80" t="s">
        <v>1362</v>
      </c>
      <c r="N165" s="80"/>
      <c r="O165" s="80"/>
      <c r="P165" s="80"/>
      <c r="Q165" s="15"/>
    </row>
    <row r="166" spans="2:17" ht="29.4" customHeight="1" outlineLevel="1" collapsed="1" x14ac:dyDescent="0.3">
      <c r="B166" s="382" t="str">
        <f>'Результаты аудита'!D16</f>
        <v>Контроль безопасности Dockerfile’ов</v>
      </c>
      <c r="C166" s="74" t="s">
        <v>285</v>
      </c>
      <c r="D166" s="74" t="s">
        <v>286</v>
      </c>
      <c r="E166" s="299" t="s">
        <v>3914</v>
      </c>
      <c r="F166" s="85" t="s">
        <v>3913</v>
      </c>
      <c r="G166" s="71">
        <v>0</v>
      </c>
      <c r="H166" s="299">
        <f>(COUNTIF(F166:F166,$F$407))/COUNTA(F166:F166)</f>
        <v>0</v>
      </c>
      <c r="I166" s="621">
        <f>SUM(H167:H169)/2</f>
        <v>0</v>
      </c>
      <c r="J166" s="85">
        <v>0</v>
      </c>
      <c r="K166" s="80"/>
      <c r="L166" s="80"/>
      <c r="M166" s="80"/>
      <c r="N166" s="80"/>
      <c r="O166" s="80"/>
      <c r="P166" s="83"/>
      <c r="Q166" s="15"/>
    </row>
    <row r="167" spans="2:17" ht="29.4" hidden="1" customHeight="1" outlineLevel="2" x14ac:dyDescent="0.3">
      <c r="B167" s="382"/>
      <c r="C167" s="74" t="s">
        <v>287</v>
      </c>
      <c r="D167" s="74" t="s">
        <v>288</v>
      </c>
      <c r="E167" s="299" t="s">
        <v>3914</v>
      </c>
      <c r="F167" s="85" t="s">
        <v>3913</v>
      </c>
      <c r="G167" s="348">
        <v>1</v>
      </c>
      <c r="H167" s="358">
        <f>(COUNTIF(F167:F168,$G$409)+(COUNTIF(F167:F168,$G$408)*0.5))/(COUNTA(F167:F168)-COUNTIF(F167:F168,$G$410))</f>
        <v>0</v>
      </c>
      <c r="I167" s="621"/>
      <c r="J167" s="85">
        <v>1</v>
      </c>
      <c r="K167" s="80"/>
      <c r="L167" s="80"/>
      <c r="M167" s="80"/>
      <c r="N167" s="80" t="s">
        <v>3141</v>
      </c>
      <c r="O167" s="80"/>
      <c r="P167" s="83"/>
      <c r="Q167" s="15"/>
    </row>
    <row r="168" spans="2:17" ht="29.4" hidden="1" customHeight="1" outlineLevel="2" x14ac:dyDescent="0.3">
      <c r="B168" s="382"/>
      <c r="C168" s="74" t="s">
        <v>289</v>
      </c>
      <c r="D168" s="74" t="s">
        <v>290</v>
      </c>
      <c r="E168" s="299" t="s">
        <v>3914</v>
      </c>
      <c r="F168" s="85" t="s">
        <v>3913</v>
      </c>
      <c r="G168" s="349"/>
      <c r="H168" s="358"/>
      <c r="I168" s="621"/>
      <c r="J168" s="85">
        <v>1</v>
      </c>
      <c r="K168" s="80"/>
      <c r="L168" s="80"/>
      <c r="M168" s="80"/>
      <c r="N168" s="80"/>
      <c r="O168" s="80"/>
      <c r="P168" s="83"/>
      <c r="Q168" s="15"/>
    </row>
    <row r="169" spans="2:17" ht="29.4" hidden="1" customHeight="1" outlineLevel="2" x14ac:dyDescent="0.3">
      <c r="B169" s="382"/>
      <c r="C169" s="74" t="s">
        <v>291</v>
      </c>
      <c r="D169" s="74" t="s">
        <v>292</v>
      </c>
      <c r="E169" s="299" t="s">
        <v>3914</v>
      </c>
      <c r="F169" s="85" t="s">
        <v>3913</v>
      </c>
      <c r="G169" s="71">
        <v>2</v>
      </c>
      <c r="H169" s="299">
        <f>(COUNTIF(F169,$G$409)+(COUNTIF(F169,$G$408)*0.5))/COUNTA(F169)</f>
        <v>0</v>
      </c>
      <c r="I169" s="621"/>
      <c r="J169" s="85">
        <v>2</v>
      </c>
      <c r="K169" s="80"/>
      <c r="L169" s="80"/>
      <c r="M169" s="80"/>
      <c r="N169" s="80"/>
      <c r="O169" s="80"/>
      <c r="P169" s="83"/>
      <c r="Q169" s="15"/>
    </row>
    <row r="170" spans="2:17" ht="3.6" customHeight="1" outlineLevel="1" collapsed="1" x14ac:dyDescent="0.3">
      <c r="B170" s="36"/>
      <c r="C170" s="74"/>
      <c r="D170" s="74"/>
      <c r="E170" s="70"/>
      <c r="F170" s="73"/>
      <c r="G170" s="71"/>
      <c r="H170" s="37"/>
      <c r="I170" s="78"/>
      <c r="J170" s="73"/>
      <c r="K170" s="75"/>
      <c r="L170" s="75"/>
      <c r="M170" s="75"/>
      <c r="N170" s="75"/>
      <c r="O170" s="75"/>
      <c r="P170" s="13"/>
      <c r="Q170" s="15"/>
    </row>
    <row r="171" spans="2:17" ht="29.4" customHeight="1" x14ac:dyDescent="0.3">
      <c r="B171" s="379" t="s">
        <v>293</v>
      </c>
      <c r="C171" s="379"/>
      <c r="D171" s="379"/>
      <c r="E171" s="108"/>
      <c r="F171" s="109"/>
      <c r="G171" s="110"/>
      <c r="H171" s="379"/>
      <c r="I171" s="379"/>
      <c r="J171" s="379"/>
      <c r="K171" s="379"/>
      <c r="L171" s="379"/>
      <c r="M171" s="379"/>
      <c r="N171" s="379"/>
      <c r="O171" s="379"/>
      <c r="P171" s="379"/>
      <c r="Q171" s="298"/>
    </row>
    <row r="172" spans="2:17" ht="29.4" customHeight="1" outlineLevel="1" x14ac:dyDescent="0.3">
      <c r="B172" s="359" t="str">
        <f>'Результаты аудита'!D17</f>
        <v>Динамический анализ приложений (DAST) в PREPROD среде</v>
      </c>
      <c r="C172" s="74" t="s">
        <v>294</v>
      </c>
      <c r="D172" s="74" t="s">
        <v>295</v>
      </c>
      <c r="E172" s="70" t="s">
        <v>3914</v>
      </c>
      <c r="F172" s="73" t="s">
        <v>3913</v>
      </c>
      <c r="G172" s="71">
        <v>0</v>
      </c>
      <c r="H172" s="70">
        <f>(COUNTIF(F172:F172,$F$407))/COUNTA(F172:F172)</f>
        <v>0</v>
      </c>
      <c r="I172" s="344">
        <f>SUM(H173:H185)/4</f>
        <v>0</v>
      </c>
      <c r="J172" s="73">
        <v>0</v>
      </c>
      <c r="K172" s="75"/>
      <c r="L172" s="75" t="s">
        <v>2851</v>
      </c>
      <c r="M172" s="75" t="s">
        <v>1356</v>
      </c>
      <c r="N172" s="75" t="s">
        <v>3158</v>
      </c>
      <c r="O172" s="75" t="s">
        <v>2311</v>
      </c>
      <c r="P172" s="75" t="s">
        <v>1871</v>
      </c>
      <c r="Q172" s="15"/>
    </row>
    <row r="173" spans="2:17" ht="29.4" hidden="1" customHeight="1" outlineLevel="2" x14ac:dyDescent="0.3">
      <c r="B173" s="359"/>
      <c r="C173" s="74" t="s">
        <v>296</v>
      </c>
      <c r="D173" s="74" t="s">
        <v>297</v>
      </c>
      <c r="E173" s="70" t="s">
        <v>3914</v>
      </c>
      <c r="F173" s="73" t="s">
        <v>3913</v>
      </c>
      <c r="G173" s="340">
        <v>1</v>
      </c>
      <c r="H173" s="346">
        <f>(COUNTIF(F173:F174,$G$409)+(COUNTIF(F173:F174,$G$408)*0.5))/(COUNTA(F173:F174)-COUNTIF(F173:F174,$G$410))</f>
        <v>0</v>
      </c>
      <c r="I173" s="344"/>
      <c r="J173" s="73">
        <v>3</v>
      </c>
      <c r="K173" s="75"/>
      <c r="L173" s="75" t="s">
        <v>2851</v>
      </c>
      <c r="M173" s="75" t="s">
        <v>1356</v>
      </c>
      <c r="N173" s="75" t="s">
        <v>3158</v>
      </c>
      <c r="O173" s="75" t="s">
        <v>2311</v>
      </c>
      <c r="P173" s="75"/>
      <c r="Q173" s="15"/>
    </row>
    <row r="174" spans="2:17" ht="29.4" hidden="1" customHeight="1" outlineLevel="2" x14ac:dyDescent="0.3">
      <c r="B174" s="359"/>
      <c r="C174" s="74" t="s">
        <v>298</v>
      </c>
      <c r="D174" s="74" t="s">
        <v>299</v>
      </c>
      <c r="E174" s="70" t="s">
        <v>3914</v>
      </c>
      <c r="F174" s="73" t="s">
        <v>3913</v>
      </c>
      <c r="G174" s="342"/>
      <c r="H174" s="346"/>
      <c r="I174" s="344"/>
      <c r="J174" s="73">
        <v>3</v>
      </c>
      <c r="K174" s="75"/>
      <c r="L174" s="75"/>
      <c r="M174" s="75"/>
      <c r="N174" s="75" t="s">
        <v>3158</v>
      </c>
      <c r="O174" s="75" t="s">
        <v>2311</v>
      </c>
      <c r="P174" s="75"/>
      <c r="Q174" s="15"/>
    </row>
    <row r="175" spans="2:17" ht="29.4" hidden="1" customHeight="1" outlineLevel="2" x14ac:dyDescent="0.3">
      <c r="B175" s="359"/>
      <c r="C175" s="74" t="s">
        <v>300</v>
      </c>
      <c r="D175" s="74" t="s">
        <v>301</v>
      </c>
      <c r="E175" s="70" t="s">
        <v>3914</v>
      </c>
      <c r="F175" s="73" t="s">
        <v>3913</v>
      </c>
      <c r="G175" s="340">
        <v>2</v>
      </c>
      <c r="H175" s="346">
        <f>(COUNTIF(F175:F178,$G$409)+(COUNTIF(F175:F178,$G$408)*0.5))/(COUNTA(F175:F178)-COUNTIF(F175:F178,$G$410))</f>
        <v>0</v>
      </c>
      <c r="I175" s="344"/>
      <c r="J175" s="73">
        <v>4</v>
      </c>
      <c r="K175" s="75"/>
      <c r="L175" s="75"/>
      <c r="M175" s="75" t="s">
        <v>1358</v>
      </c>
      <c r="N175" s="75"/>
      <c r="O175" s="75"/>
      <c r="P175" s="75" t="s">
        <v>1872</v>
      </c>
      <c r="Q175" s="15"/>
    </row>
    <row r="176" spans="2:17" ht="29.4" hidden="1" customHeight="1" outlineLevel="2" x14ac:dyDescent="0.3">
      <c r="B176" s="359"/>
      <c r="C176" s="74" t="s">
        <v>302</v>
      </c>
      <c r="D176" s="74" t="s">
        <v>303</v>
      </c>
      <c r="E176" s="70" t="s">
        <v>3914</v>
      </c>
      <c r="F176" s="73" t="s">
        <v>3913</v>
      </c>
      <c r="G176" s="341"/>
      <c r="H176" s="346"/>
      <c r="I176" s="344"/>
      <c r="J176" s="73">
        <v>4</v>
      </c>
      <c r="K176" s="75" t="s">
        <v>306</v>
      </c>
      <c r="L176" s="75" t="s">
        <v>2852</v>
      </c>
      <c r="M176" s="75"/>
      <c r="N176" s="75" t="s">
        <v>3158</v>
      </c>
      <c r="O176" s="75" t="s">
        <v>2311</v>
      </c>
      <c r="P176" s="75"/>
      <c r="Q176" s="15"/>
    </row>
    <row r="177" spans="2:17" ht="29.4" hidden="1" customHeight="1" outlineLevel="2" x14ac:dyDescent="0.3">
      <c r="B177" s="359"/>
      <c r="C177" s="74" t="s">
        <v>304</v>
      </c>
      <c r="D177" s="74" t="s">
        <v>305</v>
      </c>
      <c r="E177" s="70" t="s">
        <v>3914</v>
      </c>
      <c r="F177" s="73" t="s">
        <v>3913</v>
      </c>
      <c r="G177" s="341"/>
      <c r="H177" s="346"/>
      <c r="I177" s="344"/>
      <c r="J177" s="73">
        <v>4</v>
      </c>
      <c r="K177" s="75" t="s">
        <v>306</v>
      </c>
      <c r="L177" s="75"/>
      <c r="M177" s="75"/>
      <c r="N177" s="75" t="s">
        <v>3158</v>
      </c>
      <c r="O177" s="75" t="s">
        <v>2311</v>
      </c>
      <c r="P177" s="75"/>
      <c r="Q177" s="15"/>
    </row>
    <row r="178" spans="2:17" ht="29.4" hidden="1" customHeight="1" outlineLevel="2" x14ac:dyDescent="0.3">
      <c r="B178" s="359"/>
      <c r="C178" s="74" t="s">
        <v>307</v>
      </c>
      <c r="D178" s="74" t="s">
        <v>308</v>
      </c>
      <c r="E178" s="70" t="s">
        <v>3914</v>
      </c>
      <c r="F178" s="73" t="s">
        <v>3913</v>
      </c>
      <c r="G178" s="342"/>
      <c r="H178" s="346"/>
      <c r="I178" s="344"/>
      <c r="J178" s="73">
        <v>4</v>
      </c>
      <c r="K178" s="75"/>
      <c r="L178" s="75"/>
      <c r="M178" s="75" t="s">
        <v>1357</v>
      </c>
      <c r="N178" s="75"/>
      <c r="O178" s="75"/>
      <c r="P178" s="75" t="s">
        <v>1873</v>
      </c>
      <c r="Q178" s="15"/>
    </row>
    <row r="179" spans="2:17" ht="29.4" hidden="1" customHeight="1" outlineLevel="2" x14ac:dyDescent="0.3">
      <c r="B179" s="359"/>
      <c r="C179" s="74" t="s">
        <v>309</v>
      </c>
      <c r="D179" s="74" t="s">
        <v>310</v>
      </c>
      <c r="E179" s="70" t="s">
        <v>3914</v>
      </c>
      <c r="F179" s="73" t="s">
        <v>3913</v>
      </c>
      <c r="G179" s="340">
        <v>3</v>
      </c>
      <c r="H179" s="346">
        <f>(COUNTIF(F179:F182,$G$409)+(COUNTIF(F179:F182,$G$408)*0.5))/(COUNTA(F179:F182)-COUNTIF(F179:F182,$G$410))</f>
        <v>0</v>
      </c>
      <c r="I179" s="344"/>
      <c r="J179" s="73">
        <v>5</v>
      </c>
      <c r="K179" s="75"/>
      <c r="L179" s="75" t="s">
        <v>2853</v>
      </c>
      <c r="M179" s="75"/>
      <c r="N179" s="75" t="s">
        <v>3158</v>
      </c>
      <c r="O179" s="75"/>
      <c r="P179" s="75" t="s">
        <v>1874</v>
      </c>
      <c r="Q179" s="15"/>
    </row>
    <row r="180" spans="2:17" ht="29.4" hidden="1" customHeight="1" outlineLevel="2" x14ac:dyDescent="0.3">
      <c r="B180" s="359"/>
      <c r="C180" s="74" t="s">
        <v>311</v>
      </c>
      <c r="D180" s="74" t="s">
        <v>312</v>
      </c>
      <c r="E180" s="70" t="s">
        <v>3914</v>
      </c>
      <c r="F180" s="73" t="s">
        <v>3913</v>
      </c>
      <c r="G180" s="341"/>
      <c r="H180" s="346"/>
      <c r="I180" s="344"/>
      <c r="J180" s="73">
        <v>5</v>
      </c>
      <c r="K180" s="75"/>
      <c r="L180" s="75" t="s">
        <v>2854</v>
      </c>
      <c r="M180" s="75" t="s">
        <v>1358</v>
      </c>
      <c r="N180" s="75" t="s">
        <v>3158</v>
      </c>
      <c r="O180" s="75"/>
      <c r="P180" s="75" t="s">
        <v>1875</v>
      </c>
      <c r="Q180" s="15"/>
    </row>
    <row r="181" spans="2:17" ht="29.4" hidden="1" customHeight="1" outlineLevel="2" x14ac:dyDescent="0.3">
      <c r="B181" s="359"/>
      <c r="C181" s="74" t="s">
        <v>313</v>
      </c>
      <c r="D181" s="74" t="s">
        <v>314</v>
      </c>
      <c r="E181" s="70" t="s">
        <v>3914</v>
      </c>
      <c r="F181" s="73" t="s">
        <v>3913</v>
      </c>
      <c r="G181" s="341"/>
      <c r="H181" s="346"/>
      <c r="I181" s="344"/>
      <c r="J181" s="73">
        <v>5</v>
      </c>
      <c r="K181" s="75"/>
      <c r="L181" s="75" t="s">
        <v>2855</v>
      </c>
      <c r="M181" s="75" t="s">
        <v>1366</v>
      </c>
      <c r="N181" s="75" t="s">
        <v>3159</v>
      </c>
      <c r="O181" s="75"/>
      <c r="P181" s="75"/>
      <c r="Q181" s="15"/>
    </row>
    <row r="182" spans="2:17" ht="29.4" hidden="1" customHeight="1" outlineLevel="2" x14ac:dyDescent="0.3">
      <c r="B182" s="359"/>
      <c r="C182" s="74" t="s">
        <v>315</v>
      </c>
      <c r="D182" s="74" t="s">
        <v>316</v>
      </c>
      <c r="E182" s="70" t="s">
        <v>3914</v>
      </c>
      <c r="F182" s="73" t="s">
        <v>3913</v>
      </c>
      <c r="G182" s="342"/>
      <c r="H182" s="346"/>
      <c r="I182" s="344"/>
      <c r="J182" s="73">
        <v>5</v>
      </c>
      <c r="K182" s="75" t="s">
        <v>317</v>
      </c>
      <c r="L182" s="75"/>
      <c r="M182" s="75"/>
      <c r="N182" s="75" t="s">
        <v>3160</v>
      </c>
      <c r="O182" s="75" t="s">
        <v>2312</v>
      </c>
      <c r="P182" s="75" t="s">
        <v>1876</v>
      </c>
      <c r="Q182" s="15"/>
    </row>
    <row r="183" spans="2:17" ht="29.4" hidden="1" customHeight="1" outlineLevel="2" x14ac:dyDescent="0.3">
      <c r="B183" s="359"/>
      <c r="C183" s="74" t="s">
        <v>318</v>
      </c>
      <c r="D183" s="74" t="s">
        <v>319</v>
      </c>
      <c r="E183" s="70" t="s">
        <v>3914</v>
      </c>
      <c r="F183" s="73" t="s">
        <v>3913</v>
      </c>
      <c r="G183" s="340">
        <v>4</v>
      </c>
      <c r="H183" s="346">
        <f>(COUNTIF(F183:F185,$G$409)+(COUNTIF(F183:F185,$G$408)*0.5))/(COUNTA(F183:F185)-COUNTIF(F183:F185,$G$410))</f>
        <v>0</v>
      </c>
      <c r="I183" s="344"/>
      <c r="J183" s="73">
        <v>6</v>
      </c>
      <c r="K183" s="75"/>
      <c r="L183" s="75" t="s">
        <v>2856</v>
      </c>
      <c r="M183" s="75"/>
      <c r="N183" s="75" t="s">
        <v>3158</v>
      </c>
      <c r="O183" s="75"/>
      <c r="P183" s="75"/>
      <c r="Q183" s="15"/>
    </row>
    <row r="184" spans="2:17" ht="29.4" hidden="1" customHeight="1" outlineLevel="2" x14ac:dyDescent="0.3">
      <c r="B184" s="359"/>
      <c r="C184" s="74" t="s">
        <v>320</v>
      </c>
      <c r="D184" s="74" t="s">
        <v>321</v>
      </c>
      <c r="E184" s="70" t="s">
        <v>3914</v>
      </c>
      <c r="F184" s="73" t="s">
        <v>3913</v>
      </c>
      <c r="G184" s="341"/>
      <c r="H184" s="346"/>
      <c r="I184" s="344"/>
      <c r="J184" s="73">
        <v>6</v>
      </c>
      <c r="K184" s="75"/>
      <c r="L184" s="75" t="s">
        <v>2857</v>
      </c>
      <c r="M184" s="75" t="s">
        <v>1356</v>
      </c>
      <c r="N184" s="75"/>
      <c r="O184" s="75"/>
      <c r="P184" s="75"/>
      <c r="Q184" s="15"/>
    </row>
    <row r="185" spans="2:17" ht="29.4" hidden="1" customHeight="1" outlineLevel="2" x14ac:dyDescent="0.3">
      <c r="B185" s="359"/>
      <c r="C185" s="74" t="s">
        <v>322</v>
      </c>
      <c r="D185" s="74" t="s">
        <v>323</v>
      </c>
      <c r="E185" s="70" t="s">
        <v>3914</v>
      </c>
      <c r="F185" s="73" t="s">
        <v>3913</v>
      </c>
      <c r="G185" s="342"/>
      <c r="H185" s="346"/>
      <c r="I185" s="344"/>
      <c r="J185" s="73">
        <v>6</v>
      </c>
      <c r="K185" s="75"/>
      <c r="L185" s="75" t="s">
        <v>2858</v>
      </c>
      <c r="M185" s="75" t="s">
        <v>1364</v>
      </c>
      <c r="N185" s="75" t="s">
        <v>3158</v>
      </c>
      <c r="O185" s="75"/>
      <c r="P185" s="75"/>
      <c r="Q185" s="15"/>
    </row>
    <row r="186" spans="2:17" ht="29.4" customHeight="1" outlineLevel="1" collapsed="1" x14ac:dyDescent="0.3">
      <c r="B186" s="360" t="str">
        <f>'Результаты аудита'!D18</f>
        <v>Тестирование на проникновение перед внедрением приложений в продуктив</v>
      </c>
      <c r="C186" s="74" t="s">
        <v>324</v>
      </c>
      <c r="D186" s="74" t="s">
        <v>325</v>
      </c>
      <c r="E186" s="70" t="s">
        <v>3914</v>
      </c>
      <c r="F186" s="73" t="s">
        <v>3913</v>
      </c>
      <c r="G186" s="71">
        <v>0</v>
      </c>
      <c r="H186" s="70">
        <f>(COUNTIF(F186:F186,$F$407))/COUNTA(F186:F186)</f>
        <v>0</v>
      </c>
      <c r="I186" s="344">
        <f>SUM(H187:H191)/2</f>
        <v>0</v>
      </c>
      <c r="J186" s="73">
        <v>0</v>
      </c>
      <c r="K186" s="75"/>
      <c r="L186" s="75"/>
      <c r="M186" s="75" t="s">
        <v>1363</v>
      </c>
      <c r="N186" s="75" t="s">
        <v>3152</v>
      </c>
      <c r="O186" s="75" t="s">
        <v>2888</v>
      </c>
      <c r="P186" s="75" t="s">
        <v>1877</v>
      </c>
      <c r="Q186" s="15"/>
    </row>
    <row r="187" spans="2:17" ht="29.4" hidden="1" customHeight="1" outlineLevel="2" x14ac:dyDescent="0.3">
      <c r="B187" s="360"/>
      <c r="C187" s="74" t="s">
        <v>326</v>
      </c>
      <c r="D187" s="74" t="s">
        <v>327</v>
      </c>
      <c r="E187" s="70" t="s">
        <v>3914</v>
      </c>
      <c r="F187" s="73" t="s">
        <v>3913</v>
      </c>
      <c r="G187" s="348">
        <v>1</v>
      </c>
      <c r="H187" s="358">
        <f>(COUNTIF(F187:F189,$G$409)+(COUNTIF(F187:F189,$G$408)*0.5))/(COUNTA(F187:F189)-COUNTIF(F187:F189,$G$410))</f>
        <v>0</v>
      </c>
      <c r="I187" s="344"/>
      <c r="J187" s="73">
        <v>1</v>
      </c>
      <c r="K187" s="75"/>
      <c r="L187" s="75"/>
      <c r="M187" s="75" t="s">
        <v>1363</v>
      </c>
      <c r="N187" s="75" t="s">
        <v>3152</v>
      </c>
      <c r="O187" s="75" t="s">
        <v>2888</v>
      </c>
      <c r="P187" s="75" t="s">
        <v>1877</v>
      </c>
      <c r="Q187" s="15"/>
    </row>
    <row r="188" spans="2:17" ht="29.4" hidden="1" customHeight="1" outlineLevel="2" x14ac:dyDescent="0.3">
      <c r="B188" s="360"/>
      <c r="C188" s="74" t="s">
        <v>329</v>
      </c>
      <c r="D188" s="74" t="s">
        <v>1419</v>
      </c>
      <c r="E188" s="70" t="s">
        <v>3914</v>
      </c>
      <c r="F188" s="73" t="s">
        <v>3913</v>
      </c>
      <c r="G188" s="378"/>
      <c r="H188" s="358"/>
      <c r="I188" s="344"/>
      <c r="J188" s="73">
        <v>1</v>
      </c>
      <c r="K188" s="75"/>
      <c r="L188" s="75"/>
      <c r="M188" s="75" t="s">
        <v>1810</v>
      </c>
      <c r="N188" s="75" t="s">
        <v>3152</v>
      </c>
      <c r="O188" s="75" t="s">
        <v>2888</v>
      </c>
      <c r="P188" s="75"/>
      <c r="Q188" s="15"/>
    </row>
    <row r="189" spans="2:17" ht="29.4" hidden="1" customHeight="1" outlineLevel="2" x14ac:dyDescent="0.3">
      <c r="B189" s="360"/>
      <c r="C189" s="74" t="s">
        <v>330</v>
      </c>
      <c r="D189" s="74" t="s">
        <v>1420</v>
      </c>
      <c r="E189" s="70" t="s">
        <v>3914</v>
      </c>
      <c r="F189" s="73" t="s">
        <v>3913</v>
      </c>
      <c r="G189" s="349"/>
      <c r="H189" s="358"/>
      <c r="I189" s="344"/>
      <c r="J189" s="73">
        <v>1</v>
      </c>
      <c r="K189" s="75" t="s">
        <v>740</v>
      </c>
      <c r="L189" s="75"/>
      <c r="M189" s="75" t="s">
        <v>1810</v>
      </c>
      <c r="N189" s="75" t="s">
        <v>3152</v>
      </c>
      <c r="O189" s="75" t="s">
        <v>2888</v>
      </c>
      <c r="P189" s="75"/>
      <c r="Q189" s="15"/>
    </row>
    <row r="190" spans="2:17" ht="29.4" hidden="1" customHeight="1" outlineLevel="2" x14ac:dyDescent="0.3">
      <c r="B190" s="360"/>
      <c r="C190" s="74" t="s">
        <v>331</v>
      </c>
      <c r="D190" s="74" t="s">
        <v>332</v>
      </c>
      <c r="E190" s="70" t="s">
        <v>3914</v>
      </c>
      <c r="F190" s="73" t="s">
        <v>3913</v>
      </c>
      <c r="G190" s="71">
        <v>2</v>
      </c>
      <c r="H190" s="70">
        <f>(COUNTIF(F190,$G$409)+(COUNTIF(F190,$G$408)*0.5))/COUNTA(F190)</f>
        <v>0</v>
      </c>
      <c r="I190" s="344"/>
      <c r="J190" s="73">
        <v>2</v>
      </c>
      <c r="K190" s="75"/>
      <c r="L190" s="75"/>
      <c r="M190" s="75"/>
      <c r="N190" s="75" t="s">
        <v>3161</v>
      </c>
      <c r="O190" s="75" t="s">
        <v>2331</v>
      </c>
      <c r="P190" s="75" t="s">
        <v>1877</v>
      </c>
      <c r="Q190" s="15"/>
    </row>
    <row r="191" spans="2:17" ht="29.4" hidden="1" customHeight="1" outlineLevel="2" x14ac:dyDescent="0.3">
      <c r="B191" s="360"/>
      <c r="C191" s="74" t="s">
        <v>333</v>
      </c>
      <c r="D191" s="74" t="s">
        <v>1367</v>
      </c>
      <c r="E191" s="70" t="s">
        <v>3914</v>
      </c>
      <c r="F191" s="73" t="s">
        <v>3913</v>
      </c>
      <c r="G191" s="71">
        <v>4</v>
      </c>
      <c r="H191" s="70">
        <f>(COUNTIF(F191,$G$409)+(COUNTIF(F191,$G$408)*0.5))/COUNTA(F191)</f>
        <v>0</v>
      </c>
      <c r="I191" s="344"/>
      <c r="J191" s="73">
        <v>6</v>
      </c>
      <c r="K191" s="75"/>
      <c r="L191" s="75"/>
      <c r="M191" s="75"/>
      <c r="N191" s="75"/>
      <c r="O191" s="75"/>
      <c r="P191" s="75"/>
      <c r="Q191" s="15"/>
    </row>
    <row r="192" spans="2:17" ht="29.4" customHeight="1" outlineLevel="1" collapsed="1" x14ac:dyDescent="0.3">
      <c r="B192" s="359" t="str">
        <f>'Результаты аудита'!D19</f>
        <v>Функциональное ИБ-тестирование</v>
      </c>
      <c r="C192" s="74" t="s">
        <v>334</v>
      </c>
      <c r="D192" s="74" t="s">
        <v>335</v>
      </c>
      <c r="E192" s="70" t="s">
        <v>3914</v>
      </c>
      <c r="F192" s="73" t="s">
        <v>3913</v>
      </c>
      <c r="G192" s="71">
        <v>0</v>
      </c>
      <c r="H192" s="70">
        <f>(COUNTIF(F192:F192,$F$407))/COUNTA(F192:F192)</f>
        <v>0</v>
      </c>
      <c r="I192" s="344">
        <f>SUM(H193:H196)/3</f>
        <v>0</v>
      </c>
      <c r="J192" s="73">
        <v>0</v>
      </c>
      <c r="K192" s="75"/>
      <c r="L192" s="75" t="s">
        <v>2859</v>
      </c>
      <c r="M192" s="75" t="s">
        <v>1356</v>
      </c>
      <c r="N192" s="75" t="s">
        <v>3162</v>
      </c>
      <c r="O192" s="75" t="s">
        <v>2330</v>
      </c>
      <c r="P192" s="75" t="s">
        <v>1878</v>
      </c>
      <c r="Q192" s="15"/>
    </row>
    <row r="193" spans="2:17" ht="29.4" hidden="1" customHeight="1" outlineLevel="2" x14ac:dyDescent="0.3">
      <c r="B193" s="359"/>
      <c r="C193" s="74" t="s">
        <v>336</v>
      </c>
      <c r="D193" s="74" t="s">
        <v>337</v>
      </c>
      <c r="E193" s="70" t="s">
        <v>3914</v>
      </c>
      <c r="F193" s="73" t="s">
        <v>3913</v>
      </c>
      <c r="G193" s="71">
        <v>1</v>
      </c>
      <c r="H193" s="37">
        <f>(COUNTIF(F193,$G$409)+(COUNTIF(F193,$G$408)*0.5))/COUNTA(F193)</f>
        <v>0</v>
      </c>
      <c r="I193" s="344"/>
      <c r="J193" s="73">
        <v>1</v>
      </c>
      <c r="K193" s="75"/>
      <c r="L193" s="75"/>
      <c r="M193" s="75" t="s">
        <v>1365</v>
      </c>
      <c r="N193" s="75"/>
      <c r="O193" s="75"/>
      <c r="P193" s="75"/>
      <c r="Q193" s="15"/>
    </row>
    <row r="194" spans="2:17" ht="29.4" hidden="1" customHeight="1" outlineLevel="2" x14ac:dyDescent="0.3">
      <c r="B194" s="359"/>
      <c r="C194" s="74" t="s">
        <v>339</v>
      </c>
      <c r="D194" s="74" t="s">
        <v>340</v>
      </c>
      <c r="E194" s="70" t="s">
        <v>3914</v>
      </c>
      <c r="F194" s="73" t="s">
        <v>3913</v>
      </c>
      <c r="G194" s="340">
        <v>2</v>
      </c>
      <c r="H194" s="346">
        <f>(COUNTIF(F194:F195,$G$409)+(COUNTIF(F194:F195,$G$408)*0.5))/(COUNTA(F194:F195)-COUNTIF(F194:F195,$G$410))</f>
        <v>0</v>
      </c>
      <c r="I194" s="344"/>
      <c r="J194" s="73">
        <v>2</v>
      </c>
      <c r="K194" s="75" t="s">
        <v>732</v>
      </c>
      <c r="L194" s="75"/>
      <c r="M194" s="75" t="s">
        <v>755</v>
      </c>
      <c r="N194" s="75" t="s">
        <v>3163</v>
      </c>
      <c r="O194" s="75" t="s">
        <v>2329</v>
      </c>
      <c r="P194" s="75" t="s">
        <v>1878</v>
      </c>
      <c r="Q194" s="15"/>
    </row>
    <row r="195" spans="2:17" ht="29.4" hidden="1" customHeight="1" outlineLevel="2" x14ac:dyDescent="0.3">
      <c r="B195" s="359"/>
      <c r="C195" s="74" t="s">
        <v>341</v>
      </c>
      <c r="D195" s="74" t="s">
        <v>342</v>
      </c>
      <c r="E195" s="70" t="s">
        <v>3914</v>
      </c>
      <c r="F195" s="73" t="s">
        <v>3913</v>
      </c>
      <c r="G195" s="342"/>
      <c r="H195" s="346"/>
      <c r="I195" s="344"/>
      <c r="J195" s="73">
        <v>2</v>
      </c>
      <c r="K195" s="75" t="s">
        <v>734</v>
      </c>
      <c r="L195" s="75"/>
      <c r="M195" s="75" t="s">
        <v>1365</v>
      </c>
      <c r="N195" s="75" t="s">
        <v>3164</v>
      </c>
      <c r="O195" s="75"/>
      <c r="P195" s="75" t="s">
        <v>1879</v>
      </c>
      <c r="Q195" s="15"/>
    </row>
    <row r="196" spans="2:17" ht="29.4" hidden="1" customHeight="1" outlineLevel="2" x14ac:dyDescent="0.3">
      <c r="B196" s="359"/>
      <c r="C196" s="74" t="s">
        <v>343</v>
      </c>
      <c r="D196" s="74" t="s">
        <v>1421</v>
      </c>
      <c r="E196" s="70" t="s">
        <v>3914</v>
      </c>
      <c r="F196" s="73" t="s">
        <v>3913</v>
      </c>
      <c r="G196" s="71">
        <v>3</v>
      </c>
      <c r="H196" s="37">
        <f>(COUNTIF(F196,$G$409)+(COUNTIF(F196,$G$408)*0.5))/COUNTA(F196)</f>
        <v>0</v>
      </c>
      <c r="I196" s="344"/>
      <c r="J196" s="73">
        <v>6</v>
      </c>
      <c r="K196" s="75" t="s">
        <v>734</v>
      </c>
      <c r="L196" s="75"/>
      <c r="M196" s="75" t="s">
        <v>1808</v>
      </c>
      <c r="N196" s="75" t="s">
        <v>3164</v>
      </c>
      <c r="O196" s="75"/>
      <c r="P196" s="75" t="s">
        <v>1879</v>
      </c>
      <c r="Q196" s="15"/>
    </row>
    <row r="197" spans="2:17" ht="29.4" customHeight="1" outlineLevel="1" collapsed="1" x14ac:dyDescent="0.3">
      <c r="B197" s="360" t="str">
        <f>'Результаты аудита'!D21</f>
        <v>Анализ инфраструктуры PREPROD среды на уязвимости</v>
      </c>
      <c r="C197" s="74" t="s">
        <v>344</v>
      </c>
      <c r="D197" s="74" t="s">
        <v>345</v>
      </c>
      <c r="E197" s="70" t="s">
        <v>3914</v>
      </c>
      <c r="F197" s="73" t="s">
        <v>3913</v>
      </c>
      <c r="G197" s="71">
        <v>0</v>
      </c>
      <c r="H197" s="70">
        <f>(COUNTIF(F197:F197,$F$407))/COUNTA(F197:F197)</f>
        <v>0</v>
      </c>
      <c r="I197" s="344">
        <f>SUM(H207:H208)/2</f>
        <v>0</v>
      </c>
      <c r="J197" s="5">
        <v>0</v>
      </c>
      <c r="K197" s="75"/>
      <c r="L197" s="75" t="s">
        <v>2860</v>
      </c>
      <c r="M197" s="75"/>
      <c r="N197" s="75" t="s">
        <v>3165</v>
      </c>
      <c r="O197" s="75"/>
      <c r="P197" s="75" t="s">
        <v>1880</v>
      </c>
      <c r="Q197" s="15"/>
    </row>
    <row r="198" spans="2:17" ht="29.4" hidden="1" customHeight="1" outlineLevel="2" x14ac:dyDescent="0.3">
      <c r="B198" s="360"/>
      <c r="C198" s="74" t="s">
        <v>346</v>
      </c>
      <c r="D198" s="74" t="s">
        <v>347</v>
      </c>
      <c r="E198" s="70" t="s">
        <v>3914</v>
      </c>
      <c r="F198" s="73" t="s">
        <v>3913</v>
      </c>
      <c r="G198" s="348">
        <v>1</v>
      </c>
      <c r="H198" s="358">
        <f>(COUNTIF(F198:F199,$G$409)+(COUNTIF(F198:F199,$G$408)*0.5))/(COUNTA(F198:F199)-COUNTIF(F198:F199,$G$410))</f>
        <v>0</v>
      </c>
      <c r="I198" s="344"/>
      <c r="J198" s="5">
        <v>2</v>
      </c>
      <c r="K198" s="75"/>
      <c r="L198" s="75"/>
      <c r="M198" s="75"/>
      <c r="N198" s="75" t="s">
        <v>3146</v>
      </c>
      <c r="O198" s="75"/>
      <c r="P198" s="75"/>
      <c r="Q198" s="15"/>
    </row>
    <row r="199" spans="2:17" ht="29.4" hidden="1" customHeight="1" outlineLevel="2" x14ac:dyDescent="0.3">
      <c r="B199" s="360"/>
      <c r="C199" s="74" t="s">
        <v>348</v>
      </c>
      <c r="D199" s="74" t="s">
        <v>1368</v>
      </c>
      <c r="E199" s="70" t="s">
        <v>3914</v>
      </c>
      <c r="F199" s="73" t="s">
        <v>3913</v>
      </c>
      <c r="G199" s="349"/>
      <c r="H199" s="358"/>
      <c r="I199" s="344"/>
      <c r="J199" s="5">
        <v>2</v>
      </c>
      <c r="K199" s="75"/>
      <c r="L199" s="75" t="s">
        <v>165</v>
      </c>
      <c r="M199" s="75" t="s">
        <v>1811</v>
      </c>
      <c r="N199" s="75" t="s">
        <v>3165</v>
      </c>
      <c r="O199" s="75"/>
      <c r="P199" s="75" t="s">
        <v>1842</v>
      </c>
      <c r="Q199" s="15"/>
    </row>
    <row r="200" spans="2:17" ht="29.4" hidden="1" customHeight="1" outlineLevel="2" x14ac:dyDescent="0.3">
      <c r="B200" s="360"/>
      <c r="C200" s="74" t="s">
        <v>349</v>
      </c>
      <c r="D200" s="74" t="s">
        <v>350</v>
      </c>
      <c r="E200" s="70" t="s">
        <v>3914</v>
      </c>
      <c r="F200" s="73" t="s">
        <v>3913</v>
      </c>
      <c r="G200" s="348">
        <v>2</v>
      </c>
      <c r="H200" s="358">
        <f>(COUNTIF(F200:F202,$G$409)+(COUNTIF(F200:F202,$G$408)*0.5))/(COUNTA(F200:F202)-COUNTIF(F200:F202,$G$410))</f>
        <v>0</v>
      </c>
      <c r="I200" s="344"/>
      <c r="J200" s="5">
        <v>4</v>
      </c>
      <c r="K200" s="75"/>
      <c r="L200" s="75"/>
      <c r="M200" s="75"/>
      <c r="N200" s="75" t="s">
        <v>3165</v>
      </c>
      <c r="O200" s="75"/>
      <c r="P200" s="75" t="s">
        <v>1880</v>
      </c>
      <c r="Q200" s="15"/>
    </row>
    <row r="201" spans="2:17" ht="29.4" hidden="1" customHeight="1" outlineLevel="2" x14ac:dyDescent="0.3">
      <c r="B201" s="360"/>
      <c r="C201" s="74" t="s">
        <v>351</v>
      </c>
      <c r="D201" s="74" t="s">
        <v>352</v>
      </c>
      <c r="E201" s="70" t="s">
        <v>3914</v>
      </c>
      <c r="F201" s="73" t="s">
        <v>3913</v>
      </c>
      <c r="G201" s="378"/>
      <c r="H201" s="358"/>
      <c r="I201" s="344"/>
      <c r="J201" s="5">
        <v>4</v>
      </c>
      <c r="K201" s="80" t="s">
        <v>3969</v>
      </c>
      <c r="L201" s="75"/>
      <c r="M201" s="75"/>
      <c r="N201" s="75" t="s">
        <v>3141</v>
      </c>
      <c r="O201" s="75"/>
      <c r="P201" s="75"/>
      <c r="Q201" s="15"/>
    </row>
    <row r="202" spans="2:17" ht="29.4" hidden="1" customHeight="1" outlineLevel="2" x14ac:dyDescent="0.3">
      <c r="B202" s="360"/>
      <c r="C202" s="74" t="s">
        <v>353</v>
      </c>
      <c r="D202" s="74" t="s">
        <v>354</v>
      </c>
      <c r="E202" s="70" t="s">
        <v>3914</v>
      </c>
      <c r="F202" s="73" t="s">
        <v>3913</v>
      </c>
      <c r="G202" s="349"/>
      <c r="H202" s="358"/>
      <c r="I202" s="344"/>
      <c r="J202" s="5">
        <v>4</v>
      </c>
      <c r="K202" s="75"/>
      <c r="L202" s="75"/>
      <c r="M202" s="75" t="s">
        <v>1812</v>
      </c>
      <c r="N202" s="75" t="s">
        <v>3165</v>
      </c>
      <c r="O202" s="75"/>
      <c r="P202" s="75" t="s">
        <v>1842</v>
      </c>
      <c r="Q202" s="15"/>
    </row>
    <row r="203" spans="2:17" ht="29.4" hidden="1" customHeight="1" outlineLevel="2" x14ac:dyDescent="0.3">
      <c r="B203" s="360"/>
      <c r="C203" s="74" t="s">
        <v>355</v>
      </c>
      <c r="D203" s="74" t="s">
        <v>356</v>
      </c>
      <c r="E203" s="70" t="s">
        <v>3914</v>
      </c>
      <c r="F203" s="73" t="s">
        <v>3913</v>
      </c>
      <c r="G203" s="348">
        <v>3</v>
      </c>
      <c r="H203" s="346">
        <f>(COUNTIF(F203:F206,$G$409)+(COUNTIF(F203:F206,$G$408)*0.5))/(COUNTA(F203:F206)-COUNTIF(F203:F206,$G$410))</f>
        <v>0</v>
      </c>
      <c r="I203" s="344"/>
      <c r="J203" s="5">
        <v>5</v>
      </c>
      <c r="K203" s="75"/>
      <c r="L203" s="75"/>
      <c r="M203" s="75"/>
      <c r="N203" s="75" t="s">
        <v>3165</v>
      </c>
      <c r="O203" s="75"/>
      <c r="P203" s="75" t="s">
        <v>1880</v>
      </c>
      <c r="Q203" s="15"/>
    </row>
    <row r="204" spans="2:17" ht="29.4" hidden="1" customHeight="1" outlineLevel="2" x14ac:dyDescent="0.3">
      <c r="B204" s="360"/>
      <c r="C204" s="74" t="s">
        <v>357</v>
      </c>
      <c r="D204" s="74" t="s">
        <v>358</v>
      </c>
      <c r="E204" s="70" t="s">
        <v>3914</v>
      </c>
      <c r="F204" s="73" t="s">
        <v>3913</v>
      </c>
      <c r="G204" s="378"/>
      <c r="H204" s="346"/>
      <c r="I204" s="344"/>
      <c r="J204" s="5">
        <v>5</v>
      </c>
      <c r="K204" s="75"/>
      <c r="L204" s="75"/>
      <c r="M204" s="75"/>
      <c r="N204" s="75" t="s">
        <v>3165</v>
      </c>
      <c r="O204" s="75"/>
      <c r="P204" s="75" t="s">
        <v>1842</v>
      </c>
      <c r="Q204" s="15"/>
    </row>
    <row r="205" spans="2:17" ht="29.4" hidden="1" customHeight="1" outlineLevel="2" x14ac:dyDescent="0.3">
      <c r="B205" s="360"/>
      <c r="C205" s="74" t="s">
        <v>359</v>
      </c>
      <c r="D205" s="74" t="s">
        <v>360</v>
      </c>
      <c r="E205" s="70" t="s">
        <v>3914</v>
      </c>
      <c r="F205" s="73" t="s">
        <v>3913</v>
      </c>
      <c r="G205" s="378"/>
      <c r="H205" s="346"/>
      <c r="I205" s="344"/>
      <c r="J205" s="5">
        <v>5</v>
      </c>
      <c r="K205" s="75"/>
      <c r="L205" s="75"/>
      <c r="M205" s="75"/>
      <c r="N205" s="75" t="s">
        <v>3165</v>
      </c>
      <c r="O205" s="75"/>
      <c r="P205" s="75"/>
      <c r="Q205" s="15"/>
    </row>
    <row r="206" spans="2:17" ht="29.4" hidden="1" customHeight="1" outlineLevel="2" x14ac:dyDescent="0.3">
      <c r="B206" s="360"/>
      <c r="C206" s="74" t="s">
        <v>361</v>
      </c>
      <c r="D206" s="74" t="s">
        <v>362</v>
      </c>
      <c r="E206" s="70" t="s">
        <v>3914</v>
      </c>
      <c r="F206" s="73" t="s">
        <v>3913</v>
      </c>
      <c r="G206" s="349"/>
      <c r="H206" s="346"/>
      <c r="I206" s="344"/>
      <c r="J206" s="5">
        <v>5</v>
      </c>
      <c r="K206" s="75"/>
      <c r="L206" s="75"/>
      <c r="M206" s="75"/>
      <c r="N206" s="75" t="s">
        <v>3165</v>
      </c>
      <c r="O206" s="75"/>
      <c r="P206" s="75"/>
      <c r="Q206" s="15"/>
    </row>
    <row r="207" spans="2:17" ht="29.4" hidden="1" customHeight="1" outlineLevel="2" x14ac:dyDescent="0.3">
      <c r="B207" s="360"/>
      <c r="C207" s="74" t="s">
        <v>363</v>
      </c>
      <c r="D207" s="74" t="s">
        <v>364</v>
      </c>
      <c r="E207" s="70" t="s">
        <v>3914</v>
      </c>
      <c r="F207" s="73" t="s">
        <v>3913</v>
      </c>
      <c r="G207" s="348">
        <v>4</v>
      </c>
      <c r="H207" s="346">
        <f>(COUNTIF(F207:F208,$G$409)+(COUNTIF(F207:F208,$G$408)*0.5))/(COUNTA(F207:F208)-COUNTIF(F207:F208,$G$410))</f>
        <v>0</v>
      </c>
      <c r="I207" s="344"/>
      <c r="J207" s="5">
        <v>7</v>
      </c>
      <c r="K207" s="75"/>
      <c r="L207" s="75"/>
      <c r="M207" s="75"/>
      <c r="N207" s="75" t="s">
        <v>3165</v>
      </c>
      <c r="O207" s="75"/>
      <c r="P207" s="75"/>
      <c r="Q207" s="15"/>
    </row>
    <row r="208" spans="2:17" ht="29.4" hidden="1" customHeight="1" outlineLevel="2" x14ac:dyDescent="0.3">
      <c r="B208" s="360"/>
      <c r="C208" s="74" t="s">
        <v>365</v>
      </c>
      <c r="D208" s="74" t="s">
        <v>1348</v>
      </c>
      <c r="E208" s="70" t="s">
        <v>3914</v>
      </c>
      <c r="F208" s="73" t="s">
        <v>3913</v>
      </c>
      <c r="G208" s="349"/>
      <c r="H208" s="346"/>
      <c r="I208" s="344"/>
      <c r="J208" s="5">
        <v>7</v>
      </c>
      <c r="K208" s="75"/>
      <c r="L208" s="75"/>
      <c r="M208" s="75" t="s">
        <v>1813</v>
      </c>
      <c r="N208" s="75" t="s">
        <v>3146</v>
      </c>
      <c r="O208" s="75"/>
      <c r="P208" s="75"/>
      <c r="Q208" s="15"/>
    </row>
    <row r="209" spans="2:17" ht="29.4" customHeight="1" outlineLevel="1" collapsed="1" x14ac:dyDescent="0.3">
      <c r="B209" s="360" t="str">
        <f>'Результаты аудита'!D20</f>
        <v>Контроль безопасности манифестов (k8s, terraform и т.д.)</v>
      </c>
      <c r="C209" s="74" t="s">
        <v>366</v>
      </c>
      <c r="D209" s="74" t="s">
        <v>367</v>
      </c>
      <c r="E209" s="70" t="s">
        <v>3914</v>
      </c>
      <c r="F209" s="73" t="s">
        <v>3913</v>
      </c>
      <c r="G209" s="71">
        <v>0</v>
      </c>
      <c r="H209" s="70">
        <f>(COUNTIF(F209:F209,$F$407))/COUNTA(F209:F209)</f>
        <v>0</v>
      </c>
      <c r="I209" s="344">
        <f>SUM(H210:H211)/2</f>
        <v>0</v>
      </c>
      <c r="J209" s="73">
        <v>0</v>
      </c>
      <c r="K209" s="75"/>
      <c r="L209" s="75"/>
      <c r="M209" s="75" t="s">
        <v>1814</v>
      </c>
      <c r="N209" s="75"/>
      <c r="O209" s="75"/>
      <c r="P209" s="75" t="s">
        <v>1881</v>
      </c>
      <c r="Q209" s="15"/>
    </row>
    <row r="210" spans="2:17" ht="29.4" hidden="1" customHeight="1" outlineLevel="2" x14ac:dyDescent="0.3">
      <c r="B210" s="360"/>
      <c r="C210" s="74" t="s">
        <v>368</v>
      </c>
      <c r="D210" s="74" t="s">
        <v>369</v>
      </c>
      <c r="E210" s="70" t="s">
        <v>3914</v>
      </c>
      <c r="F210" s="73" t="s">
        <v>3913</v>
      </c>
      <c r="G210" s="71">
        <v>1</v>
      </c>
      <c r="H210" s="37">
        <f>(COUNTIF(F210,$G$409)+(COUNTIF(F210,$G$408)*0.5))/COUNTA(F210)</f>
        <v>0</v>
      </c>
      <c r="I210" s="344"/>
      <c r="J210" s="73">
        <v>2</v>
      </c>
      <c r="K210" s="75"/>
      <c r="L210" s="75"/>
      <c r="M210" s="75"/>
      <c r="N210" s="75"/>
      <c r="O210" s="75"/>
      <c r="P210" s="75" t="s">
        <v>1881</v>
      </c>
      <c r="Q210" s="15"/>
    </row>
    <row r="211" spans="2:17" ht="29.4" hidden="1" customHeight="1" outlineLevel="2" x14ac:dyDescent="0.3">
      <c r="B211" s="360"/>
      <c r="C211" s="74" t="s">
        <v>370</v>
      </c>
      <c r="D211" s="74" t="s">
        <v>371</v>
      </c>
      <c r="E211" s="70" t="s">
        <v>3914</v>
      </c>
      <c r="F211" s="73" t="s">
        <v>3913</v>
      </c>
      <c r="G211" s="71">
        <v>2</v>
      </c>
      <c r="H211" s="37">
        <f>(COUNTIF(F211,$G$409)+(COUNTIF(F211,$G$408)*0.5))/COUNTA(F211)</f>
        <v>0</v>
      </c>
      <c r="I211" s="344"/>
      <c r="J211" s="73">
        <v>3</v>
      </c>
      <c r="K211" s="75" t="s">
        <v>372</v>
      </c>
      <c r="L211" s="75"/>
      <c r="M211" s="75"/>
      <c r="N211" s="75"/>
      <c r="O211" s="75"/>
      <c r="P211" s="75" t="s">
        <v>1881</v>
      </c>
      <c r="Q211" s="15"/>
    </row>
    <row r="212" spans="2:17" ht="3.6" customHeight="1" outlineLevel="1" collapsed="1" x14ac:dyDescent="0.3">
      <c r="B212" s="36"/>
      <c r="C212" s="74"/>
      <c r="D212" s="74"/>
      <c r="E212" s="70"/>
      <c r="F212" s="73"/>
      <c r="G212" s="71"/>
      <c r="H212" s="37"/>
      <c r="I212" s="78"/>
      <c r="J212" s="73"/>
      <c r="K212" s="75"/>
      <c r="L212" s="75"/>
      <c r="M212" s="75"/>
      <c r="N212" s="75"/>
      <c r="O212" s="75"/>
      <c r="P212" s="13"/>
      <c r="Q212" s="15"/>
    </row>
    <row r="213" spans="2:17" ht="29.4" customHeight="1" x14ac:dyDescent="0.3">
      <c r="B213" s="384" t="s">
        <v>373</v>
      </c>
      <c r="C213" s="384"/>
      <c r="D213" s="384"/>
      <c r="E213" s="111"/>
      <c r="F213" s="112"/>
      <c r="G213" s="113"/>
      <c r="H213" s="384"/>
      <c r="I213" s="384"/>
      <c r="J213" s="384"/>
      <c r="K213" s="384"/>
      <c r="L213" s="384"/>
      <c r="M213" s="384"/>
      <c r="N213" s="384"/>
      <c r="O213" s="384"/>
      <c r="P213" s="384"/>
      <c r="Q213" s="295"/>
    </row>
    <row r="214" spans="2:17" ht="29.4" customHeight="1" outlineLevel="1" x14ac:dyDescent="0.3">
      <c r="B214" s="339" t="str">
        <f>'Результаты аудита'!D22</f>
        <v>Управление секретами</v>
      </c>
      <c r="C214" s="74" t="s">
        <v>374</v>
      </c>
      <c r="D214" s="74" t="s">
        <v>375</v>
      </c>
      <c r="E214" s="70" t="s">
        <v>3914</v>
      </c>
      <c r="F214" s="73" t="s">
        <v>3913</v>
      </c>
      <c r="G214" s="71">
        <v>0</v>
      </c>
      <c r="H214" s="70">
        <f>(COUNTIF(F214:F214,$F$407))/COUNTA(F214:F214)</f>
        <v>0</v>
      </c>
      <c r="I214" s="344">
        <f>SUM(H215:H224)/4</f>
        <v>0</v>
      </c>
      <c r="J214" s="73">
        <v>0</v>
      </c>
      <c r="K214" s="75"/>
      <c r="L214" s="75"/>
      <c r="M214" s="75"/>
      <c r="N214" s="75"/>
      <c r="O214" s="75" t="s">
        <v>2321</v>
      </c>
      <c r="P214" s="75" t="s">
        <v>1852</v>
      </c>
      <c r="Q214" s="15"/>
    </row>
    <row r="215" spans="2:17" ht="29.4" hidden="1" customHeight="1" outlineLevel="2" x14ac:dyDescent="0.3">
      <c r="B215" s="339"/>
      <c r="C215" s="74" t="s">
        <v>377</v>
      </c>
      <c r="D215" s="74" t="s">
        <v>378</v>
      </c>
      <c r="E215" s="70" t="s">
        <v>3914</v>
      </c>
      <c r="F215" s="73" t="s">
        <v>3913</v>
      </c>
      <c r="G215" s="340">
        <v>1</v>
      </c>
      <c r="H215" s="346">
        <f>(COUNTIF(F215:F216,$G$409)+(COUNTIF(F215:F216,$G$408)*0.5))/(COUNTA(F215:F216)-COUNTIF(F215:F216,$G$410))</f>
        <v>0</v>
      </c>
      <c r="I215" s="344"/>
      <c r="J215" s="73">
        <v>1</v>
      </c>
      <c r="K215" s="75"/>
      <c r="L215" s="75" t="s">
        <v>2835</v>
      </c>
      <c r="M215" s="75"/>
      <c r="N215" s="75"/>
      <c r="O215" s="75"/>
      <c r="P215" s="75"/>
      <c r="Q215" s="15"/>
    </row>
    <row r="216" spans="2:17" ht="29.4" hidden="1" customHeight="1" outlineLevel="2" x14ac:dyDescent="0.3">
      <c r="B216" s="339"/>
      <c r="C216" s="74" t="s">
        <v>379</v>
      </c>
      <c r="D216" s="74" t="s">
        <v>380</v>
      </c>
      <c r="E216" s="70" t="s">
        <v>3914</v>
      </c>
      <c r="F216" s="73" t="s">
        <v>3913</v>
      </c>
      <c r="G216" s="342"/>
      <c r="H216" s="346"/>
      <c r="I216" s="344"/>
      <c r="J216" s="73">
        <v>1</v>
      </c>
      <c r="K216" s="75" t="s">
        <v>1326</v>
      </c>
      <c r="L216" s="75"/>
      <c r="M216" s="75"/>
      <c r="N216" s="75"/>
      <c r="O216" s="75"/>
      <c r="P216" s="75" t="s">
        <v>1841</v>
      </c>
      <c r="Q216" s="15"/>
    </row>
    <row r="217" spans="2:17" ht="29.4" hidden="1" customHeight="1" outlineLevel="2" x14ac:dyDescent="0.3">
      <c r="B217" s="339"/>
      <c r="C217" s="74" t="s">
        <v>381</v>
      </c>
      <c r="D217" s="74" t="s">
        <v>382</v>
      </c>
      <c r="E217" s="70" t="s">
        <v>3914</v>
      </c>
      <c r="F217" s="73" t="s">
        <v>3913</v>
      </c>
      <c r="G217" s="340">
        <v>2</v>
      </c>
      <c r="H217" s="346">
        <f>(COUNTIF(F217:F218,$G$409)+(COUNTIF(F217:F218,$G$408)*0.5))/(COUNTA(F217:F218)-COUNTIF(F217:F218,$G$410))</f>
        <v>0</v>
      </c>
      <c r="I217" s="344"/>
      <c r="J217" s="73">
        <v>2</v>
      </c>
      <c r="K217" s="75"/>
      <c r="L217" s="75" t="s">
        <v>2835</v>
      </c>
      <c r="M217" s="75"/>
      <c r="N217" s="75"/>
      <c r="O217" s="75" t="s">
        <v>2322</v>
      </c>
      <c r="P217" s="75" t="s">
        <v>1852</v>
      </c>
      <c r="Q217" s="15"/>
    </row>
    <row r="218" spans="2:17" ht="29.4" hidden="1" customHeight="1" outlineLevel="2" x14ac:dyDescent="0.3">
      <c r="B218" s="339"/>
      <c r="C218" s="74" t="s">
        <v>383</v>
      </c>
      <c r="D218" s="74" t="s">
        <v>384</v>
      </c>
      <c r="E218" s="70" t="s">
        <v>3914</v>
      </c>
      <c r="F218" s="73" t="s">
        <v>3913</v>
      </c>
      <c r="G218" s="342"/>
      <c r="H218" s="346"/>
      <c r="I218" s="344"/>
      <c r="J218" s="73">
        <v>2</v>
      </c>
      <c r="K218" s="75"/>
      <c r="L218" s="75"/>
      <c r="M218" s="75"/>
      <c r="N218" s="75"/>
      <c r="O218" s="75"/>
      <c r="P218" s="75" t="s">
        <v>1841</v>
      </c>
      <c r="Q218" s="15"/>
    </row>
    <row r="219" spans="2:17" ht="29.4" hidden="1" customHeight="1" outlineLevel="2" x14ac:dyDescent="0.3">
      <c r="B219" s="339"/>
      <c r="C219" s="74" t="s">
        <v>385</v>
      </c>
      <c r="D219" s="74" t="s">
        <v>386</v>
      </c>
      <c r="E219" s="70" t="s">
        <v>3914</v>
      </c>
      <c r="F219" s="73" t="s">
        <v>3913</v>
      </c>
      <c r="G219" s="340">
        <v>3</v>
      </c>
      <c r="H219" s="346">
        <f>(COUNTIF(F219:F221,$G$409)+(COUNTIF(F219:F221,$G$408)*0.5))/(COUNTA(F219:F221)-COUNTIF(F219:F221,$G$410))</f>
        <v>0</v>
      </c>
      <c r="I219" s="344"/>
      <c r="J219" s="73">
        <v>3</v>
      </c>
      <c r="K219" s="75"/>
      <c r="L219" s="75"/>
      <c r="M219" s="75"/>
      <c r="N219" s="75"/>
      <c r="O219" s="75" t="s">
        <v>2322</v>
      </c>
      <c r="P219" s="75" t="s">
        <v>1852</v>
      </c>
      <c r="Q219" s="15"/>
    </row>
    <row r="220" spans="2:17" ht="29.4" hidden="1" customHeight="1" outlineLevel="2" x14ac:dyDescent="0.3">
      <c r="B220" s="339"/>
      <c r="C220" s="74" t="s">
        <v>387</v>
      </c>
      <c r="D220" s="74" t="s">
        <v>2292</v>
      </c>
      <c r="E220" s="70" t="s">
        <v>3914</v>
      </c>
      <c r="F220" s="73" t="s">
        <v>3913</v>
      </c>
      <c r="G220" s="341"/>
      <c r="H220" s="346"/>
      <c r="I220" s="344"/>
      <c r="J220" s="73">
        <v>3</v>
      </c>
      <c r="K220" s="75"/>
      <c r="L220" s="75"/>
      <c r="M220" s="75"/>
      <c r="N220" s="75" t="s">
        <v>3141</v>
      </c>
      <c r="O220" s="75"/>
      <c r="P220" s="75"/>
      <c r="Q220" s="15"/>
    </row>
    <row r="221" spans="2:17" ht="29.4" hidden="1" customHeight="1" outlineLevel="2" x14ac:dyDescent="0.3">
      <c r="B221" s="339"/>
      <c r="C221" s="74" t="s">
        <v>388</v>
      </c>
      <c r="D221" s="74" t="s">
        <v>389</v>
      </c>
      <c r="E221" s="70" t="s">
        <v>3914</v>
      </c>
      <c r="F221" s="73" t="s">
        <v>3913</v>
      </c>
      <c r="G221" s="342"/>
      <c r="H221" s="346"/>
      <c r="I221" s="344"/>
      <c r="J221" s="73">
        <v>3</v>
      </c>
      <c r="K221" s="75"/>
      <c r="L221" s="75"/>
      <c r="M221" s="75"/>
      <c r="N221" s="75" t="s">
        <v>3141</v>
      </c>
      <c r="O221" s="75" t="s">
        <v>2323</v>
      </c>
      <c r="P221" s="75"/>
      <c r="Q221" s="15"/>
    </row>
    <row r="222" spans="2:17" ht="29.4" hidden="1" customHeight="1" outlineLevel="2" x14ac:dyDescent="0.3">
      <c r="B222" s="339"/>
      <c r="C222" s="74" t="s">
        <v>390</v>
      </c>
      <c r="D222" s="74" t="s">
        <v>391</v>
      </c>
      <c r="E222" s="70" t="s">
        <v>3914</v>
      </c>
      <c r="F222" s="73" t="s">
        <v>3913</v>
      </c>
      <c r="G222" s="340">
        <v>4</v>
      </c>
      <c r="H222" s="346">
        <f>(COUNTIF(F222:F224,$G$409)+(COUNTIF(F222:F224,$G$408)*0.5))/(COUNTA(F222:F224)-COUNTIF(F222:F224,$G$410))</f>
        <v>0</v>
      </c>
      <c r="I222" s="344"/>
      <c r="J222" s="73">
        <v>5</v>
      </c>
      <c r="K222" s="75"/>
      <c r="L222" s="75"/>
      <c r="M222" s="75"/>
      <c r="N222" s="75"/>
      <c r="O222" s="75"/>
      <c r="P222" s="75" t="s">
        <v>1852</v>
      </c>
      <c r="Q222" s="15"/>
    </row>
    <row r="223" spans="2:17" ht="29.4" hidden="1" customHeight="1" outlineLevel="2" x14ac:dyDescent="0.3">
      <c r="B223" s="339"/>
      <c r="C223" s="74" t="s">
        <v>392</v>
      </c>
      <c r="D223" s="74" t="s">
        <v>393</v>
      </c>
      <c r="E223" s="70" t="s">
        <v>3914</v>
      </c>
      <c r="F223" s="73" t="s">
        <v>3913</v>
      </c>
      <c r="G223" s="341"/>
      <c r="H223" s="346"/>
      <c r="I223" s="344"/>
      <c r="J223" s="73">
        <v>5</v>
      </c>
      <c r="K223" s="75"/>
      <c r="L223" s="75"/>
      <c r="M223" s="75"/>
      <c r="N223" s="75"/>
      <c r="O223" s="75"/>
      <c r="P223" s="75"/>
      <c r="Q223" s="15"/>
    </row>
    <row r="224" spans="2:17" ht="29.4" hidden="1" customHeight="1" outlineLevel="2" x14ac:dyDescent="0.3">
      <c r="B224" s="339"/>
      <c r="C224" s="74" t="s">
        <v>2145</v>
      </c>
      <c r="D224" s="74" t="s">
        <v>2291</v>
      </c>
      <c r="E224" s="70" t="s">
        <v>3914</v>
      </c>
      <c r="F224" s="73" t="s">
        <v>3913</v>
      </c>
      <c r="G224" s="342"/>
      <c r="H224" s="346"/>
      <c r="I224" s="344"/>
      <c r="J224" s="73">
        <v>5</v>
      </c>
      <c r="K224" s="75"/>
      <c r="L224" s="75"/>
      <c r="M224" s="75"/>
      <c r="N224" s="75"/>
      <c r="O224" s="75"/>
      <c r="P224" s="75"/>
      <c r="Q224" s="15"/>
    </row>
    <row r="225" spans="2:17" ht="29.4" customHeight="1" outlineLevel="1" collapsed="1" x14ac:dyDescent="0.3">
      <c r="B225" s="361" t="str">
        <f>'Результаты аудита'!D24</f>
        <v>Тестирование на проникновение продуктивной среды</v>
      </c>
      <c r="C225" s="74" t="s">
        <v>394</v>
      </c>
      <c r="D225" s="74" t="s">
        <v>395</v>
      </c>
      <c r="E225" s="70" t="s">
        <v>3914</v>
      </c>
      <c r="F225" s="73" t="s">
        <v>3913</v>
      </c>
      <c r="G225" s="69">
        <v>0</v>
      </c>
      <c r="H225" s="70">
        <f>(COUNTIF(F225:F225,$F$407))/COUNTA(F225:F225)</f>
        <v>0</v>
      </c>
      <c r="I225" s="344">
        <f>SUM(H226:H232)/4</f>
        <v>0</v>
      </c>
      <c r="J225" s="5">
        <v>0</v>
      </c>
      <c r="K225" s="75"/>
      <c r="L225" s="75"/>
      <c r="M225" s="75"/>
      <c r="N225" s="75" t="s">
        <v>3166</v>
      </c>
      <c r="O225" s="75" t="s">
        <v>2889</v>
      </c>
      <c r="P225" s="75" t="s">
        <v>1877</v>
      </c>
      <c r="Q225" s="15"/>
    </row>
    <row r="226" spans="2:17" ht="29.4" hidden="1" customHeight="1" outlineLevel="2" x14ac:dyDescent="0.3">
      <c r="B226" s="361"/>
      <c r="C226" s="74" t="s">
        <v>396</v>
      </c>
      <c r="D226" s="74" t="s">
        <v>1422</v>
      </c>
      <c r="E226" s="70" t="s">
        <v>3914</v>
      </c>
      <c r="F226" s="73" t="s">
        <v>3913</v>
      </c>
      <c r="G226" s="348">
        <v>1</v>
      </c>
      <c r="H226" s="358">
        <f>(COUNTIF(F226:F228,$G$409)+(COUNTIF(F226:F228,$G$408)*0.5))/(COUNTA(F226:F228)-COUNTIF(F226:F228,$G$410))</f>
        <v>0</v>
      </c>
      <c r="I226" s="344"/>
      <c r="J226" s="5">
        <v>2</v>
      </c>
      <c r="K226" s="75"/>
      <c r="L226" s="75"/>
      <c r="M226" s="75"/>
      <c r="N226" s="75" t="s">
        <v>3166</v>
      </c>
      <c r="O226" s="75"/>
      <c r="P226" s="75"/>
      <c r="Q226" s="15"/>
    </row>
    <row r="227" spans="2:17" ht="29.4" hidden="1" customHeight="1" outlineLevel="2" x14ac:dyDescent="0.3">
      <c r="B227" s="361"/>
      <c r="C227" s="74" t="s">
        <v>397</v>
      </c>
      <c r="D227" s="74" t="s">
        <v>398</v>
      </c>
      <c r="E227" s="70" t="s">
        <v>3914</v>
      </c>
      <c r="F227" s="73" t="s">
        <v>3913</v>
      </c>
      <c r="G227" s="378"/>
      <c r="H227" s="358"/>
      <c r="I227" s="344"/>
      <c r="J227" s="5">
        <v>2</v>
      </c>
      <c r="K227" s="75" t="s">
        <v>328</v>
      </c>
      <c r="L227" s="75"/>
      <c r="M227" s="75"/>
      <c r="N227" s="75" t="s">
        <v>3166</v>
      </c>
      <c r="O227" s="75" t="s">
        <v>2889</v>
      </c>
      <c r="P227" s="75" t="s">
        <v>1877</v>
      </c>
      <c r="Q227" s="15"/>
    </row>
    <row r="228" spans="2:17" ht="29.4" hidden="1" customHeight="1" outlineLevel="2" x14ac:dyDescent="0.3">
      <c r="B228" s="361"/>
      <c r="C228" s="74" t="s">
        <v>399</v>
      </c>
      <c r="D228" s="74" t="s">
        <v>1423</v>
      </c>
      <c r="E228" s="70" t="s">
        <v>3914</v>
      </c>
      <c r="F228" s="73" t="s">
        <v>3913</v>
      </c>
      <c r="G228" s="349"/>
      <c r="H228" s="358"/>
      <c r="I228" s="344"/>
      <c r="J228" s="5">
        <v>2</v>
      </c>
      <c r="K228" s="75" t="s">
        <v>740</v>
      </c>
      <c r="L228" s="75"/>
      <c r="M228" s="75"/>
      <c r="N228" s="75" t="s">
        <v>3166</v>
      </c>
      <c r="O228" s="75" t="s">
        <v>2889</v>
      </c>
      <c r="P228" s="75"/>
      <c r="Q228" s="15"/>
    </row>
    <row r="229" spans="2:17" ht="29.4" hidden="1" customHeight="1" outlineLevel="2" x14ac:dyDescent="0.3">
      <c r="B229" s="361"/>
      <c r="C229" s="74" t="s">
        <v>400</v>
      </c>
      <c r="D229" s="74" t="s">
        <v>401</v>
      </c>
      <c r="E229" s="70" t="s">
        <v>3914</v>
      </c>
      <c r="F229" s="73" t="s">
        <v>3913</v>
      </c>
      <c r="G229" s="71">
        <v>2</v>
      </c>
      <c r="H229" s="37">
        <f>(COUNTIF(F229,$G$409)+(COUNTIF(F229,$G$408)*0.5))/COUNTA(F229)</f>
        <v>0</v>
      </c>
      <c r="I229" s="344"/>
      <c r="J229" s="5">
        <v>3</v>
      </c>
      <c r="K229" s="75"/>
      <c r="L229" s="75"/>
      <c r="M229" s="75"/>
      <c r="N229" s="75" t="s">
        <v>3167</v>
      </c>
      <c r="O229" s="75" t="s">
        <v>2332</v>
      </c>
      <c r="P229" s="75"/>
      <c r="Q229" s="15"/>
    </row>
    <row r="230" spans="2:17" ht="29.4" hidden="1" customHeight="1" outlineLevel="2" x14ac:dyDescent="0.3">
      <c r="B230" s="361"/>
      <c r="C230" s="81" t="s">
        <v>402</v>
      </c>
      <c r="D230" s="82" t="s">
        <v>403</v>
      </c>
      <c r="E230" s="70" t="s">
        <v>3914</v>
      </c>
      <c r="F230" s="73" t="s">
        <v>3913</v>
      </c>
      <c r="G230" s="71">
        <v>3</v>
      </c>
      <c r="H230" s="37">
        <f>(COUNTIF(F230,$G$409)+(COUNTIF(F230,$G$408)*0.5))/COUNTA(F230)</f>
        <v>0</v>
      </c>
      <c r="I230" s="344"/>
      <c r="J230" s="5">
        <v>4</v>
      </c>
      <c r="K230" s="75" t="s">
        <v>1330</v>
      </c>
      <c r="L230" s="75"/>
      <c r="M230" s="75"/>
      <c r="N230" s="75"/>
      <c r="O230" s="75" t="s">
        <v>2333</v>
      </c>
      <c r="P230" s="75" t="s">
        <v>1882</v>
      </c>
      <c r="Q230" s="15"/>
    </row>
    <row r="231" spans="2:17" ht="29.4" hidden="1" customHeight="1" outlineLevel="2" x14ac:dyDescent="0.3">
      <c r="B231" s="361"/>
      <c r="C231" s="74" t="s">
        <v>404</v>
      </c>
      <c r="D231" s="74" t="s">
        <v>405</v>
      </c>
      <c r="E231" s="70" t="s">
        <v>3914</v>
      </c>
      <c r="F231" s="73" t="s">
        <v>3913</v>
      </c>
      <c r="G231" s="348">
        <v>4</v>
      </c>
      <c r="H231" s="346">
        <f>(COUNTIF(F231:F232,$G$409)+(COUNTIF(F231:F232,$G$408)*0.5))/(COUNTA(F231:F232)-COUNTIF(F231:F232,$G$410))</f>
        <v>0</v>
      </c>
      <c r="I231" s="344"/>
      <c r="J231" s="5">
        <v>7</v>
      </c>
      <c r="K231" s="75"/>
      <c r="L231" s="75"/>
      <c r="M231" s="75"/>
      <c r="N231" s="75"/>
      <c r="O231" s="75"/>
      <c r="P231" s="75"/>
      <c r="Q231" s="15"/>
    </row>
    <row r="232" spans="2:17" ht="29.4" hidden="1" customHeight="1" outlineLevel="2" x14ac:dyDescent="0.3">
      <c r="B232" s="361"/>
      <c r="C232" s="74" t="s">
        <v>406</v>
      </c>
      <c r="D232" s="82" t="s">
        <v>1369</v>
      </c>
      <c r="E232" s="70" t="s">
        <v>3914</v>
      </c>
      <c r="F232" s="73" t="s">
        <v>3913</v>
      </c>
      <c r="G232" s="349"/>
      <c r="H232" s="346"/>
      <c r="I232" s="344"/>
      <c r="J232" s="5">
        <v>7</v>
      </c>
      <c r="K232" s="75" t="s">
        <v>1331</v>
      </c>
      <c r="L232" s="75"/>
      <c r="M232" s="75" t="s">
        <v>1815</v>
      </c>
      <c r="N232" s="75"/>
      <c r="O232" s="75"/>
      <c r="P232" s="75"/>
      <c r="Q232" s="15"/>
    </row>
    <row r="233" spans="2:17" ht="29.4" customHeight="1" outlineLevel="1" collapsed="1" x14ac:dyDescent="0.3">
      <c r="B233" s="359" t="str">
        <f>'Результаты аудита'!D23</f>
        <v>Динамический анализ приложений (DAST) в продуктивной среде</v>
      </c>
      <c r="C233" s="74" t="s">
        <v>407</v>
      </c>
      <c r="D233" s="74" t="s">
        <v>295</v>
      </c>
      <c r="E233" s="70" t="s">
        <v>3914</v>
      </c>
      <c r="F233" s="73" t="s">
        <v>3913</v>
      </c>
      <c r="G233" s="71">
        <v>0</v>
      </c>
      <c r="H233" s="70">
        <f>(COUNTIF(F233:F233,$F$407))/COUNTA(F233:F233)</f>
        <v>0</v>
      </c>
      <c r="I233" s="344">
        <f>SUM(H234:H247)/4</f>
        <v>0</v>
      </c>
      <c r="J233" s="5">
        <v>0</v>
      </c>
      <c r="K233" s="75"/>
      <c r="L233" s="75" t="s">
        <v>2851</v>
      </c>
      <c r="M233" s="75"/>
      <c r="N233" s="75" t="s">
        <v>3168</v>
      </c>
      <c r="O233" s="75" t="s">
        <v>2335</v>
      </c>
      <c r="P233" s="75" t="s">
        <v>1871</v>
      </c>
      <c r="Q233" s="15"/>
    </row>
    <row r="234" spans="2:17" ht="29.4" hidden="1" customHeight="1" outlineLevel="2" x14ac:dyDescent="0.3">
      <c r="B234" s="359"/>
      <c r="C234" s="74" t="s">
        <v>408</v>
      </c>
      <c r="D234" s="74" t="s">
        <v>297</v>
      </c>
      <c r="E234" s="70" t="s">
        <v>3914</v>
      </c>
      <c r="F234" s="73" t="s">
        <v>3913</v>
      </c>
      <c r="G234" s="340">
        <v>1</v>
      </c>
      <c r="H234" s="346">
        <f>(COUNTIF(F234:F236,$G$409)+(COUNTIF(F234:F236,$G$408)*0.5))/(COUNTA(F234:F236)-COUNTIF(F234:F236,$G$410))</f>
        <v>0</v>
      </c>
      <c r="I234" s="344"/>
      <c r="J234" s="5">
        <v>4</v>
      </c>
      <c r="K234" s="75"/>
      <c r="L234" s="75" t="s">
        <v>2851</v>
      </c>
      <c r="M234" s="75"/>
      <c r="N234" s="75" t="s">
        <v>3168</v>
      </c>
      <c r="O234" s="75" t="s">
        <v>2335</v>
      </c>
      <c r="P234" s="75"/>
      <c r="Q234" s="15"/>
    </row>
    <row r="235" spans="2:17" ht="29.4" hidden="1" customHeight="1" outlineLevel="2" x14ac:dyDescent="0.3">
      <c r="B235" s="359"/>
      <c r="C235" s="74" t="s">
        <v>409</v>
      </c>
      <c r="D235" s="74" t="s">
        <v>410</v>
      </c>
      <c r="E235" s="70" t="s">
        <v>3914</v>
      </c>
      <c r="F235" s="73" t="s">
        <v>3913</v>
      </c>
      <c r="G235" s="341"/>
      <c r="H235" s="346"/>
      <c r="I235" s="344"/>
      <c r="J235" s="5">
        <v>4</v>
      </c>
      <c r="K235" s="75"/>
      <c r="L235" s="75"/>
      <c r="M235" s="75"/>
      <c r="N235" s="75" t="s">
        <v>3168</v>
      </c>
      <c r="O235" s="75" t="s">
        <v>2335</v>
      </c>
      <c r="P235" s="75"/>
      <c r="Q235" s="15"/>
    </row>
    <row r="236" spans="2:17" ht="29.4" hidden="1" customHeight="1" outlineLevel="2" x14ac:dyDescent="0.3">
      <c r="B236" s="359"/>
      <c r="C236" s="74" t="s">
        <v>411</v>
      </c>
      <c r="D236" s="74" t="s">
        <v>299</v>
      </c>
      <c r="E236" s="70" t="s">
        <v>3914</v>
      </c>
      <c r="F236" s="73" t="s">
        <v>3913</v>
      </c>
      <c r="G236" s="342"/>
      <c r="H236" s="346"/>
      <c r="I236" s="344"/>
      <c r="J236" s="5">
        <v>4</v>
      </c>
      <c r="K236" s="75"/>
      <c r="L236" s="75"/>
      <c r="M236" s="75"/>
      <c r="N236" s="75" t="s">
        <v>3168</v>
      </c>
      <c r="O236" s="75" t="s">
        <v>2335</v>
      </c>
      <c r="P236" s="75"/>
      <c r="Q236" s="15"/>
    </row>
    <row r="237" spans="2:17" ht="29.4" hidden="1" customHeight="1" outlineLevel="2" x14ac:dyDescent="0.3">
      <c r="B237" s="359"/>
      <c r="C237" s="74" t="s">
        <v>412</v>
      </c>
      <c r="D237" s="74" t="s">
        <v>413</v>
      </c>
      <c r="E237" s="70" t="s">
        <v>3914</v>
      </c>
      <c r="F237" s="73" t="s">
        <v>3913</v>
      </c>
      <c r="G237" s="340">
        <v>2</v>
      </c>
      <c r="H237" s="346">
        <f>(COUNTIF(F237:F240,$G$409)+(COUNTIF(F237:F240,$G$408)*0.5))/(COUNTA(F237:F240)-COUNTIF(F237:F240,$G$410))</f>
        <v>0</v>
      </c>
      <c r="I237" s="344"/>
      <c r="J237" s="5">
        <v>5</v>
      </c>
      <c r="K237" s="75"/>
      <c r="L237" s="75"/>
      <c r="M237" s="75"/>
      <c r="N237" s="75" t="s">
        <v>3168</v>
      </c>
      <c r="O237" s="75" t="s">
        <v>2335</v>
      </c>
      <c r="P237" s="75"/>
      <c r="Q237" s="15"/>
    </row>
    <row r="238" spans="2:17" ht="29.4" hidden="1" customHeight="1" outlineLevel="2" x14ac:dyDescent="0.3">
      <c r="B238" s="359"/>
      <c r="C238" s="74" t="s">
        <v>414</v>
      </c>
      <c r="D238" s="74" t="s">
        <v>303</v>
      </c>
      <c r="E238" s="70" t="s">
        <v>3914</v>
      </c>
      <c r="F238" s="73" t="s">
        <v>3913</v>
      </c>
      <c r="G238" s="341"/>
      <c r="H238" s="346"/>
      <c r="I238" s="344"/>
      <c r="J238" s="5">
        <v>5</v>
      </c>
      <c r="K238" s="75"/>
      <c r="L238" s="75" t="s">
        <v>2852</v>
      </c>
      <c r="M238" s="75"/>
      <c r="N238" s="75" t="s">
        <v>3168</v>
      </c>
      <c r="O238" s="75" t="s">
        <v>2335</v>
      </c>
      <c r="P238" s="75"/>
      <c r="Q238" s="15"/>
    </row>
    <row r="239" spans="2:17" ht="29.4" hidden="1" customHeight="1" outlineLevel="2" x14ac:dyDescent="0.3">
      <c r="B239" s="359"/>
      <c r="C239" s="74" t="s">
        <v>415</v>
      </c>
      <c r="D239" s="74" t="s">
        <v>305</v>
      </c>
      <c r="E239" s="70" t="s">
        <v>3914</v>
      </c>
      <c r="F239" s="73" t="s">
        <v>3913</v>
      </c>
      <c r="G239" s="341"/>
      <c r="H239" s="346"/>
      <c r="I239" s="344"/>
      <c r="J239" s="5">
        <v>5</v>
      </c>
      <c r="K239" s="75"/>
      <c r="L239" s="75"/>
      <c r="M239" s="75"/>
      <c r="N239" s="75" t="s">
        <v>3168</v>
      </c>
      <c r="O239" s="75" t="s">
        <v>2335</v>
      </c>
      <c r="P239" s="75"/>
      <c r="Q239" s="15"/>
    </row>
    <row r="240" spans="2:17" ht="29.4" hidden="1" customHeight="1" outlineLevel="2" x14ac:dyDescent="0.3">
      <c r="B240" s="359"/>
      <c r="C240" s="74" t="s">
        <v>416</v>
      </c>
      <c r="D240" s="74" t="s">
        <v>301</v>
      </c>
      <c r="E240" s="70" t="s">
        <v>3914</v>
      </c>
      <c r="F240" s="73" t="s">
        <v>3913</v>
      </c>
      <c r="G240" s="342"/>
      <c r="H240" s="346"/>
      <c r="I240" s="344"/>
      <c r="J240" s="5">
        <v>5</v>
      </c>
      <c r="K240" s="75"/>
      <c r="L240" s="75"/>
      <c r="M240" s="75"/>
      <c r="N240" s="75"/>
      <c r="O240" s="75"/>
      <c r="P240" s="75" t="s">
        <v>1872</v>
      </c>
      <c r="Q240" s="15"/>
    </row>
    <row r="241" spans="2:17" ht="29.4" hidden="1" customHeight="1" outlineLevel="2" x14ac:dyDescent="0.3">
      <c r="B241" s="359"/>
      <c r="C241" s="74" t="s">
        <v>417</v>
      </c>
      <c r="D241" s="74" t="s">
        <v>310</v>
      </c>
      <c r="E241" s="70" t="s">
        <v>3914</v>
      </c>
      <c r="F241" s="73" t="s">
        <v>3913</v>
      </c>
      <c r="G241" s="340">
        <v>3</v>
      </c>
      <c r="H241" s="346">
        <f>(COUNTIF(F241:F244,$G$409)+(COUNTIF(F241:F244,$G$408)*0.5))/(COUNTA(F241:F244)-COUNTIF(F241:F244,$G$410))</f>
        <v>0</v>
      </c>
      <c r="I241" s="344"/>
      <c r="J241" s="5">
        <v>6</v>
      </c>
      <c r="K241" s="75"/>
      <c r="L241" s="75" t="s">
        <v>2853</v>
      </c>
      <c r="M241" s="75"/>
      <c r="N241" s="75" t="s">
        <v>3168</v>
      </c>
      <c r="O241" s="75"/>
      <c r="P241" s="75"/>
      <c r="Q241" s="15"/>
    </row>
    <row r="242" spans="2:17" ht="29.4" hidden="1" customHeight="1" outlineLevel="2" x14ac:dyDescent="0.3">
      <c r="B242" s="359"/>
      <c r="C242" s="74" t="s">
        <v>418</v>
      </c>
      <c r="D242" s="74" t="s">
        <v>312</v>
      </c>
      <c r="E242" s="70" t="s">
        <v>3914</v>
      </c>
      <c r="F242" s="73" t="s">
        <v>3913</v>
      </c>
      <c r="G242" s="341"/>
      <c r="H242" s="346"/>
      <c r="I242" s="344"/>
      <c r="J242" s="5">
        <v>6</v>
      </c>
      <c r="K242" s="75"/>
      <c r="L242" s="75" t="s">
        <v>2854</v>
      </c>
      <c r="M242" s="75"/>
      <c r="N242" s="75" t="s">
        <v>3168</v>
      </c>
      <c r="O242" s="75"/>
      <c r="P242" s="75" t="s">
        <v>1872</v>
      </c>
      <c r="Q242" s="15"/>
    </row>
    <row r="243" spans="2:17" ht="29.4" hidden="1" customHeight="1" outlineLevel="2" x14ac:dyDescent="0.3">
      <c r="B243" s="359"/>
      <c r="C243" s="74" t="s">
        <v>419</v>
      </c>
      <c r="D243" s="74" t="s">
        <v>314</v>
      </c>
      <c r="E243" s="70" t="s">
        <v>3914</v>
      </c>
      <c r="F243" s="73" t="s">
        <v>3913</v>
      </c>
      <c r="G243" s="341"/>
      <c r="H243" s="346"/>
      <c r="I243" s="344"/>
      <c r="J243" s="5">
        <v>6</v>
      </c>
      <c r="K243" s="75"/>
      <c r="L243" s="75" t="s">
        <v>2855</v>
      </c>
      <c r="M243" s="75"/>
      <c r="N243" s="75" t="s">
        <v>3168</v>
      </c>
      <c r="O243" s="75"/>
      <c r="P243" s="75"/>
      <c r="Q243" s="15"/>
    </row>
    <row r="244" spans="2:17" ht="29.4" hidden="1" customHeight="1" outlineLevel="2" x14ac:dyDescent="0.3">
      <c r="B244" s="359"/>
      <c r="C244" s="74" t="s">
        <v>420</v>
      </c>
      <c r="D244" s="74" t="s">
        <v>316</v>
      </c>
      <c r="E244" s="70" t="s">
        <v>3914</v>
      </c>
      <c r="F244" s="73" t="s">
        <v>3913</v>
      </c>
      <c r="G244" s="342"/>
      <c r="H244" s="346"/>
      <c r="I244" s="344"/>
      <c r="J244" s="5">
        <v>6</v>
      </c>
      <c r="K244" s="75" t="s">
        <v>317</v>
      </c>
      <c r="L244" s="75"/>
      <c r="M244" s="75"/>
      <c r="N244" s="75" t="s">
        <v>3168</v>
      </c>
      <c r="O244" s="75" t="s">
        <v>2890</v>
      </c>
      <c r="P244" s="75" t="s">
        <v>1876</v>
      </c>
      <c r="Q244" s="15"/>
    </row>
    <row r="245" spans="2:17" ht="29.4" hidden="1" customHeight="1" outlineLevel="2" x14ac:dyDescent="0.3">
      <c r="B245" s="359"/>
      <c r="C245" s="74" t="s">
        <v>421</v>
      </c>
      <c r="D245" s="74" t="s">
        <v>319</v>
      </c>
      <c r="E245" s="70" t="s">
        <v>3914</v>
      </c>
      <c r="F245" s="73" t="s">
        <v>3913</v>
      </c>
      <c r="G245" s="340">
        <v>4</v>
      </c>
      <c r="H245" s="346">
        <f>(COUNTIF(F245:F247,$G$409)+(COUNTIF(F245:F247,$G$408)*0.5))/(COUNTA(F245:F247)-COUNTIF(F245:F247,$G$410))</f>
        <v>0</v>
      </c>
      <c r="I245" s="344"/>
      <c r="J245" s="5">
        <v>7</v>
      </c>
      <c r="K245" s="75"/>
      <c r="L245" s="75" t="s">
        <v>2856</v>
      </c>
      <c r="M245" s="75"/>
      <c r="N245" s="75" t="s">
        <v>3168</v>
      </c>
      <c r="O245" s="75"/>
      <c r="P245" s="75"/>
      <c r="Q245" s="15"/>
    </row>
    <row r="246" spans="2:17" ht="29.4" hidden="1" customHeight="1" outlineLevel="2" x14ac:dyDescent="0.3">
      <c r="B246" s="359"/>
      <c r="C246" s="74" t="s">
        <v>422</v>
      </c>
      <c r="D246" s="74" t="s">
        <v>321</v>
      </c>
      <c r="E246" s="70" t="s">
        <v>3914</v>
      </c>
      <c r="F246" s="73" t="s">
        <v>3913</v>
      </c>
      <c r="G246" s="341"/>
      <c r="H246" s="346"/>
      <c r="I246" s="344"/>
      <c r="J246" s="5">
        <v>7</v>
      </c>
      <c r="K246" s="75"/>
      <c r="L246" s="75" t="s">
        <v>2857</v>
      </c>
      <c r="M246" s="75"/>
      <c r="N246" s="75"/>
      <c r="O246" s="75"/>
      <c r="P246" s="75"/>
      <c r="Q246" s="15"/>
    </row>
    <row r="247" spans="2:17" ht="29.4" hidden="1" customHeight="1" outlineLevel="2" x14ac:dyDescent="0.3">
      <c r="B247" s="359"/>
      <c r="C247" s="74" t="s">
        <v>423</v>
      </c>
      <c r="D247" s="74" t="s">
        <v>323</v>
      </c>
      <c r="E247" s="70" t="s">
        <v>3914</v>
      </c>
      <c r="F247" s="73" t="s">
        <v>3913</v>
      </c>
      <c r="G247" s="342"/>
      <c r="H247" s="346"/>
      <c r="I247" s="344"/>
      <c r="J247" s="5">
        <v>7</v>
      </c>
      <c r="K247" s="75"/>
      <c r="L247" s="75" t="s">
        <v>2858</v>
      </c>
      <c r="M247" s="75"/>
      <c r="N247" s="75" t="s">
        <v>3168</v>
      </c>
      <c r="O247" s="75"/>
      <c r="P247" s="75"/>
      <c r="Q247" s="15"/>
    </row>
    <row r="248" spans="2:17" ht="29.4" customHeight="1" outlineLevel="1" collapsed="1" x14ac:dyDescent="0.3">
      <c r="B248" s="377" t="str">
        <f>'Результаты аудита'!D25</f>
        <v>Управление изменениями инфраструктуры и доступом к ней</v>
      </c>
      <c r="C248" s="74" t="s">
        <v>424</v>
      </c>
      <c r="D248" s="74" t="s">
        <v>425</v>
      </c>
      <c r="E248" s="70" t="s">
        <v>3914</v>
      </c>
      <c r="F248" s="73" t="s">
        <v>3913</v>
      </c>
      <c r="G248" s="71">
        <v>0</v>
      </c>
      <c r="H248" s="70">
        <f>(COUNTIF(F248:F248,$F$407))/COUNTA(F248:F248)</f>
        <v>0</v>
      </c>
      <c r="I248" s="344">
        <f>SUM(H249:H257)/4</f>
        <v>0</v>
      </c>
      <c r="J248" s="73">
        <v>0</v>
      </c>
      <c r="K248" s="75"/>
      <c r="L248" s="75" t="s">
        <v>2861</v>
      </c>
      <c r="M248" s="75" t="s">
        <v>1813</v>
      </c>
      <c r="N248" s="75"/>
      <c r="O248" s="75"/>
      <c r="P248" s="75"/>
      <c r="Q248" s="15"/>
    </row>
    <row r="249" spans="2:17" ht="29.4" hidden="1" customHeight="1" outlineLevel="2" x14ac:dyDescent="0.3">
      <c r="B249" s="377"/>
      <c r="C249" s="74" t="s">
        <v>426</v>
      </c>
      <c r="D249" s="74" t="s">
        <v>427</v>
      </c>
      <c r="E249" s="70" t="s">
        <v>3914</v>
      </c>
      <c r="F249" s="73" t="s">
        <v>3913</v>
      </c>
      <c r="G249" s="340">
        <v>1</v>
      </c>
      <c r="H249" s="346">
        <f>(COUNTIF(F249:F253,$G$409)+(COUNTIF(F249:F253,$G$408)*0.5))/(COUNTA(F249:F253)-COUNTIF(F249:F253,$G$410))</f>
        <v>0</v>
      </c>
      <c r="I249" s="344"/>
      <c r="J249" s="73">
        <v>1</v>
      </c>
      <c r="K249" s="75"/>
      <c r="L249" s="75"/>
      <c r="M249" s="75"/>
      <c r="N249" s="75"/>
      <c r="O249" s="75"/>
      <c r="P249" s="75"/>
      <c r="Q249" s="15"/>
    </row>
    <row r="250" spans="2:17" ht="29.4" hidden="1" customHeight="1" outlineLevel="2" x14ac:dyDescent="0.3">
      <c r="B250" s="377"/>
      <c r="C250" s="74" t="s">
        <v>428</v>
      </c>
      <c r="D250" s="74" t="s">
        <v>429</v>
      </c>
      <c r="E250" s="70" t="s">
        <v>3914</v>
      </c>
      <c r="F250" s="73" t="s">
        <v>3913</v>
      </c>
      <c r="G250" s="341"/>
      <c r="H250" s="346"/>
      <c r="I250" s="344"/>
      <c r="J250" s="73">
        <v>1</v>
      </c>
      <c r="K250" s="75"/>
      <c r="L250" s="75" t="s">
        <v>2861</v>
      </c>
      <c r="M250" s="75"/>
      <c r="N250" s="75"/>
      <c r="O250" s="75"/>
      <c r="P250" s="75"/>
      <c r="Q250" s="15"/>
    </row>
    <row r="251" spans="2:17" ht="29.4" hidden="1" customHeight="1" outlineLevel="2" x14ac:dyDescent="0.3">
      <c r="B251" s="377"/>
      <c r="C251" s="74" t="s">
        <v>430</v>
      </c>
      <c r="D251" s="74" t="s">
        <v>431</v>
      </c>
      <c r="E251" s="70" t="s">
        <v>3914</v>
      </c>
      <c r="F251" s="73" t="s">
        <v>3913</v>
      </c>
      <c r="G251" s="341"/>
      <c r="H251" s="346"/>
      <c r="I251" s="344"/>
      <c r="J251" s="73">
        <v>1</v>
      </c>
      <c r="K251" s="75"/>
      <c r="L251" s="75"/>
      <c r="M251" s="75"/>
      <c r="N251" s="75"/>
      <c r="O251" s="75" t="s">
        <v>2301</v>
      </c>
      <c r="P251" s="75"/>
      <c r="Q251" s="15"/>
    </row>
    <row r="252" spans="2:17" ht="29.4" hidden="1" customHeight="1" outlineLevel="2" x14ac:dyDescent="0.3">
      <c r="B252" s="377"/>
      <c r="C252" s="74" t="s">
        <v>432</v>
      </c>
      <c r="D252" s="74" t="s">
        <v>433</v>
      </c>
      <c r="E252" s="70" t="s">
        <v>3914</v>
      </c>
      <c r="F252" s="73" t="s">
        <v>3913</v>
      </c>
      <c r="G252" s="341"/>
      <c r="H252" s="346"/>
      <c r="I252" s="344"/>
      <c r="J252" s="73">
        <v>1</v>
      </c>
      <c r="K252" s="75"/>
      <c r="L252" s="75"/>
      <c r="M252" s="75"/>
      <c r="N252" s="75"/>
      <c r="O252" s="75"/>
      <c r="P252" s="75" t="s">
        <v>1850</v>
      </c>
      <c r="Q252" s="15"/>
    </row>
    <row r="253" spans="2:17" ht="29.4" hidden="1" customHeight="1" outlineLevel="2" x14ac:dyDescent="0.3">
      <c r="B253" s="377"/>
      <c r="C253" s="74" t="s">
        <v>434</v>
      </c>
      <c r="D253" s="74" t="s">
        <v>435</v>
      </c>
      <c r="E253" s="70" t="s">
        <v>3914</v>
      </c>
      <c r="F253" s="73" t="s">
        <v>3913</v>
      </c>
      <c r="G253" s="342"/>
      <c r="H253" s="346"/>
      <c r="I253" s="344"/>
      <c r="J253" s="73">
        <v>1</v>
      </c>
      <c r="K253" s="75"/>
      <c r="L253" s="75"/>
      <c r="M253" s="75"/>
      <c r="N253" s="75"/>
      <c r="O253" s="75"/>
      <c r="P253" s="75"/>
      <c r="Q253" s="15"/>
    </row>
    <row r="254" spans="2:17" ht="29.4" hidden="1" customHeight="1" outlineLevel="2" x14ac:dyDescent="0.3">
      <c r="B254" s="377"/>
      <c r="C254" s="74" t="s">
        <v>436</v>
      </c>
      <c r="D254" s="74" t="s">
        <v>437</v>
      </c>
      <c r="E254" s="70" t="s">
        <v>3914</v>
      </c>
      <c r="F254" s="73" t="s">
        <v>3913</v>
      </c>
      <c r="G254" s="340">
        <v>2</v>
      </c>
      <c r="H254" s="346">
        <f>(COUNTIF(F254:F255,$G$409)+(COUNTIF(F254:F255,$G$408)*0.5))/(COUNTA(F254:F255)-COUNTIF(F254:F255,$G$410))</f>
        <v>0</v>
      </c>
      <c r="I254" s="344"/>
      <c r="J254" s="73">
        <v>3</v>
      </c>
      <c r="K254" s="75"/>
      <c r="L254" s="75"/>
      <c r="M254" s="75"/>
      <c r="N254" s="75"/>
      <c r="O254" s="75"/>
      <c r="P254" s="75" t="s">
        <v>1847</v>
      </c>
      <c r="Q254" s="15"/>
    </row>
    <row r="255" spans="2:17" ht="29.4" hidden="1" customHeight="1" outlineLevel="2" x14ac:dyDescent="0.3">
      <c r="B255" s="377"/>
      <c r="C255" s="74" t="s">
        <v>438</v>
      </c>
      <c r="D255" s="74" t="s">
        <v>439</v>
      </c>
      <c r="E255" s="70" t="s">
        <v>3914</v>
      </c>
      <c r="F255" s="73" t="s">
        <v>3913</v>
      </c>
      <c r="G255" s="342"/>
      <c r="H255" s="346"/>
      <c r="I255" s="344"/>
      <c r="J255" s="73">
        <v>3</v>
      </c>
      <c r="K255" s="75"/>
      <c r="L255" s="75" t="s">
        <v>2834</v>
      </c>
      <c r="M255" s="75"/>
      <c r="N255" s="75"/>
      <c r="O255" s="75"/>
      <c r="P255" s="75"/>
      <c r="Q255" s="15"/>
    </row>
    <row r="256" spans="2:17" ht="29.4" hidden="1" customHeight="1" outlineLevel="2" x14ac:dyDescent="0.3">
      <c r="B256" s="377"/>
      <c r="C256" s="74" t="s">
        <v>440</v>
      </c>
      <c r="D256" s="74" t="s">
        <v>441</v>
      </c>
      <c r="E256" s="70" t="s">
        <v>3914</v>
      </c>
      <c r="F256" s="73" t="s">
        <v>3913</v>
      </c>
      <c r="G256" s="71">
        <v>3</v>
      </c>
      <c r="H256" s="37">
        <f>(COUNTIF(F256,$G$409)+(COUNTIF(F256,$G$408)*0.5))/COUNTA(F256)</f>
        <v>0</v>
      </c>
      <c r="I256" s="344"/>
      <c r="J256" s="73">
        <v>4</v>
      </c>
      <c r="K256" s="75"/>
      <c r="L256" s="75"/>
      <c r="M256" s="75"/>
      <c r="N256" s="75"/>
      <c r="O256" s="75"/>
      <c r="P256" s="75"/>
      <c r="Q256" s="15"/>
    </row>
    <row r="257" spans="2:17" ht="29.4" hidden="1" customHeight="1" outlineLevel="2" x14ac:dyDescent="0.3">
      <c r="B257" s="377"/>
      <c r="C257" s="74" t="s">
        <v>442</v>
      </c>
      <c r="D257" s="74" t="s">
        <v>443</v>
      </c>
      <c r="E257" s="70" t="s">
        <v>3914</v>
      </c>
      <c r="F257" s="73" t="s">
        <v>3913</v>
      </c>
      <c r="G257" s="71">
        <v>4</v>
      </c>
      <c r="H257" s="37">
        <f>(COUNTIF(F257,$G$409)+(COUNTIF(F257,$G$408)*0.5))/COUNTA(F257)</f>
        <v>0</v>
      </c>
      <c r="I257" s="344"/>
      <c r="J257" s="73">
        <v>7</v>
      </c>
      <c r="K257" s="75"/>
      <c r="L257" s="75"/>
      <c r="M257" s="75"/>
      <c r="N257" s="75"/>
      <c r="O257" s="75"/>
      <c r="P257" s="75"/>
      <c r="Q257" s="15"/>
    </row>
    <row r="258" spans="2:17" ht="29.4" customHeight="1" outlineLevel="1" collapsed="1" x14ac:dyDescent="0.3">
      <c r="B258" s="361" t="str">
        <f>'Результаты аудита'!D26</f>
        <v>Контроль сетевого трафика (L4-L7)</v>
      </c>
      <c r="C258" s="74" t="s">
        <v>444</v>
      </c>
      <c r="D258" s="74" t="s">
        <v>445</v>
      </c>
      <c r="E258" s="70" t="s">
        <v>3914</v>
      </c>
      <c r="F258" s="73" t="s">
        <v>3913</v>
      </c>
      <c r="G258" s="71">
        <v>0</v>
      </c>
      <c r="H258" s="70">
        <f>(COUNTIF(F258:F258,$F$407))/COUNTA(F258:F258)</f>
        <v>0</v>
      </c>
      <c r="I258" s="344">
        <f>SUM(H259:H263)/3</f>
        <v>0</v>
      </c>
      <c r="J258" s="73">
        <v>0</v>
      </c>
      <c r="K258" s="75"/>
      <c r="L258" s="75" t="s">
        <v>2862</v>
      </c>
      <c r="M258" s="75"/>
      <c r="N258" s="75"/>
      <c r="O258" s="75"/>
      <c r="P258" s="75" t="s">
        <v>1857</v>
      </c>
      <c r="Q258" s="15"/>
    </row>
    <row r="259" spans="2:17" ht="29.4" hidden="1" customHeight="1" outlineLevel="2" x14ac:dyDescent="0.3">
      <c r="B259" s="361"/>
      <c r="C259" s="74" t="s">
        <v>446</v>
      </c>
      <c r="D259" s="74" t="s">
        <v>447</v>
      </c>
      <c r="E259" s="70" t="s">
        <v>3914</v>
      </c>
      <c r="F259" s="73" t="s">
        <v>3913</v>
      </c>
      <c r="G259" s="348">
        <v>1</v>
      </c>
      <c r="H259" s="358">
        <f>(COUNTIF(F259:F260,$G$409)+(COUNTIF(F259:F260,$G$408)*0.5))/(COUNTA(F259:F260)-COUNTIF(F259:F260,$G$410))</f>
        <v>0</v>
      </c>
      <c r="I259" s="344"/>
      <c r="J259" s="73">
        <v>1</v>
      </c>
      <c r="K259" s="75" t="s">
        <v>448</v>
      </c>
      <c r="L259" s="75"/>
      <c r="M259" s="75"/>
      <c r="N259" s="75"/>
      <c r="O259" s="75"/>
      <c r="P259" s="75" t="s">
        <v>1857</v>
      </c>
      <c r="Q259" s="15"/>
    </row>
    <row r="260" spans="2:17" ht="29.4" hidden="1" customHeight="1" outlineLevel="2" x14ac:dyDescent="0.3">
      <c r="B260" s="361"/>
      <c r="C260" s="74" t="s">
        <v>449</v>
      </c>
      <c r="D260" s="74" t="s">
        <v>450</v>
      </c>
      <c r="E260" s="70" t="s">
        <v>3914</v>
      </c>
      <c r="F260" s="73" t="s">
        <v>3913</v>
      </c>
      <c r="G260" s="349"/>
      <c r="H260" s="358"/>
      <c r="I260" s="344"/>
      <c r="J260" s="73">
        <v>1</v>
      </c>
      <c r="K260" s="75"/>
      <c r="L260" s="75" t="s">
        <v>2862</v>
      </c>
      <c r="M260" s="75"/>
      <c r="N260" s="75" t="s">
        <v>3146</v>
      </c>
      <c r="O260" s="75"/>
      <c r="P260" s="75" t="s">
        <v>1854</v>
      </c>
      <c r="Q260" s="15"/>
    </row>
    <row r="261" spans="2:17" ht="29.4" hidden="1" customHeight="1" outlineLevel="2" x14ac:dyDescent="0.3">
      <c r="B261" s="361"/>
      <c r="C261" s="74" t="s">
        <v>451</v>
      </c>
      <c r="D261" s="74" t="s">
        <v>452</v>
      </c>
      <c r="E261" s="70" t="s">
        <v>3914</v>
      </c>
      <c r="F261" s="73" t="s">
        <v>3913</v>
      </c>
      <c r="G261" s="348">
        <v>2</v>
      </c>
      <c r="H261" s="358">
        <f>(COUNTIF(F261:F262,$G$409)+(COUNTIF(F261:F262,$G$408)*0.5))/(COUNTA(F261:F262)-COUNTIF(F261:F262,$G$410))</f>
        <v>0</v>
      </c>
      <c r="I261" s="344"/>
      <c r="J261" s="73">
        <v>2</v>
      </c>
      <c r="K261" s="75"/>
      <c r="L261" s="75" t="s">
        <v>2862</v>
      </c>
      <c r="M261" s="75"/>
      <c r="N261" s="75"/>
      <c r="O261" s="75"/>
      <c r="P261" s="75" t="s">
        <v>1842</v>
      </c>
      <c r="Q261" s="15"/>
    </row>
    <row r="262" spans="2:17" ht="29.4" hidden="1" customHeight="1" outlineLevel="2" x14ac:dyDescent="0.3">
      <c r="B262" s="361"/>
      <c r="C262" s="74" t="s">
        <v>453</v>
      </c>
      <c r="D262" s="74" t="s">
        <v>454</v>
      </c>
      <c r="E262" s="70" t="s">
        <v>3914</v>
      </c>
      <c r="F262" s="73" t="s">
        <v>3913</v>
      </c>
      <c r="G262" s="349"/>
      <c r="H262" s="358"/>
      <c r="I262" s="344"/>
      <c r="J262" s="73">
        <v>2</v>
      </c>
      <c r="K262" s="75" t="s">
        <v>97</v>
      </c>
      <c r="L262" s="75"/>
      <c r="M262" s="75"/>
      <c r="N262" s="75"/>
      <c r="O262" s="75"/>
      <c r="P262" s="75" t="s">
        <v>1883</v>
      </c>
      <c r="Q262" s="15"/>
    </row>
    <row r="263" spans="2:17" ht="29.4" hidden="1" customHeight="1" outlineLevel="2" x14ac:dyDescent="0.3">
      <c r="B263" s="361"/>
      <c r="C263" s="74" t="s">
        <v>455</v>
      </c>
      <c r="D263" s="74" t="s">
        <v>456</v>
      </c>
      <c r="E263" s="70" t="s">
        <v>3914</v>
      </c>
      <c r="F263" s="73" t="s">
        <v>3913</v>
      </c>
      <c r="G263" s="69">
        <v>3</v>
      </c>
      <c r="H263" s="70">
        <f>(COUNTIF(F263:F263,$G$409)+(COUNTIF(F263:F263,$G$408)*0.5))/COUNTA(F263:F263)</f>
        <v>0</v>
      </c>
      <c r="I263" s="344"/>
      <c r="J263" s="73">
        <v>3</v>
      </c>
      <c r="K263" s="75"/>
      <c r="L263" s="75"/>
      <c r="M263" s="75"/>
      <c r="N263" s="75"/>
      <c r="O263" s="75"/>
      <c r="P263" s="75"/>
      <c r="Q263" s="15"/>
    </row>
    <row r="264" spans="2:17" ht="29.4" customHeight="1" outlineLevel="1" collapsed="1" x14ac:dyDescent="0.3">
      <c r="B264" s="339" t="str">
        <f>'Результаты аудита'!D27</f>
        <v>Контроль выполняемых и процессов и их прав доступа</v>
      </c>
      <c r="C264" s="74" t="s">
        <v>457</v>
      </c>
      <c r="D264" s="74" t="s">
        <v>458</v>
      </c>
      <c r="E264" s="70" t="s">
        <v>3914</v>
      </c>
      <c r="F264" s="73" t="s">
        <v>3913</v>
      </c>
      <c r="G264" s="69">
        <v>0</v>
      </c>
      <c r="H264" s="70">
        <f>(COUNTIF(F264:F264,$F$407))/COUNTA(F264:F264)</f>
        <v>0</v>
      </c>
      <c r="I264" s="344">
        <f>SUM(H265:H267)/3</f>
        <v>0</v>
      </c>
      <c r="J264" s="73">
        <v>0</v>
      </c>
      <c r="K264" s="75"/>
      <c r="L264" s="75"/>
      <c r="M264" s="75"/>
      <c r="N264" s="75"/>
      <c r="O264" s="75"/>
      <c r="P264" s="75"/>
      <c r="Q264" s="15"/>
    </row>
    <row r="265" spans="2:17" ht="29.4" hidden="1" customHeight="1" outlineLevel="2" x14ac:dyDescent="0.3">
      <c r="B265" s="339"/>
      <c r="C265" s="74" t="s">
        <v>459</v>
      </c>
      <c r="D265" s="74" t="s">
        <v>1370</v>
      </c>
      <c r="E265" s="70" t="s">
        <v>3914</v>
      </c>
      <c r="F265" s="73" t="s">
        <v>3913</v>
      </c>
      <c r="G265" s="69">
        <v>1</v>
      </c>
      <c r="H265" s="37">
        <f>(COUNTIF(F265,$G$409)+(COUNTIF(F265,$G$408)*0.5))/COUNTA(F265)</f>
        <v>0</v>
      </c>
      <c r="I265" s="344"/>
      <c r="J265" s="73">
        <v>2</v>
      </c>
      <c r="K265" s="75"/>
      <c r="L265" s="75"/>
      <c r="M265" s="75"/>
      <c r="N265" s="75"/>
      <c r="O265" s="75"/>
      <c r="P265" s="75"/>
      <c r="Q265" s="15"/>
    </row>
    <row r="266" spans="2:17" ht="29.4" hidden="1" customHeight="1" outlineLevel="2" x14ac:dyDescent="0.3">
      <c r="B266" s="339"/>
      <c r="C266" s="74" t="s">
        <v>460</v>
      </c>
      <c r="D266" s="74" t="s">
        <v>461</v>
      </c>
      <c r="E266" s="70" t="s">
        <v>3914</v>
      </c>
      <c r="F266" s="73" t="s">
        <v>3913</v>
      </c>
      <c r="G266" s="71">
        <v>2</v>
      </c>
      <c r="H266" s="37">
        <f>(COUNTIF(F266,$G$409)+(COUNTIF(F266,$G$408)*0.5))/COUNTA(F266)</f>
        <v>0</v>
      </c>
      <c r="I266" s="344"/>
      <c r="J266" s="73">
        <v>3</v>
      </c>
      <c r="K266" s="75"/>
      <c r="L266" s="75"/>
      <c r="M266" s="75"/>
      <c r="N266" s="75"/>
      <c r="O266" s="75"/>
      <c r="P266" s="75" t="s">
        <v>1874</v>
      </c>
      <c r="Q266" s="15"/>
    </row>
    <row r="267" spans="2:17" ht="29.4" hidden="1" customHeight="1" outlineLevel="2" x14ac:dyDescent="0.3">
      <c r="B267" s="339"/>
      <c r="C267" s="74" t="s">
        <v>462</v>
      </c>
      <c r="D267" s="74" t="s">
        <v>463</v>
      </c>
      <c r="E267" s="70" t="s">
        <v>3914</v>
      </c>
      <c r="F267" s="73" t="s">
        <v>3913</v>
      </c>
      <c r="G267" s="71">
        <v>3</v>
      </c>
      <c r="H267" s="37">
        <f>(COUNTIF(F267,$G$409)+(COUNTIF(F267,$G$408)*0.5))/COUNTA(F267)</f>
        <v>0</v>
      </c>
      <c r="I267" s="344"/>
      <c r="J267" s="73">
        <v>5</v>
      </c>
      <c r="K267" s="75" t="s">
        <v>746</v>
      </c>
      <c r="L267" s="75"/>
      <c r="M267" s="75"/>
      <c r="N267" s="75"/>
      <c r="O267" s="75"/>
      <c r="P267" s="75"/>
      <c r="Q267" s="15"/>
    </row>
    <row r="268" spans="2:17" ht="29.4" customHeight="1" outlineLevel="1" collapsed="1" x14ac:dyDescent="0.3">
      <c r="B268" s="361" t="str">
        <f>'Результаты аудита'!D28</f>
        <v>Анализ инфраструктуры PROD среды на уязвимости</v>
      </c>
      <c r="C268" s="74" t="s">
        <v>464</v>
      </c>
      <c r="D268" s="74" t="s">
        <v>465</v>
      </c>
      <c r="E268" s="70" t="s">
        <v>3914</v>
      </c>
      <c r="F268" s="73" t="s">
        <v>3913</v>
      </c>
      <c r="G268" s="71">
        <v>0</v>
      </c>
      <c r="H268" s="70">
        <f>(COUNTIF(F268:F268,$F$407))/COUNTA(F268:F268)</f>
        <v>0</v>
      </c>
      <c r="I268" s="344">
        <f>SUM(H269:H279)/4</f>
        <v>0</v>
      </c>
      <c r="J268" s="73">
        <v>0</v>
      </c>
      <c r="K268" s="75"/>
      <c r="L268" s="75" t="s">
        <v>2863</v>
      </c>
      <c r="M268" s="75"/>
      <c r="N268" s="75" t="s">
        <v>3169</v>
      </c>
      <c r="O268" s="75"/>
      <c r="P268" s="75" t="s">
        <v>1884</v>
      </c>
      <c r="Q268" s="15"/>
    </row>
    <row r="269" spans="2:17" ht="29.4" hidden="1" customHeight="1" outlineLevel="2" x14ac:dyDescent="0.3">
      <c r="B269" s="361"/>
      <c r="C269" s="74" t="s">
        <v>466</v>
      </c>
      <c r="D269" s="74" t="s">
        <v>467</v>
      </c>
      <c r="E269" s="70" t="s">
        <v>3914</v>
      </c>
      <c r="F269" s="73" t="s">
        <v>3913</v>
      </c>
      <c r="G269" s="348">
        <v>1</v>
      </c>
      <c r="H269" s="358">
        <f>(COUNTIF(F269:F270,$G$409)+(COUNTIF(F269:F270,$G$408)*0.5))/(COUNTA(F269:F270)-COUNTIF(F269:F270,$G$410))</f>
        <v>0</v>
      </c>
      <c r="I269" s="344"/>
      <c r="J269" s="73">
        <v>1</v>
      </c>
      <c r="K269" s="75"/>
      <c r="L269" s="75"/>
      <c r="M269" s="75"/>
      <c r="N269" s="75" t="s">
        <v>3170</v>
      </c>
      <c r="O269" s="75"/>
      <c r="P269" s="75" t="s">
        <v>1880</v>
      </c>
      <c r="Q269" s="15"/>
    </row>
    <row r="270" spans="2:17" ht="29.4" hidden="1" customHeight="1" outlineLevel="2" x14ac:dyDescent="0.3">
      <c r="B270" s="361"/>
      <c r="C270" s="74" t="s">
        <v>468</v>
      </c>
      <c r="D270" s="74" t="s">
        <v>1368</v>
      </c>
      <c r="E270" s="70" t="s">
        <v>3914</v>
      </c>
      <c r="F270" s="73" t="s">
        <v>3913</v>
      </c>
      <c r="G270" s="349"/>
      <c r="H270" s="358"/>
      <c r="I270" s="344"/>
      <c r="J270" s="73">
        <v>1</v>
      </c>
      <c r="K270" s="75"/>
      <c r="L270" s="75" t="s">
        <v>165</v>
      </c>
      <c r="M270" s="75" t="s">
        <v>1811</v>
      </c>
      <c r="N270" s="75" t="s">
        <v>3141</v>
      </c>
      <c r="O270" s="75"/>
      <c r="P270" s="75"/>
      <c r="Q270" s="15"/>
    </row>
    <row r="271" spans="2:17" ht="29.4" hidden="1" customHeight="1" outlineLevel="2" x14ac:dyDescent="0.3">
      <c r="B271" s="361"/>
      <c r="C271" s="74" t="s">
        <v>469</v>
      </c>
      <c r="D271" s="74" t="s">
        <v>470</v>
      </c>
      <c r="E271" s="70" t="s">
        <v>3914</v>
      </c>
      <c r="F271" s="73" t="s">
        <v>3913</v>
      </c>
      <c r="G271" s="340">
        <v>2</v>
      </c>
      <c r="H271" s="346">
        <f>(COUNTIF(F271:F273,$G$409)+(COUNTIF(F271:F273,$G$408)*0.5))/(COUNTA(F271:F273)-COUNTIF(F271:F273,$G$410))</f>
        <v>0</v>
      </c>
      <c r="I271" s="344"/>
      <c r="J271" s="73">
        <v>2</v>
      </c>
      <c r="K271" s="75"/>
      <c r="L271" s="75"/>
      <c r="M271" s="75"/>
      <c r="N271" s="75" t="s">
        <v>3169</v>
      </c>
      <c r="O271" s="75"/>
      <c r="P271" s="75"/>
      <c r="Q271" s="15"/>
    </row>
    <row r="272" spans="2:17" ht="29.4" hidden="1" customHeight="1" outlineLevel="2" x14ac:dyDescent="0.3">
      <c r="B272" s="361"/>
      <c r="C272" s="74" t="s">
        <v>471</v>
      </c>
      <c r="D272" s="74" t="s">
        <v>472</v>
      </c>
      <c r="E272" s="70" t="s">
        <v>3914</v>
      </c>
      <c r="F272" s="73" t="s">
        <v>3913</v>
      </c>
      <c r="G272" s="341"/>
      <c r="H272" s="346"/>
      <c r="I272" s="344"/>
      <c r="J272" s="73">
        <v>2</v>
      </c>
      <c r="K272" s="80" t="s">
        <v>3970</v>
      </c>
      <c r="L272" s="75"/>
      <c r="M272" s="75"/>
      <c r="N272" s="75" t="s">
        <v>3141</v>
      </c>
      <c r="O272" s="75"/>
      <c r="P272" s="75"/>
      <c r="Q272" s="15"/>
    </row>
    <row r="273" spans="2:17" ht="29.4" hidden="1" customHeight="1" outlineLevel="2" x14ac:dyDescent="0.3">
      <c r="B273" s="361"/>
      <c r="C273" s="74" t="s">
        <v>473</v>
      </c>
      <c r="D273" s="74" t="s">
        <v>474</v>
      </c>
      <c r="E273" s="70" t="s">
        <v>3914</v>
      </c>
      <c r="F273" s="73" t="s">
        <v>3913</v>
      </c>
      <c r="G273" s="342"/>
      <c r="H273" s="346"/>
      <c r="I273" s="344"/>
      <c r="J273" s="73">
        <v>2</v>
      </c>
      <c r="K273" s="75"/>
      <c r="L273" s="75"/>
      <c r="M273" s="75" t="s">
        <v>1812</v>
      </c>
      <c r="N273" s="75" t="s">
        <v>3141</v>
      </c>
      <c r="O273" s="75"/>
      <c r="P273" s="75" t="s">
        <v>1842</v>
      </c>
      <c r="Q273" s="15"/>
    </row>
    <row r="274" spans="2:17" ht="29.4" hidden="1" customHeight="1" outlineLevel="2" x14ac:dyDescent="0.3">
      <c r="B274" s="361"/>
      <c r="C274" s="74" t="s">
        <v>475</v>
      </c>
      <c r="D274" s="74" t="s">
        <v>476</v>
      </c>
      <c r="E274" s="70" t="s">
        <v>3914</v>
      </c>
      <c r="F274" s="73" t="s">
        <v>3913</v>
      </c>
      <c r="G274" s="340">
        <v>3</v>
      </c>
      <c r="H274" s="346">
        <f>(COUNTIF(F274:F277,$G$409)+(COUNTIF(F274:F277,$G$408)*0.5))/(COUNTA(F274:F277)-COUNTIF(F274:F277,$G$410))</f>
        <v>0</v>
      </c>
      <c r="I274" s="344"/>
      <c r="J274" s="73">
        <v>3</v>
      </c>
      <c r="K274" s="75" t="s">
        <v>1332</v>
      </c>
      <c r="L274" s="75"/>
      <c r="M274" s="75"/>
      <c r="N274" s="75" t="s">
        <v>3169</v>
      </c>
      <c r="O274" s="75"/>
      <c r="P274" s="75" t="s">
        <v>1884</v>
      </c>
      <c r="Q274" s="15"/>
    </row>
    <row r="275" spans="2:17" ht="29.4" hidden="1" customHeight="1" outlineLevel="2" x14ac:dyDescent="0.3">
      <c r="B275" s="361"/>
      <c r="C275" s="74" t="s">
        <v>477</v>
      </c>
      <c r="D275" s="74" t="s">
        <v>478</v>
      </c>
      <c r="E275" s="70" t="s">
        <v>3914</v>
      </c>
      <c r="F275" s="73" t="s">
        <v>3913</v>
      </c>
      <c r="G275" s="341"/>
      <c r="H275" s="346"/>
      <c r="I275" s="344"/>
      <c r="J275" s="73">
        <v>3</v>
      </c>
      <c r="K275" s="75" t="s">
        <v>1332</v>
      </c>
      <c r="L275" s="75"/>
      <c r="M275" s="75"/>
      <c r="N275" s="75" t="s">
        <v>3141</v>
      </c>
      <c r="O275" s="75"/>
      <c r="P275" s="75" t="s">
        <v>1842</v>
      </c>
      <c r="Q275" s="15"/>
    </row>
    <row r="276" spans="2:17" ht="29.4" hidden="1" customHeight="1" outlineLevel="2" x14ac:dyDescent="0.3">
      <c r="B276" s="361"/>
      <c r="C276" s="74" t="s">
        <v>479</v>
      </c>
      <c r="D276" s="74" t="s">
        <v>480</v>
      </c>
      <c r="E276" s="70" t="s">
        <v>3914</v>
      </c>
      <c r="F276" s="73" t="s">
        <v>3913</v>
      </c>
      <c r="G276" s="341"/>
      <c r="H276" s="346"/>
      <c r="I276" s="344"/>
      <c r="J276" s="73">
        <v>3</v>
      </c>
      <c r="K276" s="75" t="s">
        <v>1332</v>
      </c>
      <c r="L276" s="75"/>
      <c r="M276" s="75"/>
      <c r="N276" s="75" t="s">
        <v>3171</v>
      </c>
      <c r="O276" s="75"/>
      <c r="P276" s="75"/>
      <c r="Q276" s="15"/>
    </row>
    <row r="277" spans="2:17" ht="29.4" hidden="1" customHeight="1" outlineLevel="2" x14ac:dyDescent="0.3">
      <c r="B277" s="361"/>
      <c r="C277" s="74" t="s">
        <v>481</v>
      </c>
      <c r="D277" s="74" t="s">
        <v>482</v>
      </c>
      <c r="E277" s="70" t="s">
        <v>3914</v>
      </c>
      <c r="F277" s="73" t="s">
        <v>3913</v>
      </c>
      <c r="G277" s="342"/>
      <c r="H277" s="346"/>
      <c r="I277" s="344"/>
      <c r="J277" s="73">
        <v>3</v>
      </c>
      <c r="K277" s="75"/>
      <c r="L277" s="75"/>
      <c r="M277" s="75"/>
      <c r="N277" s="75" t="s">
        <v>3141</v>
      </c>
      <c r="O277" s="75"/>
      <c r="P277" s="75"/>
      <c r="Q277" s="15"/>
    </row>
    <row r="278" spans="2:17" ht="29.4" hidden="1" customHeight="1" outlineLevel="2" x14ac:dyDescent="0.3">
      <c r="B278" s="361"/>
      <c r="C278" s="74" t="s">
        <v>483</v>
      </c>
      <c r="D278" s="74" t="s">
        <v>484</v>
      </c>
      <c r="E278" s="70" t="s">
        <v>3914</v>
      </c>
      <c r="F278" s="73" t="s">
        <v>3913</v>
      </c>
      <c r="G278" s="340">
        <v>4</v>
      </c>
      <c r="H278" s="346">
        <f>(COUNTIF(F278:F279,$G$409)+(COUNTIF(F278:F279,$G$408)*0.5))/(COUNTA(F278:F279)-COUNTIF(F278:F279,$G$410))</f>
        <v>0</v>
      </c>
      <c r="I278" s="344"/>
      <c r="J278" s="73">
        <v>5</v>
      </c>
      <c r="K278" s="75" t="s">
        <v>1332</v>
      </c>
      <c r="L278" s="75"/>
      <c r="M278" s="75" t="s">
        <v>756</v>
      </c>
      <c r="N278" s="75" t="s">
        <v>3141</v>
      </c>
      <c r="O278" s="75"/>
      <c r="P278" s="75"/>
      <c r="Q278" s="15"/>
    </row>
    <row r="279" spans="2:17" ht="29.4" hidden="1" customHeight="1" outlineLevel="2" x14ac:dyDescent="0.3">
      <c r="B279" s="361"/>
      <c r="C279" s="74" t="s">
        <v>485</v>
      </c>
      <c r="D279" s="74" t="s">
        <v>486</v>
      </c>
      <c r="E279" s="70" t="s">
        <v>3914</v>
      </c>
      <c r="F279" s="73" t="s">
        <v>3913</v>
      </c>
      <c r="G279" s="342"/>
      <c r="H279" s="346"/>
      <c r="I279" s="344"/>
      <c r="J279" s="73">
        <v>5</v>
      </c>
      <c r="K279" s="75"/>
      <c r="L279" s="75"/>
      <c r="M279" s="75" t="s">
        <v>1813</v>
      </c>
      <c r="N279" s="75" t="s">
        <v>3141</v>
      </c>
      <c r="O279" s="75"/>
      <c r="P279" s="75"/>
      <c r="Q279" s="15"/>
    </row>
    <row r="280" spans="2:17" ht="29.4" customHeight="1" outlineLevel="1" collapsed="1" x14ac:dyDescent="0.3">
      <c r="B280" s="339" t="str">
        <f>'Результаты аудита'!D29</f>
        <v>Анализ событий информационной безопасности</v>
      </c>
      <c r="C280" s="74" t="s">
        <v>487</v>
      </c>
      <c r="D280" s="74" t="s">
        <v>488</v>
      </c>
      <c r="E280" s="70" t="s">
        <v>3914</v>
      </c>
      <c r="F280" s="73" t="s">
        <v>3913</v>
      </c>
      <c r="G280" s="69">
        <v>0</v>
      </c>
      <c r="H280" s="70">
        <f>(COUNTIF(F280:F280,$F$407))/COUNTA(F280:F280)</f>
        <v>0</v>
      </c>
      <c r="I280" s="344">
        <f>SUM(H281:H282)/2</f>
        <v>0</v>
      </c>
      <c r="J280" s="73">
        <v>0</v>
      </c>
      <c r="K280" s="75"/>
      <c r="L280" s="75" t="s">
        <v>2865</v>
      </c>
      <c r="M280" s="75"/>
      <c r="N280" s="75"/>
      <c r="O280" s="75"/>
      <c r="P280" s="75" t="s">
        <v>1841</v>
      </c>
      <c r="Q280" s="15"/>
    </row>
    <row r="281" spans="2:17" ht="29.4" hidden="1" customHeight="1" outlineLevel="2" x14ac:dyDescent="0.3">
      <c r="B281" s="339"/>
      <c r="C281" s="74" t="s">
        <v>489</v>
      </c>
      <c r="D281" s="74" t="s">
        <v>2129</v>
      </c>
      <c r="E281" s="70" t="s">
        <v>3914</v>
      </c>
      <c r="F281" s="73" t="s">
        <v>3913</v>
      </c>
      <c r="G281" s="71">
        <v>2</v>
      </c>
      <c r="H281" s="37">
        <f>(COUNTIF(F281,$G$409)+(COUNTIF(F281,$G$408)*0.5))/COUNTA(F281)</f>
        <v>0</v>
      </c>
      <c r="I281" s="344"/>
      <c r="J281" s="73">
        <v>2</v>
      </c>
      <c r="K281" s="75"/>
      <c r="L281" s="75" t="s">
        <v>2864</v>
      </c>
      <c r="M281" s="75"/>
      <c r="N281" s="75"/>
      <c r="O281" s="75"/>
      <c r="P281" s="75" t="s">
        <v>1841</v>
      </c>
      <c r="Q281" s="15"/>
    </row>
    <row r="282" spans="2:17" ht="29.4" hidden="1" customHeight="1" outlineLevel="2" x14ac:dyDescent="0.3">
      <c r="B282" s="339"/>
      <c r="C282" s="74" t="s">
        <v>490</v>
      </c>
      <c r="D282" s="74" t="s">
        <v>2133</v>
      </c>
      <c r="E282" s="70" t="s">
        <v>3914</v>
      </c>
      <c r="F282" s="73" t="s">
        <v>3913</v>
      </c>
      <c r="G282" s="71">
        <v>3</v>
      </c>
      <c r="H282" s="37">
        <f>(COUNTIF(F282,$G$409)+(COUNTIF(F282,$G$408)*0.5))/COUNTA(F282)</f>
        <v>0</v>
      </c>
      <c r="I282" s="344"/>
      <c r="J282" s="73">
        <v>3</v>
      </c>
      <c r="K282" s="75" t="s">
        <v>1333</v>
      </c>
      <c r="L282" s="75" t="s">
        <v>2866</v>
      </c>
      <c r="M282" s="75"/>
      <c r="N282" s="75" t="s">
        <v>3141</v>
      </c>
      <c r="O282" s="75"/>
      <c r="P282" s="75" t="s">
        <v>1841</v>
      </c>
      <c r="Q282" s="15"/>
    </row>
    <row r="283" spans="2:17" ht="3.6" customHeight="1" outlineLevel="1" collapsed="1" x14ac:dyDescent="0.3">
      <c r="B283" s="36"/>
      <c r="C283" s="74"/>
      <c r="D283" s="74"/>
      <c r="E283" s="70"/>
      <c r="F283" s="73"/>
      <c r="G283" s="71"/>
      <c r="H283" s="37"/>
      <c r="I283" s="78"/>
      <c r="J283" s="73"/>
      <c r="K283" s="75"/>
      <c r="L283" s="75"/>
      <c r="M283" s="75"/>
      <c r="N283" s="75"/>
      <c r="O283" s="75"/>
      <c r="P283" s="13"/>
      <c r="Q283" s="15"/>
    </row>
    <row r="284" spans="2:17" ht="29.4" customHeight="1" x14ac:dyDescent="0.3">
      <c r="B284" s="355" t="s">
        <v>491</v>
      </c>
      <c r="C284" s="355"/>
      <c r="D284" s="355"/>
      <c r="E284" s="114"/>
      <c r="F284" s="115"/>
      <c r="G284" s="116"/>
      <c r="H284" s="355"/>
      <c r="I284" s="355"/>
      <c r="J284" s="355"/>
      <c r="K284" s="355"/>
      <c r="L284" s="355"/>
      <c r="M284" s="355"/>
      <c r="N284" s="355"/>
      <c r="O284" s="355"/>
      <c r="P284" s="355"/>
      <c r="Q284" s="296"/>
    </row>
    <row r="285" spans="2:17" ht="29.4" customHeight="1" outlineLevel="1" x14ac:dyDescent="0.3">
      <c r="B285" s="353" t="str">
        <f>'Результаты аудита'!D30</f>
        <v>Обучение специалистов</v>
      </c>
      <c r="C285" s="82" t="s">
        <v>492</v>
      </c>
      <c r="D285" s="82" t="s">
        <v>493</v>
      </c>
      <c r="E285" s="70" t="s">
        <v>3914</v>
      </c>
      <c r="F285" s="129" t="s">
        <v>3913</v>
      </c>
      <c r="G285" s="71">
        <v>0</v>
      </c>
      <c r="H285" s="70">
        <f>(COUNTIF(F285:F285,$F$407))/COUNTA(F285:F285)</f>
        <v>0</v>
      </c>
      <c r="I285" s="344">
        <f>SUM(H286:H294)/4</f>
        <v>0</v>
      </c>
      <c r="J285" s="73">
        <v>0</v>
      </c>
      <c r="K285" s="75"/>
      <c r="L285" s="75" t="s">
        <v>140</v>
      </c>
      <c r="M285" s="73" t="s">
        <v>1816</v>
      </c>
      <c r="N285" s="75" t="s">
        <v>3172</v>
      </c>
      <c r="O285" s="75" t="s">
        <v>2296</v>
      </c>
      <c r="P285" s="75" t="s">
        <v>1885</v>
      </c>
      <c r="Q285" s="15"/>
    </row>
    <row r="286" spans="2:17" ht="29.4" hidden="1" customHeight="1" outlineLevel="2" x14ac:dyDescent="0.3">
      <c r="B286" s="353"/>
      <c r="C286" s="82" t="s">
        <v>494</v>
      </c>
      <c r="D286" s="82" t="s">
        <v>495</v>
      </c>
      <c r="E286" s="70" t="s">
        <v>3916</v>
      </c>
      <c r="F286" s="73" t="s">
        <v>3913</v>
      </c>
      <c r="G286" s="340">
        <v>1</v>
      </c>
      <c r="H286" s="346">
        <f>(COUNTIF(F286:F287,$G$409)+(COUNTIF(F286:F287,$G$408)*0.5))/(COUNTA(F286:F287)-COUNTIF(F286:F287,$G$410))</f>
        <v>0</v>
      </c>
      <c r="I286" s="344"/>
      <c r="J286" s="73">
        <v>1</v>
      </c>
      <c r="K286" s="75"/>
      <c r="L286" s="75" t="s">
        <v>2867</v>
      </c>
      <c r="M286" s="73" t="s">
        <v>1816</v>
      </c>
      <c r="N286" s="75" t="s">
        <v>3172</v>
      </c>
      <c r="O286" s="75"/>
      <c r="P286" s="75" t="s">
        <v>1886</v>
      </c>
      <c r="Q286" s="15"/>
    </row>
    <row r="287" spans="2:17" ht="29.4" hidden="1" customHeight="1" outlineLevel="2" x14ac:dyDescent="0.3">
      <c r="B287" s="353"/>
      <c r="C287" s="82" t="s">
        <v>497</v>
      </c>
      <c r="D287" s="82" t="s">
        <v>498</v>
      </c>
      <c r="E287" s="70" t="s">
        <v>3914</v>
      </c>
      <c r="F287" s="73" t="s">
        <v>3913</v>
      </c>
      <c r="G287" s="342"/>
      <c r="H287" s="346"/>
      <c r="I287" s="344"/>
      <c r="J287" s="73">
        <v>1</v>
      </c>
      <c r="K287" s="75"/>
      <c r="L287" s="75" t="s">
        <v>2868</v>
      </c>
      <c r="M287" s="73"/>
      <c r="N287" s="75" t="s">
        <v>3172</v>
      </c>
      <c r="O287" s="75" t="s">
        <v>2297</v>
      </c>
      <c r="P287" s="75" t="s">
        <v>1885</v>
      </c>
      <c r="Q287" s="15"/>
    </row>
    <row r="288" spans="2:17" ht="29.4" hidden="1" customHeight="1" outlineLevel="2" x14ac:dyDescent="0.3">
      <c r="B288" s="353"/>
      <c r="C288" s="82" t="s">
        <v>499</v>
      </c>
      <c r="D288" s="82" t="s">
        <v>500</v>
      </c>
      <c r="E288" s="70" t="s">
        <v>3914</v>
      </c>
      <c r="F288" s="73" t="s">
        <v>3913</v>
      </c>
      <c r="G288" s="340">
        <v>2</v>
      </c>
      <c r="H288" s="346">
        <f>(COUNTIF(F288:F291,$G$409)+(COUNTIF(F288:F291,$G$408)*0.5))/(COUNTA(F288:F291)-COUNTIF(F288:F291,$G$410))</f>
        <v>0</v>
      </c>
      <c r="I288" s="344"/>
      <c r="J288" s="73">
        <v>3</v>
      </c>
      <c r="K288" s="75" t="s">
        <v>1334</v>
      </c>
      <c r="L288" s="75" t="s">
        <v>2867</v>
      </c>
      <c r="M288" s="73" t="s">
        <v>1815</v>
      </c>
      <c r="N288" s="75" t="s">
        <v>3172</v>
      </c>
      <c r="O288" s="75" t="s">
        <v>2297</v>
      </c>
      <c r="P288" s="75" t="s">
        <v>1885</v>
      </c>
      <c r="Q288" s="15"/>
    </row>
    <row r="289" spans="2:17" ht="29.4" hidden="1" customHeight="1" outlineLevel="2" x14ac:dyDescent="0.3">
      <c r="B289" s="353"/>
      <c r="C289" s="82" t="s">
        <v>501</v>
      </c>
      <c r="D289" s="82" t="s">
        <v>502</v>
      </c>
      <c r="E289" s="70" t="s">
        <v>3916</v>
      </c>
      <c r="F289" s="73" t="s">
        <v>3913</v>
      </c>
      <c r="G289" s="341"/>
      <c r="H289" s="346"/>
      <c r="I289" s="344"/>
      <c r="J289" s="73">
        <v>3</v>
      </c>
      <c r="K289" s="75"/>
      <c r="L289" s="75" t="s">
        <v>2867</v>
      </c>
      <c r="M289" s="73" t="s">
        <v>1817</v>
      </c>
      <c r="N289" s="75" t="s">
        <v>3173</v>
      </c>
      <c r="O289" s="75"/>
      <c r="P289" s="75"/>
      <c r="Q289" s="15"/>
    </row>
    <row r="290" spans="2:17" ht="29.4" hidden="1" customHeight="1" outlineLevel="2" x14ac:dyDescent="0.3">
      <c r="B290" s="353"/>
      <c r="C290" s="82" t="s">
        <v>503</v>
      </c>
      <c r="D290" s="82" t="s">
        <v>504</v>
      </c>
      <c r="E290" s="70" t="s">
        <v>3916</v>
      </c>
      <c r="F290" s="73" t="s">
        <v>3913</v>
      </c>
      <c r="G290" s="341"/>
      <c r="H290" s="346"/>
      <c r="I290" s="344"/>
      <c r="J290" s="73">
        <v>3</v>
      </c>
      <c r="K290" s="75" t="s">
        <v>505</v>
      </c>
      <c r="L290" s="75" t="s">
        <v>2869</v>
      </c>
      <c r="M290" s="73" t="s">
        <v>1815</v>
      </c>
      <c r="N290" s="75" t="s">
        <v>3172</v>
      </c>
      <c r="O290" s="75"/>
      <c r="P290" s="75" t="s">
        <v>1887</v>
      </c>
      <c r="Q290" s="15"/>
    </row>
    <row r="291" spans="2:17" ht="29.4" hidden="1" customHeight="1" outlineLevel="2" x14ac:dyDescent="0.3">
      <c r="B291" s="353"/>
      <c r="C291" s="82" t="s">
        <v>506</v>
      </c>
      <c r="D291" s="82" t="s">
        <v>507</v>
      </c>
      <c r="E291" s="70" t="s">
        <v>3916</v>
      </c>
      <c r="F291" s="73" t="s">
        <v>3913</v>
      </c>
      <c r="G291" s="342"/>
      <c r="H291" s="346"/>
      <c r="I291" s="344"/>
      <c r="J291" s="73">
        <v>3</v>
      </c>
      <c r="K291" s="75"/>
      <c r="L291" s="75"/>
      <c r="M291" s="73" t="s">
        <v>1817</v>
      </c>
      <c r="N291" s="75"/>
      <c r="O291" s="75"/>
      <c r="P291" s="75" t="s">
        <v>1888</v>
      </c>
      <c r="Q291" s="15"/>
    </row>
    <row r="292" spans="2:17" ht="29.4" hidden="1" customHeight="1" outlineLevel="2" x14ac:dyDescent="0.3">
      <c r="B292" s="353"/>
      <c r="C292" s="82" t="s">
        <v>508</v>
      </c>
      <c r="D292" s="82" t="s">
        <v>509</v>
      </c>
      <c r="E292" s="70" t="s">
        <v>3916</v>
      </c>
      <c r="F292" s="73" t="s">
        <v>3913</v>
      </c>
      <c r="G292" s="340">
        <v>3</v>
      </c>
      <c r="H292" s="346">
        <f>(COUNTIF(F292:F293,$G$409)+(COUNTIF(F292:F293,$G$408)*0.5))/(COUNTA(F292:F293)-COUNTIF(F292:F293,$G$410))</f>
        <v>0</v>
      </c>
      <c r="I292" s="344"/>
      <c r="J292" s="73">
        <v>5</v>
      </c>
      <c r="K292" s="80" t="s">
        <v>1335</v>
      </c>
      <c r="L292" s="75" t="s">
        <v>2870</v>
      </c>
      <c r="M292" s="73" t="s">
        <v>1818</v>
      </c>
      <c r="N292" s="75"/>
      <c r="O292" s="75"/>
      <c r="P292" s="75" t="s">
        <v>1889</v>
      </c>
      <c r="Q292" s="15"/>
    </row>
    <row r="293" spans="2:17" ht="29.4" hidden="1" customHeight="1" outlineLevel="2" x14ac:dyDescent="0.3">
      <c r="B293" s="353"/>
      <c r="C293" s="82" t="s">
        <v>510</v>
      </c>
      <c r="D293" s="82" t="s">
        <v>511</v>
      </c>
      <c r="E293" s="70" t="s">
        <v>3916</v>
      </c>
      <c r="F293" s="73" t="s">
        <v>3913</v>
      </c>
      <c r="G293" s="342"/>
      <c r="H293" s="346"/>
      <c r="I293" s="344"/>
      <c r="J293" s="73">
        <v>5</v>
      </c>
      <c r="K293" s="75" t="s">
        <v>512</v>
      </c>
      <c r="L293" s="75"/>
      <c r="M293" s="75"/>
      <c r="N293" s="75"/>
      <c r="O293" s="75"/>
      <c r="P293" s="75" t="s">
        <v>1890</v>
      </c>
      <c r="Q293" s="15"/>
    </row>
    <row r="294" spans="2:17" ht="29.4" hidden="1" customHeight="1" outlineLevel="2" x14ac:dyDescent="0.3">
      <c r="B294" s="353"/>
      <c r="C294" s="82" t="s">
        <v>513</v>
      </c>
      <c r="D294" s="82" t="s">
        <v>514</v>
      </c>
      <c r="E294" s="70" t="s">
        <v>3914</v>
      </c>
      <c r="F294" s="73" t="s">
        <v>3913</v>
      </c>
      <c r="G294" s="71">
        <v>4</v>
      </c>
      <c r="H294" s="37">
        <f>(COUNTIF(F294,$G$409)+(COUNTIF(F294,$G$408)*0.5))/COUNTA(F294)</f>
        <v>0</v>
      </c>
      <c r="I294" s="344"/>
      <c r="J294" s="73">
        <v>6</v>
      </c>
      <c r="K294" s="75"/>
      <c r="L294" s="75"/>
      <c r="M294" s="75"/>
      <c r="N294" s="75"/>
      <c r="O294" s="75"/>
      <c r="P294" s="75" t="s">
        <v>1888</v>
      </c>
      <c r="Q294" s="15"/>
    </row>
    <row r="295" spans="2:17" ht="29.4" customHeight="1" outlineLevel="1" collapsed="1" x14ac:dyDescent="0.3">
      <c r="B295" s="383" t="str">
        <f>'Результаты аудита'!D31</f>
        <v>Управление базой знаний DSO</v>
      </c>
      <c r="C295" s="82" t="s">
        <v>515</v>
      </c>
      <c r="D295" s="82" t="s">
        <v>516</v>
      </c>
      <c r="E295" s="70" t="s">
        <v>3914</v>
      </c>
      <c r="F295" s="73" t="s">
        <v>3913</v>
      </c>
      <c r="G295" s="71">
        <v>0</v>
      </c>
      <c r="H295" s="70">
        <f>(COUNTIF(F295:F295,$F$407))/COUNTA(F295:F295)</f>
        <v>0</v>
      </c>
      <c r="I295" s="344">
        <f>SUM(H296:H303)/4</f>
        <v>0</v>
      </c>
      <c r="J295" s="73">
        <v>0</v>
      </c>
      <c r="K295" s="75"/>
      <c r="L295" s="75"/>
      <c r="M295" s="75" t="s">
        <v>1818</v>
      </c>
      <c r="N295" s="75"/>
      <c r="O295" s="75"/>
      <c r="P295" s="75" t="s">
        <v>1891</v>
      </c>
      <c r="Q295" s="15"/>
    </row>
    <row r="296" spans="2:17" ht="29.4" hidden="1" customHeight="1" outlineLevel="2" x14ac:dyDescent="0.3">
      <c r="B296" s="383"/>
      <c r="C296" s="82" t="s">
        <v>517</v>
      </c>
      <c r="D296" s="82" t="s">
        <v>518</v>
      </c>
      <c r="E296" s="70" t="s">
        <v>3914</v>
      </c>
      <c r="F296" s="73" t="s">
        <v>3913</v>
      </c>
      <c r="G296" s="71">
        <v>1</v>
      </c>
      <c r="H296" s="37">
        <f>(COUNTIF(F296,$G$409)+(COUNTIF(F296,$G$408)*0.5))/COUNTA(F296)</f>
        <v>0</v>
      </c>
      <c r="I296" s="344"/>
      <c r="J296" s="73">
        <v>1</v>
      </c>
      <c r="K296" s="75"/>
      <c r="L296" s="75"/>
      <c r="M296" s="75"/>
      <c r="N296" s="75"/>
      <c r="O296" s="75"/>
      <c r="P296" s="75" t="s">
        <v>1892</v>
      </c>
      <c r="Q296" s="15"/>
    </row>
    <row r="297" spans="2:17" ht="29.4" hidden="1" customHeight="1" outlineLevel="2" x14ac:dyDescent="0.3">
      <c r="B297" s="383"/>
      <c r="C297" s="82" t="s">
        <v>519</v>
      </c>
      <c r="D297" s="82" t="s">
        <v>520</v>
      </c>
      <c r="E297" s="70" t="s">
        <v>3916</v>
      </c>
      <c r="F297" s="73" t="s">
        <v>3913</v>
      </c>
      <c r="G297" s="340">
        <v>2</v>
      </c>
      <c r="H297" s="346">
        <f>(COUNTIF(F297:F298,$G$409)+(COUNTIF(F297:F298,$G$408)*0.5))/(COUNTA(F297:F298)-COUNTIF(F297:F298,$G$410))</f>
        <v>0</v>
      </c>
      <c r="I297" s="344"/>
      <c r="J297" s="73">
        <v>3</v>
      </c>
      <c r="K297" s="80" t="s">
        <v>3971</v>
      </c>
      <c r="L297" s="76"/>
      <c r="M297" s="75"/>
      <c r="N297" s="75"/>
      <c r="O297" s="75"/>
      <c r="P297" s="75" t="s">
        <v>1893</v>
      </c>
      <c r="Q297" s="15"/>
    </row>
    <row r="298" spans="2:17" ht="29.4" hidden="1" customHeight="1" outlineLevel="2" x14ac:dyDescent="0.3">
      <c r="B298" s="383"/>
      <c r="C298" s="82" t="s">
        <v>521</v>
      </c>
      <c r="D298" s="82" t="s">
        <v>522</v>
      </c>
      <c r="E298" s="70" t="s">
        <v>3916</v>
      </c>
      <c r="F298" s="73" t="s">
        <v>3913</v>
      </c>
      <c r="G298" s="342"/>
      <c r="H298" s="346"/>
      <c r="I298" s="344"/>
      <c r="J298" s="73">
        <v>3</v>
      </c>
      <c r="K298" s="80" t="s">
        <v>1336</v>
      </c>
      <c r="L298" s="75"/>
      <c r="M298" s="75"/>
      <c r="N298" s="75"/>
      <c r="O298" s="75"/>
      <c r="P298" s="75" t="s">
        <v>1894</v>
      </c>
      <c r="Q298" s="15"/>
    </row>
    <row r="299" spans="2:17" ht="29.4" hidden="1" customHeight="1" outlineLevel="2" x14ac:dyDescent="0.3">
      <c r="B299" s="383"/>
      <c r="C299" s="82" t="s">
        <v>523</v>
      </c>
      <c r="D299" s="82" t="s">
        <v>524</v>
      </c>
      <c r="E299" s="70" t="s">
        <v>3916</v>
      </c>
      <c r="F299" s="73" t="s">
        <v>3913</v>
      </c>
      <c r="G299" s="340">
        <v>3</v>
      </c>
      <c r="H299" s="346">
        <f>(COUNTIF(F299:F301,$G$409)+(COUNTIF(F299:F301,$G$408)*0.5))/(COUNTA(F299:F301)-COUNTIF(F299:F301,$G$410))</f>
        <v>0</v>
      </c>
      <c r="I299" s="344"/>
      <c r="J299" s="73">
        <v>4</v>
      </c>
      <c r="K299" s="80" t="s">
        <v>3972</v>
      </c>
      <c r="L299" s="75"/>
      <c r="M299" s="75"/>
      <c r="N299" s="75"/>
      <c r="O299" s="75"/>
      <c r="P299" s="75" t="s">
        <v>1895</v>
      </c>
      <c r="Q299" s="15"/>
    </row>
    <row r="300" spans="2:17" ht="29.4" hidden="1" customHeight="1" outlineLevel="2" x14ac:dyDescent="0.3">
      <c r="B300" s="383"/>
      <c r="C300" s="82" t="s">
        <v>525</v>
      </c>
      <c r="D300" s="82" t="s">
        <v>526</v>
      </c>
      <c r="E300" s="70" t="s">
        <v>3916</v>
      </c>
      <c r="F300" s="73" t="s">
        <v>3913</v>
      </c>
      <c r="G300" s="341"/>
      <c r="H300" s="346"/>
      <c r="I300" s="344"/>
      <c r="J300" s="73">
        <v>4</v>
      </c>
      <c r="K300" s="80" t="s">
        <v>3973</v>
      </c>
      <c r="L300" s="75"/>
      <c r="M300" s="75"/>
      <c r="N300" s="75"/>
      <c r="O300" s="75"/>
      <c r="P300" s="75" t="s">
        <v>1894</v>
      </c>
      <c r="Q300" s="15"/>
    </row>
    <row r="301" spans="2:17" ht="29.4" hidden="1" customHeight="1" outlineLevel="2" x14ac:dyDescent="0.3">
      <c r="B301" s="383"/>
      <c r="C301" s="82" t="s">
        <v>2146</v>
      </c>
      <c r="D301" s="82" t="s">
        <v>2147</v>
      </c>
      <c r="E301" s="70" t="s">
        <v>3916</v>
      </c>
      <c r="F301" s="73" t="s">
        <v>3913</v>
      </c>
      <c r="G301" s="342"/>
      <c r="H301" s="346"/>
      <c r="I301" s="344"/>
      <c r="J301" s="73">
        <v>4</v>
      </c>
      <c r="K301" s="75"/>
      <c r="L301" s="75"/>
      <c r="M301" s="75"/>
      <c r="N301" s="75"/>
      <c r="O301" s="75"/>
      <c r="P301" s="75"/>
      <c r="Q301" s="15"/>
    </row>
    <row r="302" spans="2:17" ht="29.4" hidden="1" customHeight="1" outlineLevel="2" x14ac:dyDescent="0.3">
      <c r="B302" s="383"/>
      <c r="C302" s="82" t="s">
        <v>527</v>
      </c>
      <c r="D302" s="82" t="s">
        <v>528</v>
      </c>
      <c r="E302" s="70" t="s">
        <v>3916</v>
      </c>
      <c r="F302" s="73" t="s">
        <v>3913</v>
      </c>
      <c r="G302" s="348">
        <v>4</v>
      </c>
      <c r="H302" s="358">
        <f>(COUNTIF(F302:F303,$G$409)+(COUNTIF(F302:F303,$G$408)*0.5))/(COUNTA(F302:F303)-COUNTIF(F302:F303,$G$410))</f>
        <v>0</v>
      </c>
      <c r="I302" s="344"/>
      <c r="J302" s="73">
        <v>5</v>
      </c>
      <c r="K302" s="75"/>
      <c r="L302" s="75"/>
      <c r="M302" s="75"/>
      <c r="N302" s="75" t="s">
        <v>3141</v>
      </c>
      <c r="O302" s="75"/>
      <c r="P302" s="75"/>
      <c r="Q302" s="15"/>
    </row>
    <row r="303" spans="2:17" ht="29.4" hidden="1" customHeight="1" outlineLevel="2" x14ac:dyDescent="0.3">
      <c r="B303" s="383"/>
      <c r="C303" s="82" t="s">
        <v>2148</v>
      </c>
      <c r="D303" s="82" t="s">
        <v>2149</v>
      </c>
      <c r="E303" s="70" t="s">
        <v>3914</v>
      </c>
      <c r="F303" s="73" t="s">
        <v>3913</v>
      </c>
      <c r="G303" s="349"/>
      <c r="H303" s="358"/>
      <c r="I303" s="344"/>
      <c r="J303" s="73">
        <v>6</v>
      </c>
      <c r="K303" s="75"/>
      <c r="L303" s="75"/>
      <c r="M303" s="75"/>
      <c r="N303" s="75"/>
      <c r="O303" s="75"/>
      <c r="P303" s="75"/>
      <c r="Q303" s="15"/>
    </row>
    <row r="304" spans="2:17" ht="3.6" customHeight="1" outlineLevel="1" collapsed="1" x14ac:dyDescent="0.3">
      <c r="B304" s="36"/>
      <c r="C304" s="74"/>
      <c r="D304" s="74"/>
      <c r="E304" s="70"/>
      <c r="F304" s="73"/>
      <c r="G304" s="71"/>
      <c r="H304" s="37"/>
      <c r="I304" s="78"/>
      <c r="J304" s="73"/>
      <c r="K304" s="75"/>
      <c r="L304" s="75"/>
      <c r="M304" s="75"/>
      <c r="N304" s="75"/>
      <c r="O304" s="75"/>
      <c r="P304" s="13"/>
      <c r="Q304" s="15"/>
    </row>
    <row r="305" spans="2:17" ht="29.4" customHeight="1" x14ac:dyDescent="0.3">
      <c r="B305" s="351" t="s">
        <v>529</v>
      </c>
      <c r="C305" s="351"/>
      <c r="D305" s="351"/>
      <c r="E305" s="117"/>
      <c r="F305" s="118"/>
      <c r="G305" s="119"/>
      <c r="H305" s="351"/>
      <c r="I305" s="351"/>
      <c r="J305" s="351"/>
      <c r="K305" s="351"/>
      <c r="L305" s="351"/>
      <c r="M305" s="351"/>
      <c r="N305" s="351"/>
      <c r="O305" s="351"/>
      <c r="P305" s="351"/>
      <c r="Q305" s="293"/>
    </row>
    <row r="306" spans="2:17" ht="29.4" customHeight="1" outlineLevel="1" x14ac:dyDescent="0.3">
      <c r="B306" s="354" t="str">
        <f>'Результаты аудита'!D32</f>
        <v>Оценка критичности приложений и моделирование угроз</v>
      </c>
      <c r="C306" s="82" t="s">
        <v>530</v>
      </c>
      <c r="D306" s="82" t="s">
        <v>531</v>
      </c>
      <c r="E306" s="70" t="s">
        <v>3914</v>
      </c>
      <c r="F306" s="73" t="s">
        <v>3913</v>
      </c>
      <c r="G306" s="69">
        <v>0</v>
      </c>
      <c r="H306" s="70">
        <f>(COUNTIF(F306:F306,$F$407))/COUNTA(F306:F306)</f>
        <v>0</v>
      </c>
      <c r="I306" s="344">
        <f>SUM(H307:H316)/4</f>
        <v>0</v>
      </c>
      <c r="J306" s="73">
        <v>0</v>
      </c>
      <c r="K306" s="75"/>
      <c r="L306" s="75" t="s">
        <v>2871</v>
      </c>
      <c r="M306" s="75" t="s">
        <v>677</v>
      </c>
      <c r="N306" s="75" t="s">
        <v>3174</v>
      </c>
      <c r="O306" s="75" t="s">
        <v>2308</v>
      </c>
      <c r="P306" s="75" t="s">
        <v>1896</v>
      </c>
      <c r="Q306" s="15"/>
    </row>
    <row r="307" spans="2:17" ht="29.4" hidden="1" customHeight="1" outlineLevel="2" x14ac:dyDescent="0.3">
      <c r="B307" s="354"/>
      <c r="C307" s="82" t="s">
        <v>532</v>
      </c>
      <c r="D307" s="82" t="s">
        <v>533</v>
      </c>
      <c r="E307" s="70" t="s">
        <v>3914</v>
      </c>
      <c r="F307" s="73" t="s">
        <v>3913</v>
      </c>
      <c r="G307" s="340">
        <v>1</v>
      </c>
      <c r="H307" s="346">
        <f>(COUNTIF(F307:F309,$G$409)+(COUNTIF(F307:F309,$G$408)*0.5))/(COUNTA(F307:F309)-COUNTIF(F307:F309,$G$410))</f>
        <v>0</v>
      </c>
      <c r="I307" s="344"/>
      <c r="J307" s="73">
        <v>2</v>
      </c>
      <c r="K307" s="75"/>
      <c r="L307" s="75"/>
      <c r="M307" s="75"/>
      <c r="N307" s="75"/>
      <c r="O307" s="75"/>
      <c r="P307" s="75" t="s">
        <v>1897</v>
      </c>
      <c r="Q307" s="15"/>
    </row>
    <row r="308" spans="2:17" ht="29.4" hidden="1" customHeight="1" outlineLevel="2" x14ac:dyDescent="0.3">
      <c r="B308" s="354"/>
      <c r="C308" s="82" t="s">
        <v>534</v>
      </c>
      <c r="D308" s="82" t="s">
        <v>535</v>
      </c>
      <c r="E308" s="70" t="s">
        <v>3914</v>
      </c>
      <c r="F308" s="73" t="s">
        <v>3913</v>
      </c>
      <c r="G308" s="341"/>
      <c r="H308" s="346"/>
      <c r="I308" s="344"/>
      <c r="J308" s="73">
        <v>2</v>
      </c>
      <c r="K308" s="75" t="s">
        <v>1337</v>
      </c>
      <c r="L308" s="75"/>
      <c r="M308" s="75" t="s">
        <v>496</v>
      </c>
      <c r="N308" s="75"/>
      <c r="O308" s="75"/>
      <c r="P308" s="75" t="s">
        <v>1898</v>
      </c>
      <c r="Q308" s="15"/>
    </row>
    <row r="309" spans="2:17" ht="29.4" hidden="1" customHeight="1" outlineLevel="2" x14ac:dyDescent="0.3">
      <c r="B309" s="354"/>
      <c r="C309" s="82" t="s">
        <v>536</v>
      </c>
      <c r="D309" s="82" t="s">
        <v>537</v>
      </c>
      <c r="E309" s="70" t="s">
        <v>3914</v>
      </c>
      <c r="F309" s="73" t="s">
        <v>3913</v>
      </c>
      <c r="G309" s="342"/>
      <c r="H309" s="346"/>
      <c r="I309" s="344"/>
      <c r="J309" s="73">
        <v>2</v>
      </c>
      <c r="K309" s="75" t="s">
        <v>1337</v>
      </c>
      <c r="L309" s="75"/>
      <c r="M309" s="75" t="s">
        <v>496</v>
      </c>
      <c r="N309" s="75"/>
      <c r="O309" s="75"/>
      <c r="P309" s="75" t="s">
        <v>1899</v>
      </c>
      <c r="Q309" s="15"/>
    </row>
    <row r="310" spans="2:17" ht="29.4" hidden="1" customHeight="1" outlineLevel="2" x14ac:dyDescent="0.3">
      <c r="B310" s="354"/>
      <c r="C310" s="82" t="s">
        <v>538</v>
      </c>
      <c r="D310" s="82" t="s">
        <v>539</v>
      </c>
      <c r="E310" s="70" t="s">
        <v>3914</v>
      </c>
      <c r="F310" s="73" t="s">
        <v>3913</v>
      </c>
      <c r="G310" s="340">
        <v>2</v>
      </c>
      <c r="H310" s="346">
        <f>(COUNTIF(F310:F312,$G$409)+(COUNTIF(F310:F312,$G$408)*0.5))/(COUNTA(F310:F312)-COUNTIF(F310:F312,$G$410))</f>
        <v>0</v>
      </c>
      <c r="I310" s="344"/>
      <c r="J310" s="73">
        <v>3</v>
      </c>
      <c r="K310" s="75"/>
      <c r="L310" s="75" t="s">
        <v>2872</v>
      </c>
      <c r="M310" s="75"/>
      <c r="N310" s="75"/>
      <c r="O310" s="75"/>
      <c r="P310" s="75" t="s">
        <v>1899</v>
      </c>
      <c r="Q310" s="15"/>
    </row>
    <row r="311" spans="2:17" ht="29.4" hidden="1" customHeight="1" outlineLevel="2" x14ac:dyDescent="0.3">
      <c r="B311" s="354"/>
      <c r="C311" s="82" t="s">
        <v>540</v>
      </c>
      <c r="D311" s="82" t="s">
        <v>541</v>
      </c>
      <c r="E311" s="70" t="s">
        <v>3914</v>
      </c>
      <c r="F311" s="73" t="s">
        <v>3913</v>
      </c>
      <c r="G311" s="341"/>
      <c r="H311" s="346"/>
      <c r="I311" s="344"/>
      <c r="J311" s="73">
        <v>3</v>
      </c>
      <c r="K311" s="75" t="s">
        <v>1338</v>
      </c>
      <c r="L311" s="75"/>
      <c r="M311" s="75"/>
      <c r="N311" s="75" t="s">
        <v>3174</v>
      </c>
      <c r="O311" s="75" t="s">
        <v>2308</v>
      </c>
      <c r="P311" s="75" t="s">
        <v>1899</v>
      </c>
      <c r="Q311" s="15"/>
    </row>
    <row r="312" spans="2:17" ht="29.4" hidden="1" customHeight="1" outlineLevel="2" x14ac:dyDescent="0.3">
      <c r="B312" s="354"/>
      <c r="C312" s="82" t="s">
        <v>542</v>
      </c>
      <c r="D312" s="82" t="s">
        <v>543</v>
      </c>
      <c r="E312" s="70" t="s">
        <v>3914</v>
      </c>
      <c r="F312" s="73" t="s">
        <v>3913</v>
      </c>
      <c r="G312" s="342"/>
      <c r="H312" s="346"/>
      <c r="I312" s="344"/>
      <c r="J312" s="73">
        <v>3</v>
      </c>
      <c r="K312" s="84" t="s">
        <v>1337</v>
      </c>
      <c r="L312" s="84"/>
      <c r="M312" s="75" t="s">
        <v>757</v>
      </c>
      <c r="N312" s="75"/>
      <c r="O312" s="75"/>
      <c r="P312" s="75" t="s">
        <v>1898</v>
      </c>
      <c r="Q312" s="15"/>
    </row>
    <row r="313" spans="2:17" ht="29.4" hidden="1" customHeight="1" outlineLevel="2" x14ac:dyDescent="0.3">
      <c r="B313" s="354"/>
      <c r="C313" s="82" t="s">
        <v>545</v>
      </c>
      <c r="D313" s="82" t="s">
        <v>546</v>
      </c>
      <c r="E313" s="70" t="s">
        <v>3914</v>
      </c>
      <c r="F313" s="73" t="s">
        <v>3913</v>
      </c>
      <c r="G313" s="340">
        <v>3</v>
      </c>
      <c r="H313" s="346">
        <f>(COUNTIF(F313:F315,$G$409)+(COUNTIF(F313:F315,$G$408)*0.5))/(COUNTA(F313:F315)-COUNTIF(F313:F315,$G$410))</f>
        <v>0</v>
      </c>
      <c r="I313" s="344"/>
      <c r="J313" s="73">
        <v>4</v>
      </c>
      <c r="K313" s="75"/>
      <c r="L313" s="75" t="s">
        <v>142</v>
      </c>
      <c r="M313" s="75" t="s">
        <v>751</v>
      </c>
      <c r="N313" s="75"/>
      <c r="O313" s="75"/>
      <c r="P313" s="75"/>
      <c r="Q313" s="15"/>
    </row>
    <row r="314" spans="2:17" ht="29.4" hidden="1" customHeight="1" outlineLevel="2" x14ac:dyDescent="0.3">
      <c r="B314" s="354"/>
      <c r="C314" s="82" t="s">
        <v>547</v>
      </c>
      <c r="D314" s="82" t="s">
        <v>548</v>
      </c>
      <c r="E314" s="70" t="s">
        <v>3914</v>
      </c>
      <c r="F314" s="73" t="s">
        <v>3913</v>
      </c>
      <c r="G314" s="341"/>
      <c r="H314" s="346"/>
      <c r="I314" s="344"/>
      <c r="J314" s="73">
        <v>4</v>
      </c>
      <c r="K314" s="80" t="s">
        <v>3974</v>
      </c>
      <c r="L314" s="75" t="s">
        <v>117</v>
      </c>
      <c r="M314" s="75" t="s">
        <v>758</v>
      </c>
      <c r="N314" s="75"/>
      <c r="O314" s="75"/>
      <c r="P314" s="75"/>
      <c r="Q314" s="15"/>
    </row>
    <row r="315" spans="2:17" ht="29.4" hidden="1" customHeight="1" outlineLevel="2" x14ac:dyDescent="0.3">
      <c r="B315" s="354"/>
      <c r="C315" s="82" t="s">
        <v>549</v>
      </c>
      <c r="D315" s="82" t="s">
        <v>550</v>
      </c>
      <c r="E315" s="70" t="s">
        <v>3914</v>
      </c>
      <c r="F315" s="73" t="s">
        <v>3913</v>
      </c>
      <c r="G315" s="342"/>
      <c r="H315" s="346"/>
      <c r="I315" s="344"/>
      <c r="J315" s="73">
        <v>4</v>
      </c>
      <c r="K315" s="75"/>
      <c r="L315" s="75" t="s">
        <v>2872</v>
      </c>
      <c r="M315" s="75" t="s">
        <v>1819</v>
      </c>
      <c r="N315" s="75"/>
      <c r="O315" s="75" t="s">
        <v>2309</v>
      </c>
      <c r="P315" s="75" t="s">
        <v>1899</v>
      </c>
      <c r="Q315" s="15"/>
    </row>
    <row r="316" spans="2:17" ht="29.4" hidden="1" customHeight="1" outlineLevel="2" x14ac:dyDescent="0.3">
      <c r="B316" s="354"/>
      <c r="C316" s="82" t="s">
        <v>551</v>
      </c>
      <c r="D316" s="82" t="s">
        <v>552</v>
      </c>
      <c r="E316" s="70" t="s">
        <v>3914</v>
      </c>
      <c r="F316" s="73" t="s">
        <v>3913</v>
      </c>
      <c r="G316" s="71">
        <v>4</v>
      </c>
      <c r="H316" s="37">
        <f>(COUNTIF(F316,$G$409)+(COUNTIF(F316,$G$408)*0.5))/COUNTA(F316)</f>
        <v>0</v>
      </c>
      <c r="I316" s="344"/>
      <c r="J316" s="73">
        <v>5</v>
      </c>
      <c r="K316" s="75" t="s">
        <v>1339</v>
      </c>
      <c r="L316" s="75" t="s">
        <v>2873</v>
      </c>
      <c r="M316" s="75" t="s">
        <v>1820</v>
      </c>
      <c r="N316" s="75"/>
      <c r="O316" s="75"/>
      <c r="P316" s="75"/>
      <c r="Q316" s="15"/>
    </row>
    <row r="317" spans="2:17" ht="29.4" customHeight="1" outlineLevel="1" collapsed="1" x14ac:dyDescent="0.3">
      <c r="B317" s="343" t="str">
        <f>'Результаты аудита'!D33</f>
        <v>Определение требований ИБ, предъявляемых к ПО</v>
      </c>
      <c r="C317" s="82" t="s">
        <v>553</v>
      </c>
      <c r="D317" s="82" t="s">
        <v>2298</v>
      </c>
      <c r="E317" s="70" t="s">
        <v>3914</v>
      </c>
      <c r="F317" s="73" t="s">
        <v>3913</v>
      </c>
      <c r="G317" s="71">
        <v>0</v>
      </c>
      <c r="H317" s="70">
        <f>(COUNTIF(F317:F317,$F$407))/COUNTA(F317:F317)</f>
        <v>0</v>
      </c>
      <c r="I317" s="344">
        <f>SUM(H318:H326)/4</f>
        <v>0</v>
      </c>
      <c r="J317" s="73">
        <v>0</v>
      </c>
      <c r="K317" s="75"/>
      <c r="L317" s="75"/>
      <c r="M317" s="75" t="s">
        <v>338</v>
      </c>
      <c r="N317" s="75"/>
      <c r="O317" s="75" t="s">
        <v>2299</v>
      </c>
      <c r="P317" s="75"/>
      <c r="Q317" s="15"/>
    </row>
    <row r="318" spans="2:17" ht="29.4" hidden="1" customHeight="1" outlineLevel="2" x14ac:dyDescent="0.3">
      <c r="B318" s="343"/>
      <c r="C318" s="82" t="s">
        <v>554</v>
      </c>
      <c r="D318" s="82" t="s">
        <v>555</v>
      </c>
      <c r="E318" s="70" t="s">
        <v>3914</v>
      </c>
      <c r="F318" s="73" t="s">
        <v>3913</v>
      </c>
      <c r="G318" s="340">
        <v>1</v>
      </c>
      <c r="H318" s="346">
        <f>(COUNTIF(F318:F319,$G$409)+(COUNTIF(F318:F319,$G$408)*0.5))/(COUNTA(F318:F319)-COUNTIF(F318:F319,$G$410))</f>
        <v>0</v>
      </c>
      <c r="I318" s="344"/>
      <c r="J318" s="73">
        <v>1</v>
      </c>
      <c r="K318" s="75"/>
      <c r="L318" s="75"/>
      <c r="M318" s="75" t="s">
        <v>1821</v>
      </c>
      <c r="N318" s="75" t="s">
        <v>3175</v>
      </c>
      <c r="O318" s="75" t="s">
        <v>2299</v>
      </c>
      <c r="P318" s="75" t="s">
        <v>1900</v>
      </c>
      <c r="Q318" s="15"/>
    </row>
    <row r="319" spans="2:17" ht="29.4" hidden="1" customHeight="1" outlineLevel="2" x14ac:dyDescent="0.3">
      <c r="B319" s="343"/>
      <c r="C319" s="82" t="s">
        <v>556</v>
      </c>
      <c r="D319" s="82" t="s">
        <v>557</v>
      </c>
      <c r="E319" s="70" t="s">
        <v>3914</v>
      </c>
      <c r="F319" s="73" t="s">
        <v>3913</v>
      </c>
      <c r="G319" s="342"/>
      <c r="H319" s="346"/>
      <c r="I319" s="344"/>
      <c r="J319" s="73">
        <v>1</v>
      </c>
      <c r="K319" s="75"/>
      <c r="L319" s="75"/>
      <c r="M319" s="75" t="s">
        <v>1822</v>
      </c>
      <c r="N319" s="75" t="s">
        <v>3176</v>
      </c>
      <c r="O319" s="75"/>
      <c r="P319" s="75"/>
      <c r="Q319" s="15"/>
    </row>
    <row r="320" spans="2:17" ht="29.4" hidden="1" customHeight="1" outlineLevel="2" x14ac:dyDescent="0.3">
      <c r="B320" s="343"/>
      <c r="C320" s="74" t="s">
        <v>558</v>
      </c>
      <c r="D320" s="74" t="s">
        <v>559</v>
      </c>
      <c r="E320" s="70" t="s">
        <v>3914</v>
      </c>
      <c r="F320" s="73" t="s">
        <v>3913</v>
      </c>
      <c r="G320" s="340">
        <v>2</v>
      </c>
      <c r="H320" s="346">
        <f>(COUNTIF(F320:F322,$G$409)+(COUNTIF(F320:F322,$G$408)*0.5))/(COUNTA(F320:F322)-COUNTIF(F320:F322,$G$410))</f>
        <v>0</v>
      </c>
      <c r="I320" s="344"/>
      <c r="J320" s="73">
        <v>2</v>
      </c>
      <c r="K320" s="75"/>
      <c r="L320" s="75"/>
      <c r="M320" s="75"/>
      <c r="N320" s="75" t="s">
        <v>3177</v>
      </c>
      <c r="O320" s="75" t="s">
        <v>2308</v>
      </c>
      <c r="P320" s="75" t="s">
        <v>1901</v>
      </c>
      <c r="Q320" s="15"/>
    </row>
    <row r="321" spans="2:17" ht="29.4" hidden="1" customHeight="1" outlineLevel="2" x14ac:dyDescent="0.3">
      <c r="B321" s="343"/>
      <c r="C321" s="74" t="s">
        <v>560</v>
      </c>
      <c r="D321" s="74" t="s">
        <v>561</v>
      </c>
      <c r="E321" s="70" t="s">
        <v>3914</v>
      </c>
      <c r="F321" s="73" t="s">
        <v>3913</v>
      </c>
      <c r="G321" s="341"/>
      <c r="H321" s="346"/>
      <c r="I321" s="344"/>
      <c r="J321" s="73">
        <v>2</v>
      </c>
      <c r="K321" s="75"/>
      <c r="L321" s="75"/>
      <c r="M321" s="75" t="s">
        <v>759</v>
      </c>
      <c r="N321" s="75" t="s">
        <v>3141</v>
      </c>
      <c r="O321" s="75"/>
      <c r="P321" s="75" t="s">
        <v>1900</v>
      </c>
      <c r="Q321" s="15"/>
    </row>
    <row r="322" spans="2:17" ht="29.4" hidden="1" customHeight="1" outlineLevel="2" x14ac:dyDescent="0.3">
      <c r="B322" s="343"/>
      <c r="C322" s="82" t="s">
        <v>563</v>
      </c>
      <c r="D322" s="82" t="s">
        <v>564</v>
      </c>
      <c r="E322" s="70" t="s">
        <v>3914</v>
      </c>
      <c r="F322" s="73" t="s">
        <v>3913</v>
      </c>
      <c r="G322" s="342"/>
      <c r="H322" s="346"/>
      <c r="I322" s="344"/>
      <c r="J322" s="73">
        <v>2</v>
      </c>
      <c r="K322" s="75" t="s">
        <v>1340</v>
      </c>
      <c r="L322" s="75"/>
      <c r="M322" s="75"/>
      <c r="N322" s="80" t="s">
        <v>3178</v>
      </c>
      <c r="O322" s="80" t="s">
        <v>2306</v>
      </c>
      <c r="P322" s="75"/>
      <c r="Q322" s="15"/>
    </row>
    <row r="323" spans="2:17" ht="29.4" hidden="1" customHeight="1" outlineLevel="2" x14ac:dyDescent="0.3">
      <c r="B323" s="343"/>
      <c r="C323" s="74" t="s">
        <v>565</v>
      </c>
      <c r="D323" s="74" t="s">
        <v>566</v>
      </c>
      <c r="E323" s="70" t="s">
        <v>3914</v>
      </c>
      <c r="F323" s="73" t="s">
        <v>3913</v>
      </c>
      <c r="G323" s="340">
        <v>3</v>
      </c>
      <c r="H323" s="346">
        <f>(COUNTIF(F323:F325,$G$409)+(COUNTIF(F323:F325,$G$408)*0.5))/(COUNTA(F323:F325)-COUNTIF(F323:F325,$G$410))</f>
        <v>0</v>
      </c>
      <c r="I323" s="344"/>
      <c r="J323" s="73">
        <v>4</v>
      </c>
      <c r="K323" s="75"/>
      <c r="L323" s="75"/>
      <c r="M323" s="75" t="s">
        <v>758</v>
      </c>
      <c r="N323" s="75"/>
      <c r="O323" s="75"/>
      <c r="P323" s="75"/>
      <c r="Q323" s="15"/>
    </row>
    <row r="324" spans="2:17" ht="29.4" hidden="1" customHeight="1" outlineLevel="2" x14ac:dyDescent="0.3">
      <c r="B324" s="343"/>
      <c r="C324" s="82" t="s">
        <v>567</v>
      </c>
      <c r="D324" s="82" t="s">
        <v>568</v>
      </c>
      <c r="E324" s="70" t="s">
        <v>3914</v>
      </c>
      <c r="F324" s="73" t="s">
        <v>3913</v>
      </c>
      <c r="G324" s="341"/>
      <c r="H324" s="346"/>
      <c r="I324" s="344"/>
      <c r="J324" s="73">
        <v>4</v>
      </c>
      <c r="K324" s="80"/>
      <c r="L324" s="80"/>
      <c r="M324" s="80"/>
      <c r="N324" s="80" t="s">
        <v>3177</v>
      </c>
      <c r="O324" s="75"/>
      <c r="P324" s="75" t="s">
        <v>1902</v>
      </c>
      <c r="Q324" s="15"/>
    </row>
    <row r="325" spans="2:17" ht="29.4" hidden="1" customHeight="1" outlineLevel="2" x14ac:dyDescent="0.3">
      <c r="B325" s="343"/>
      <c r="C325" s="82" t="s">
        <v>569</v>
      </c>
      <c r="D325" s="82" t="s">
        <v>570</v>
      </c>
      <c r="E325" s="70" t="s">
        <v>3914</v>
      </c>
      <c r="F325" s="73" t="s">
        <v>3913</v>
      </c>
      <c r="G325" s="342"/>
      <c r="H325" s="346"/>
      <c r="I325" s="344"/>
      <c r="J325" s="73">
        <v>4</v>
      </c>
      <c r="K325" s="80"/>
      <c r="L325" s="80"/>
      <c r="M325" s="80" t="s">
        <v>765</v>
      </c>
      <c r="N325" s="80"/>
      <c r="O325" s="75"/>
      <c r="P325" s="75" t="s">
        <v>1903</v>
      </c>
      <c r="Q325" s="15"/>
    </row>
    <row r="326" spans="2:17" ht="29.4" hidden="1" customHeight="1" outlineLevel="2" x14ac:dyDescent="0.3">
      <c r="B326" s="343"/>
      <c r="C326" s="82" t="s">
        <v>2151</v>
      </c>
      <c r="D326" s="82" t="s">
        <v>2150</v>
      </c>
      <c r="E326" s="70" t="s">
        <v>3914</v>
      </c>
      <c r="F326" s="73" t="s">
        <v>3913</v>
      </c>
      <c r="G326" s="69">
        <v>4</v>
      </c>
      <c r="H326" s="37">
        <f>(COUNTIF(F326,$G$409)+(COUNTIF(F326,$G$408)*0.5))/COUNTA(F326)</f>
        <v>0</v>
      </c>
      <c r="I326" s="344"/>
      <c r="J326" s="73">
        <v>6</v>
      </c>
      <c r="K326" s="80"/>
      <c r="L326" s="80"/>
      <c r="M326" s="80"/>
      <c r="N326" s="85" t="s">
        <v>3176</v>
      </c>
      <c r="O326" s="2"/>
      <c r="P326" s="75"/>
      <c r="Q326" s="15"/>
    </row>
    <row r="327" spans="2:17" ht="29.4" customHeight="1" outlineLevel="1" collapsed="1" x14ac:dyDescent="0.3">
      <c r="B327" s="354" t="str">
        <f>'Результаты аудита'!D34</f>
        <v>Контроль выполнения требований ИБ</v>
      </c>
      <c r="C327" s="82" t="s">
        <v>571</v>
      </c>
      <c r="D327" s="82" t="s">
        <v>572</v>
      </c>
      <c r="E327" s="70" t="s">
        <v>3914</v>
      </c>
      <c r="F327" s="73" t="s">
        <v>3913</v>
      </c>
      <c r="G327" s="71">
        <v>0</v>
      </c>
      <c r="H327" s="70">
        <f>(COUNTIF(F327:F327,$F$407))/COUNTA(F327:F327)</f>
        <v>0</v>
      </c>
      <c r="I327" s="344">
        <f>SUM(H328:H331)/4</f>
        <v>0</v>
      </c>
      <c r="J327" s="73">
        <v>0</v>
      </c>
      <c r="K327" s="80" t="s">
        <v>1341</v>
      </c>
      <c r="L327" s="80" t="s">
        <v>2874</v>
      </c>
      <c r="M327" s="80" t="s">
        <v>759</v>
      </c>
      <c r="N327" s="80" t="s">
        <v>3179</v>
      </c>
      <c r="O327" s="75" t="s">
        <v>2891</v>
      </c>
      <c r="P327" s="75"/>
      <c r="Q327" s="15"/>
    </row>
    <row r="328" spans="2:17" ht="29.4" hidden="1" customHeight="1" outlineLevel="2" x14ac:dyDescent="0.3">
      <c r="B328" s="354"/>
      <c r="C328" s="82" t="s">
        <v>573</v>
      </c>
      <c r="D328" s="82" t="s">
        <v>574</v>
      </c>
      <c r="E328" s="70" t="s">
        <v>3914</v>
      </c>
      <c r="F328" s="73" t="s">
        <v>3913</v>
      </c>
      <c r="G328" s="71">
        <v>1</v>
      </c>
      <c r="H328" s="37">
        <f>(COUNTIF(F328,$G$409)+(COUNTIF(F328,$G$408)*0.5))/COUNTA(F328)</f>
        <v>0</v>
      </c>
      <c r="I328" s="344"/>
      <c r="J328" s="73">
        <v>1</v>
      </c>
      <c r="K328" s="80" t="s">
        <v>3975</v>
      </c>
      <c r="L328" s="80" t="s">
        <v>2875</v>
      </c>
      <c r="M328" s="80" t="s">
        <v>1352</v>
      </c>
      <c r="N328" s="85" t="s">
        <v>3180</v>
      </c>
      <c r="O328" s="75"/>
      <c r="P328" s="75" t="s">
        <v>1904</v>
      </c>
      <c r="Q328" s="15"/>
    </row>
    <row r="329" spans="2:17" ht="29.4" hidden="1" customHeight="1" outlineLevel="2" x14ac:dyDescent="0.3">
      <c r="B329" s="354"/>
      <c r="C329" s="82" t="s">
        <v>575</v>
      </c>
      <c r="D329" s="82" t="s">
        <v>576</v>
      </c>
      <c r="E329" s="70" t="s">
        <v>3914</v>
      </c>
      <c r="F329" s="73" t="s">
        <v>3913</v>
      </c>
      <c r="G329" s="71">
        <v>2</v>
      </c>
      <c r="H329" s="37">
        <f>(COUNTIF(F329,$G$409)+(COUNTIF(F329,$G$408)*0.5))/COUNTA(F329)</f>
        <v>0</v>
      </c>
      <c r="I329" s="344"/>
      <c r="J329" s="73">
        <v>2</v>
      </c>
      <c r="K329" s="80" t="s">
        <v>3976</v>
      </c>
      <c r="L329" s="80" t="s">
        <v>2876</v>
      </c>
      <c r="M329" s="80" t="s">
        <v>2430</v>
      </c>
      <c r="N329" s="85" t="s">
        <v>3181</v>
      </c>
      <c r="O329" s="75"/>
      <c r="P329" s="75" t="s">
        <v>1904</v>
      </c>
      <c r="Q329" s="15"/>
    </row>
    <row r="330" spans="2:17" ht="29.4" hidden="1" customHeight="1" outlineLevel="2" x14ac:dyDescent="0.3">
      <c r="B330" s="354"/>
      <c r="C330" s="82" t="s">
        <v>577</v>
      </c>
      <c r="D330" s="82" t="s">
        <v>578</v>
      </c>
      <c r="E330" s="70" t="s">
        <v>3914</v>
      </c>
      <c r="F330" s="73" t="s">
        <v>3913</v>
      </c>
      <c r="G330" s="71">
        <v>3</v>
      </c>
      <c r="H330" s="37">
        <f>(COUNTIF(F330,$G$409)+(COUNTIF(F330,$G$408)*0.5))/COUNTA(F330)</f>
        <v>0</v>
      </c>
      <c r="I330" s="344"/>
      <c r="J330" s="73">
        <v>5</v>
      </c>
      <c r="K330" s="80" t="s">
        <v>1342</v>
      </c>
      <c r="L330" s="80"/>
      <c r="M330" s="80" t="s">
        <v>2431</v>
      </c>
      <c r="N330" s="80" t="s">
        <v>3182</v>
      </c>
      <c r="O330" s="75"/>
      <c r="P330" s="75" t="s">
        <v>1905</v>
      </c>
      <c r="Q330" s="15"/>
    </row>
    <row r="331" spans="2:17" ht="29.4" hidden="1" customHeight="1" outlineLevel="2" x14ac:dyDescent="0.3">
      <c r="B331" s="354"/>
      <c r="C331" s="82" t="s">
        <v>579</v>
      </c>
      <c r="D331" s="82" t="s">
        <v>580</v>
      </c>
      <c r="E331" s="70" t="s">
        <v>3914</v>
      </c>
      <c r="F331" s="73" t="s">
        <v>3913</v>
      </c>
      <c r="G331" s="71">
        <v>4</v>
      </c>
      <c r="H331" s="37">
        <f>(COUNTIF(F331,$G$409)+(COUNTIF(F331,$G$408)*0.5))/COUNTA(F331)</f>
        <v>0</v>
      </c>
      <c r="I331" s="344"/>
      <c r="J331" s="73">
        <v>6</v>
      </c>
      <c r="K331" s="75" t="s">
        <v>1343</v>
      </c>
      <c r="L331" s="75"/>
      <c r="M331" s="75" t="s">
        <v>1823</v>
      </c>
      <c r="N331" s="73" t="s">
        <v>3183</v>
      </c>
      <c r="O331" s="75"/>
      <c r="P331" s="75"/>
      <c r="Q331" s="15"/>
    </row>
    <row r="332" spans="2:17" ht="29.4" customHeight="1" outlineLevel="1" collapsed="1" x14ac:dyDescent="0.3">
      <c r="B332" s="343" t="str">
        <f>'Результаты аудита'!D35</f>
        <v>Разработка стандартов конфигураций разрабатываемого ПО</v>
      </c>
      <c r="C332" s="74" t="s">
        <v>581</v>
      </c>
      <c r="D332" s="74" t="s">
        <v>582</v>
      </c>
      <c r="E332" s="70" t="s">
        <v>3914</v>
      </c>
      <c r="F332" s="73" t="s">
        <v>3913</v>
      </c>
      <c r="G332" s="71">
        <v>0</v>
      </c>
      <c r="H332" s="70">
        <f>(COUNTIF(F332:F332,$F$407))/COUNTA(F332:F332)</f>
        <v>0</v>
      </c>
      <c r="I332" s="344">
        <f>SUM(H333:H338)/4</f>
        <v>0</v>
      </c>
      <c r="J332" s="73">
        <v>0</v>
      </c>
      <c r="K332" s="75"/>
      <c r="L332" s="75"/>
      <c r="M332" s="75" t="s">
        <v>1804</v>
      </c>
      <c r="N332" s="75"/>
      <c r="O332" s="75"/>
      <c r="P332" s="75" t="s">
        <v>1906</v>
      </c>
      <c r="Q332" s="15"/>
    </row>
    <row r="333" spans="2:17" ht="29.4" hidden="1" customHeight="1" outlineLevel="2" x14ac:dyDescent="0.3">
      <c r="B333" s="343"/>
      <c r="C333" s="82" t="s">
        <v>583</v>
      </c>
      <c r="D333" s="82" t="s">
        <v>584</v>
      </c>
      <c r="E333" s="70" t="s">
        <v>3914</v>
      </c>
      <c r="F333" s="73" t="s">
        <v>3913</v>
      </c>
      <c r="G333" s="340">
        <v>1</v>
      </c>
      <c r="H333" s="346">
        <f>(COUNTIF(F333:F334,$G$409)+(COUNTIF(F333:F334,$G$408)*0.5))/(COUNTA(F333:F334)-COUNTIF(F333:F334,$G$410))</f>
        <v>0</v>
      </c>
      <c r="I333" s="344"/>
      <c r="J333" s="73">
        <v>3</v>
      </c>
      <c r="K333" s="75"/>
      <c r="L333" s="75"/>
      <c r="M333" s="75" t="s">
        <v>1804</v>
      </c>
      <c r="N333" s="75"/>
      <c r="O333" s="75"/>
      <c r="P333" s="75"/>
      <c r="Q333" s="15"/>
    </row>
    <row r="334" spans="2:17" ht="29.4" hidden="1" customHeight="1" outlineLevel="2" x14ac:dyDescent="0.3">
      <c r="B334" s="343"/>
      <c r="C334" s="82" t="s">
        <v>585</v>
      </c>
      <c r="D334" s="82" t="s">
        <v>586</v>
      </c>
      <c r="E334" s="70" t="s">
        <v>3914</v>
      </c>
      <c r="F334" s="73" t="s">
        <v>3913</v>
      </c>
      <c r="G334" s="342"/>
      <c r="H334" s="346"/>
      <c r="I334" s="344"/>
      <c r="J334" s="73">
        <v>3</v>
      </c>
      <c r="K334" s="75"/>
      <c r="L334" s="75"/>
      <c r="M334" s="75"/>
      <c r="N334" s="75"/>
      <c r="O334" s="75"/>
      <c r="P334" s="75"/>
      <c r="Q334" s="15"/>
    </row>
    <row r="335" spans="2:17" ht="29.4" hidden="1" customHeight="1" outlineLevel="2" x14ac:dyDescent="0.3">
      <c r="B335" s="343"/>
      <c r="C335" s="74" t="s">
        <v>587</v>
      </c>
      <c r="D335" s="74" t="s">
        <v>588</v>
      </c>
      <c r="E335" s="70" t="s">
        <v>3914</v>
      </c>
      <c r="F335" s="73" t="s">
        <v>3913</v>
      </c>
      <c r="G335" s="71">
        <v>2</v>
      </c>
      <c r="H335" s="37">
        <f>(COUNTIF(F335,$G$409)+(COUNTIF(F335,$G$408)*0.5))/COUNTA(F335)</f>
        <v>0</v>
      </c>
      <c r="I335" s="344"/>
      <c r="J335" s="73">
        <v>4</v>
      </c>
      <c r="K335" s="73"/>
      <c r="L335" s="73"/>
      <c r="M335" s="75" t="s">
        <v>1804</v>
      </c>
      <c r="N335" s="75"/>
      <c r="O335" s="75"/>
      <c r="P335" s="73" t="s">
        <v>1842</v>
      </c>
      <c r="Q335" s="15"/>
    </row>
    <row r="336" spans="2:17" ht="29.4" hidden="1" customHeight="1" outlineLevel="2" x14ac:dyDescent="0.3">
      <c r="B336" s="343"/>
      <c r="C336" s="74" t="s">
        <v>589</v>
      </c>
      <c r="D336" s="74" t="s">
        <v>590</v>
      </c>
      <c r="E336" s="70" t="s">
        <v>3914</v>
      </c>
      <c r="F336" s="73" t="s">
        <v>3913</v>
      </c>
      <c r="G336" s="340">
        <v>3</v>
      </c>
      <c r="H336" s="346">
        <f>(COUNTIF(F336:F337,$G$409)+(COUNTIF(F336:F337,$G$408)*0.5))/(COUNTA(F336:F337)-COUNTIF(F336:F337,$G$410))</f>
        <v>0</v>
      </c>
      <c r="I336" s="344"/>
      <c r="J336" s="73">
        <v>5</v>
      </c>
      <c r="K336" s="73"/>
      <c r="L336" s="73"/>
      <c r="M336" s="75" t="s">
        <v>1824</v>
      </c>
      <c r="N336" s="75"/>
      <c r="O336" s="75"/>
      <c r="P336" s="73" t="s">
        <v>1842</v>
      </c>
      <c r="Q336" s="15"/>
    </row>
    <row r="337" spans="2:17" ht="29.4" hidden="1" customHeight="1" outlineLevel="2" x14ac:dyDescent="0.3">
      <c r="B337" s="343"/>
      <c r="C337" s="74" t="s">
        <v>591</v>
      </c>
      <c r="D337" s="74" t="s">
        <v>2156</v>
      </c>
      <c r="E337" s="70" t="s">
        <v>3914</v>
      </c>
      <c r="F337" s="73" t="s">
        <v>3913</v>
      </c>
      <c r="G337" s="342"/>
      <c r="H337" s="346"/>
      <c r="I337" s="344"/>
      <c r="J337" s="73">
        <v>5</v>
      </c>
      <c r="K337" s="73"/>
      <c r="L337" s="73"/>
      <c r="M337" s="73"/>
      <c r="N337" s="75"/>
      <c r="O337" s="75"/>
      <c r="P337" s="73"/>
      <c r="Q337" s="15"/>
    </row>
    <row r="338" spans="2:17" ht="29.4" hidden="1" customHeight="1" outlineLevel="2" x14ac:dyDescent="0.3">
      <c r="B338" s="343"/>
      <c r="C338" s="82" t="s">
        <v>592</v>
      </c>
      <c r="D338" s="15" t="s">
        <v>593</v>
      </c>
      <c r="E338" s="70" t="s">
        <v>3914</v>
      </c>
      <c r="F338" s="73" t="s">
        <v>3913</v>
      </c>
      <c r="G338" s="71">
        <v>4</v>
      </c>
      <c r="H338" s="37">
        <f>(COUNTIF(F338,$G$409)+(COUNTIF(F338,$G$408)*0.5))/COUNTA(F338)</f>
        <v>0</v>
      </c>
      <c r="I338" s="344"/>
      <c r="J338" s="73">
        <v>6</v>
      </c>
      <c r="K338" s="73"/>
      <c r="L338" s="73"/>
      <c r="M338" s="75" t="s">
        <v>1814</v>
      </c>
      <c r="N338" s="75"/>
      <c r="O338" s="75"/>
      <c r="P338" s="73" t="s">
        <v>1907</v>
      </c>
      <c r="Q338" s="15"/>
    </row>
    <row r="339" spans="2:17" ht="29.4" customHeight="1" outlineLevel="1" collapsed="1" x14ac:dyDescent="0.3">
      <c r="B339" s="343" t="str">
        <f>'Результаты аудита'!D36</f>
        <v>Разработка стандартов конфигураций для компонентов инфраструктуры</v>
      </c>
      <c r="C339" s="74" t="s">
        <v>594</v>
      </c>
      <c r="D339" s="74" t="s">
        <v>2135</v>
      </c>
      <c r="E339" s="70" t="s">
        <v>3914</v>
      </c>
      <c r="F339" s="73" t="s">
        <v>3913</v>
      </c>
      <c r="G339" s="71">
        <v>0</v>
      </c>
      <c r="H339" s="70">
        <f>(COUNTIF(F339:F339,$F$407))/COUNTA(F339:F339)</f>
        <v>0</v>
      </c>
      <c r="I339" s="344">
        <f>SUM(H340:H347)/4</f>
        <v>0</v>
      </c>
      <c r="J339" s="73">
        <v>0</v>
      </c>
      <c r="K339" s="73"/>
      <c r="L339" s="73"/>
      <c r="M339" s="73"/>
      <c r="N339" s="75" t="s">
        <v>3141</v>
      </c>
      <c r="O339" s="75"/>
      <c r="P339" s="73" t="s">
        <v>1908</v>
      </c>
      <c r="Q339" s="15"/>
    </row>
    <row r="340" spans="2:17" ht="29.4" hidden="1" customHeight="1" outlineLevel="2" x14ac:dyDescent="0.3">
      <c r="B340" s="343"/>
      <c r="C340" s="82" t="s">
        <v>595</v>
      </c>
      <c r="D340" s="82" t="s">
        <v>596</v>
      </c>
      <c r="E340" s="70" t="s">
        <v>3914</v>
      </c>
      <c r="F340" s="73" t="s">
        <v>3913</v>
      </c>
      <c r="G340" s="340">
        <v>1</v>
      </c>
      <c r="H340" s="346">
        <f>(COUNTIF(F340:F341,$G$409)+(COUNTIF(F340:F341,$G$408)*0.5))/(COUNTA(F340:F341)-COUNTIF(F340:F341,$G$410))</f>
        <v>0</v>
      </c>
      <c r="I340" s="344"/>
      <c r="J340" s="73">
        <v>1</v>
      </c>
      <c r="K340" s="73"/>
      <c r="L340" s="73"/>
      <c r="M340" s="73"/>
      <c r="N340" s="75"/>
      <c r="O340" s="75"/>
      <c r="P340" s="73"/>
      <c r="Q340" s="15"/>
    </row>
    <row r="341" spans="2:17" ht="29.4" hidden="1" customHeight="1" outlineLevel="2" x14ac:dyDescent="0.3">
      <c r="B341" s="343"/>
      <c r="C341" s="82" t="s">
        <v>597</v>
      </c>
      <c r="D341" s="82" t="s">
        <v>598</v>
      </c>
      <c r="E341" s="70" t="s">
        <v>3914</v>
      </c>
      <c r="F341" s="73" t="s">
        <v>3913</v>
      </c>
      <c r="G341" s="342"/>
      <c r="H341" s="346"/>
      <c r="I341" s="344"/>
      <c r="J341" s="73">
        <v>1</v>
      </c>
      <c r="K341" s="73"/>
      <c r="L341" s="73"/>
      <c r="M341" s="73"/>
      <c r="N341" s="75"/>
      <c r="O341" s="75"/>
      <c r="P341" s="73" t="s">
        <v>1908</v>
      </c>
      <c r="Q341" s="15"/>
    </row>
    <row r="342" spans="2:17" ht="29.4" hidden="1" customHeight="1" outlineLevel="2" x14ac:dyDescent="0.3">
      <c r="B342" s="343"/>
      <c r="C342" s="74" t="s">
        <v>599</v>
      </c>
      <c r="D342" s="74" t="s">
        <v>600</v>
      </c>
      <c r="E342" s="70" t="s">
        <v>3914</v>
      </c>
      <c r="F342" s="73" t="s">
        <v>3913</v>
      </c>
      <c r="G342" s="340">
        <v>2</v>
      </c>
      <c r="H342" s="346">
        <f>(COUNTIF(F342:F343,$G$409)+(COUNTIF(F342:F343,$G$408)*0.5))/(COUNTA(F342:F343)-COUNTIF(F342:F343,$G$410))</f>
        <v>0</v>
      </c>
      <c r="I342" s="344"/>
      <c r="J342" s="73">
        <v>2</v>
      </c>
      <c r="K342" s="73" t="s">
        <v>604</v>
      </c>
      <c r="L342" s="73"/>
      <c r="M342" s="73"/>
      <c r="N342" s="75"/>
      <c r="O342" s="75"/>
      <c r="P342" s="73" t="s">
        <v>1842</v>
      </c>
      <c r="Q342" s="15"/>
    </row>
    <row r="343" spans="2:17" ht="29.4" hidden="1" customHeight="1" outlineLevel="2" x14ac:dyDescent="0.3">
      <c r="B343" s="343"/>
      <c r="C343" s="74" t="s">
        <v>601</v>
      </c>
      <c r="D343" s="74" t="s">
        <v>602</v>
      </c>
      <c r="E343" s="70" t="s">
        <v>3914</v>
      </c>
      <c r="F343" s="73" t="s">
        <v>3913</v>
      </c>
      <c r="G343" s="342"/>
      <c r="H343" s="346"/>
      <c r="I343" s="344"/>
      <c r="J343" s="73">
        <v>2</v>
      </c>
      <c r="K343" s="73"/>
      <c r="L343" s="73"/>
      <c r="M343" s="73"/>
      <c r="N343" s="75"/>
      <c r="O343" s="75"/>
      <c r="P343" s="73"/>
      <c r="Q343" s="15"/>
    </row>
    <row r="344" spans="2:17" ht="29.4" hidden="1" customHeight="1" outlineLevel="2" x14ac:dyDescent="0.3">
      <c r="B344" s="343"/>
      <c r="C344" s="74" t="s">
        <v>603</v>
      </c>
      <c r="D344" s="74" t="s">
        <v>2134</v>
      </c>
      <c r="E344" s="70" t="s">
        <v>3914</v>
      </c>
      <c r="F344" s="73" t="s">
        <v>3913</v>
      </c>
      <c r="G344" s="340">
        <v>3</v>
      </c>
      <c r="H344" s="346">
        <f>(COUNTIF(F344:F346,$G$409)+(COUNTIF(F344:F346,$G$408)*0.5))/(COUNTA(F344:F346)-COUNTIF(F344:F346,$G$410))</f>
        <v>0</v>
      </c>
      <c r="I344" s="344"/>
      <c r="J344" s="73">
        <v>3</v>
      </c>
      <c r="K344" s="73" t="s">
        <v>604</v>
      </c>
      <c r="L344" s="73"/>
      <c r="M344" s="73"/>
      <c r="N344" s="75" t="s">
        <v>3141</v>
      </c>
      <c r="O344" s="75"/>
      <c r="P344" s="73" t="s">
        <v>1842</v>
      </c>
      <c r="Q344" s="15"/>
    </row>
    <row r="345" spans="2:17" ht="29.4" hidden="1" customHeight="1" outlineLevel="2" x14ac:dyDescent="0.3">
      <c r="B345" s="343"/>
      <c r="C345" s="74" t="s">
        <v>605</v>
      </c>
      <c r="D345" s="74" t="s">
        <v>606</v>
      </c>
      <c r="E345" s="70" t="s">
        <v>3914</v>
      </c>
      <c r="F345" s="73" t="s">
        <v>3913</v>
      </c>
      <c r="G345" s="341"/>
      <c r="H345" s="346"/>
      <c r="I345" s="344"/>
      <c r="J345" s="73">
        <v>3</v>
      </c>
      <c r="K345" s="73"/>
      <c r="L345" s="73"/>
      <c r="M345" s="73"/>
      <c r="N345" s="75" t="s">
        <v>3184</v>
      </c>
      <c r="O345" s="75"/>
      <c r="P345" s="73"/>
      <c r="Q345" s="15"/>
    </row>
    <row r="346" spans="2:17" ht="29.4" hidden="1" customHeight="1" outlineLevel="2" x14ac:dyDescent="0.3">
      <c r="B346" s="343"/>
      <c r="C346" s="74" t="s">
        <v>607</v>
      </c>
      <c r="D346" s="74" t="s">
        <v>2155</v>
      </c>
      <c r="E346" s="70" t="s">
        <v>3914</v>
      </c>
      <c r="F346" s="73" t="s">
        <v>3913</v>
      </c>
      <c r="G346" s="342"/>
      <c r="H346" s="346"/>
      <c r="I346" s="344"/>
      <c r="J346" s="73">
        <v>3</v>
      </c>
      <c r="K346" s="73"/>
      <c r="L346" s="73"/>
      <c r="M346" s="73"/>
      <c r="N346" s="75"/>
      <c r="O346" s="75"/>
      <c r="P346" s="73" t="s">
        <v>1908</v>
      </c>
      <c r="Q346" s="15"/>
    </row>
    <row r="347" spans="2:17" ht="29.4" hidden="1" customHeight="1" outlineLevel="2" x14ac:dyDescent="0.3">
      <c r="B347" s="343"/>
      <c r="C347" s="82" t="s">
        <v>608</v>
      </c>
      <c r="D347" s="82" t="s">
        <v>609</v>
      </c>
      <c r="E347" s="70" t="s">
        <v>3914</v>
      </c>
      <c r="F347" s="73" t="s">
        <v>3913</v>
      </c>
      <c r="G347" s="71">
        <v>4</v>
      </c>
      <c r="H347" s="37">
        <f>(COUNTIF(F347,$G$409)+(COUNTIF(F347,$G$408)*0.5))/COUNTA(F347)</f>
        <v>0</v>
      </c>
      <c r="I347" s="344"/>
      <c r="J347" s="73">
        <v>5</v>
      </c>
      <c r="K347" s="73"/>
      <c r="L347" s="73"/>
      <c r="M347" s="73"/>
      <c r="N347" s="75"/>
      <c r="O347" s="75"/>
      <c r="P347" s="73" t="s">
        <v>1907</v>
      </c>
      <c r="Q347" s="15"/>
    </row>
    <row r="348" spans="2:17" ht="3.6" customHeight="1" outlineLevel="1" collapsed="1" x14ac:dyDescent="0.3">
      <c r="B348" s="36"/>
      <c r="C348" s="74"/>
      <c r="D348" s="74"/>
      <c r="E348" s="70"/>
      <c r="F348" s="73"/>
      <c r="G348" s="71"/>
      <c r="H348" s="37"/>
      <c r="I348" s="78"/>
      <c r="J348" s="73"/>
      <c r="K348" s="75"/>
      <c r="L348" s="75"/>
      <c r="M348" s="75"/>
      <c r="N348" s="75"/>
      <c r="O348" s="75"/>
      <c r="P348" s="13"/>
      <c r="Q348" s="15"/>
    </row>
    <row r="349" spans="2:17" ht="29.4" customHeight="1" x14ac:dyDescent="0.3">
      <c r="B349" s="356" t="s">
        <v>610</v>
      </c>
      <c r="C349" s="356"/>
      <c r="D349" s="356"/>
      <c r="E349" s="120"/>
      <c r="F349" s="121"/>
      <c r="G349" s="122"/>
      <c r="H349" s="356"/>
      <c r="I349" s="356"/>
      <c r="J349" s="356"/>
      <c r="K349" s="356"/>
      <c r="L349" s="356"/>
      <c r="M349" s="356"/>
      <c r="N349" s="356"/>
      <c r="O349" s="356"/>
      <c r="P349" s="356"/>
      <c r="Q349" s="294"/>
    </row>
    <row r="350" spans="2:17" ht="29.4" customHeight="1" outlineLevel="1" x14ac:dyDescent="0.3">
      <c r="B350" s="377" t="str">
        <f>'Результаты аудита'!D37</f>
        <v>Обработка дефектов ИБ</v>
      </c>
      <c r="C350" s="15" t="s">
        <v>611</v>
      </c>
      <c r="D350" s="15" t="s">
        <v>612</v>
      </c>
      <c r="E350" s="70" t="s">
        <v>3914</v>
      </c>
      <c r="F350" s="73" t="s">
        <v>3913</v>
      </c>
      <c r="G350" s="71">
        <v>0</v>
      </c>
      <c r="H350" s="70">
        <f>(COUNTIF(F350:F350,$F$407))/COUNTA(F350:F350)</f>
        <v>0</v>
      </c>
      <c r="I350" s="344">
        <f>SUM(H351:H357)/4</f>
        <v>0</v>
      </c>
      <c r="J350" s="73">
        <v>0</v>
      </c>
      <c r="K350" s="73"/>
      <c r="L350" s="73" t="s">
        <v>2877</v>
      </c>
      <c r="M350" s="73"/>
      <c r="N350" s="75" t="s">
        <v>3182</v>
      </c>
      <c r="O350" s="80" t="s">
        <v>2892</v>
      </c>
      <c r="P350" s="73" t="s">
        <v>1909</v>
      </c>
      <c r="Q350" s="15"/>
    </row>
    <row r="351" spans="2:17" ht="29.4" hidden="1" customHeight="1" outlineLevel="2" x14ac:dyDescent="0.3">
      <c r="B351" s="377"/>
      <c r="C351" s="15" t="s">
        <v>613</v>
      </c>
      <c r="D351" s="15" t="s">
        <v>614</v>
      </c>
      <c r="E351" s="70" t="s">
        <v>3914</v>
      </c>
      <c r="F351" s="73" t="s">
        <v>3913</v>
      </c>
      <c r="G351" s="71">
        <v>1</v>
      </c>
      <c r="H351" s="37">
        <f>(COUNTIF(F351,$G$409)+(COUNTIF(F351,$G$408)*0.5))/COUNTA(F351)</f>
        <v>0</v>
      </c>
      <c r="I351" s="344"/>
      <c r="J351" s="73">
        <v>1</v>
      </c>
      <c r="K351" s="73"/>
      <c r="L351" s="73">
        <v>135</v>
      </c>
      <c r="M351" s="73" t="s">
        <v>1809</v>
      </c>
      <c r="N351" s="75"/>
      <c r="O351" s="75"/>
      <c r="P351" s="73" t="s">
        <v>1909</v>
      </c>
      <c r="Q351" s="15"/>
    </row>
    <row r="352" spans="2:17" ht="29.4" hidden="1" customHeight="1" outlineLevel="2" x14ac:dyDescent="0.3">
      <c r="B352" s="377"/>
      <c r="C352" s="15" t="s">
        <v>615</v>
      </c>
      <c r="D352" s="15" t="s">
        <v>616</v>
      </c>
      <c r="E352" s="70" t="s">
        <v>3914</v>
      </c>
      <c r="F352" s="73" t="s">
        <v>3913</v>
      </c>
      <c r="G352" s="340">
        <v>2</v>
      </c>
      <c r="H352" s="346">
        <f>(COUNTIF(F352:F353,$G$409)+(COUNTIF(F352:F353,$G$408)*0.5))/(COUNTA(F352:F353)-COUNTIF(F352:F353,$G$410))</f>
        <v>0</v>
      </c>
      <c r="I352" s="344"/>
      <c r="J352" s="73">
        <v>2</v>
      </c>
      <c r="K352" s="73"/>
      <c r="L352" s="73">
        <v>168</v>
      </c>
      <c r="M352" s="73" t="s">
        <v>1809</v>
      </c>
      <c r="N352" s="75"/>
      <c r="O352" s="75"/>
      <c r="P352" s="73"/>
      <c r="Q352" s="15"/>
    </row>
    <row r="353" spans="2:17" ht="29.4" hidden="1" customHeight="1" outlineLevel="2" x14ac:dyDescent="0.3">
      <c r="B353" s="377"/>
      <c r="C353" s="15" t="s">
        <v>617</v>
      </c>
      <c r="D353" s="15" t="s">
        <v>618</v>
      </c>
      <c r="E353" s="70" t="s">
        <v>3914</v>
      </c>
      <c r="F353" s="73" t="s">
        <v>3913</v>
      </c>
      <c r="G353" s="342"/>
      <c r="H353" s="346"/>
      <c r="I353" s="344"/>
      <c r="J353" s="73">
        <v>2</v>
      </c>
      <c r="K353" s="85" t="s">
        <v>1327</v>
      </c>
      <c r="L353" s="75" t="s">
        <v>2878</v>
      </c>
      <c r="M353" s="75" t="s">
        <v>770</v>
      </c>
      <c r="N353" s="75"/>
      <c r="O353" s="75"/>
      <c r="P353" s="75"/>
      <c r="Q353" s="15"/>
    </row>
    <row r="354" spans="2:17" ht="29.4" hidden="1" customHeight="1" outlineLevel="2" x14ac:dyDescent="0.3">
      <c r="B354" s="377"/>
      <c r="C354" s="15" t="s">
        <v>619</v>
      </c>
      <c r="D354" s="15" t="s">
        <v>620</v>
      </c>
      <c r="E354" s="70" t="s">
        <v>3914</v>
      </c>
      <c r="F354" s="73" t="s">
        <v>3913</v>
      </c>
      <c r="G354" s="340">
        <v>3</v>
      </c>
      <c r="H354" s="346">
        <f>(COUNTIF(F354:F356,$G$409)+(COUNTIF(F354:F356,$G$408)*0.5))/(COUNTA(F354:F356)-COUNTIF(F354:F356,$G$410))</f>
        <v>0</v>
      </c>
      <c r="I354" s="344"/>
      <c r="J354" s="73">
        <v>3</v>
      </c>
      <c r="K354" s="73" t="s">
        <v>1344</v>
      </c>
      <c r="L354" s="73"/>
      <c r="M354" s="73" t="s">
        <v>1809</v>
      </c>
      <c r="N354" s="75"/>
      <c r="O354" s="75" t="s">
        <v>2302</v>
      </c>
      <c r="P354" s="73" t="s">
        <v>1909</v>
      </c>
      <c r="Q354" s="15"/>
    </row>
    <row r="355" spans="2:17" ht="29.4" hidden="1" customHeight="1" outlineLevel="2" x14ac:dyDescent="0.3">
      <c r="B355" s="377"/>
      <c r="C355" s="15" t="s">
        <v>621</v>
      </c>
      <c r="D355" s="15" t="s">
        <v>622</v>
      </c>
      <c r="E355" s="70" t="s">
        <v>3914</v>
      </c>
      <c r="F355" s="73" t="s">
        <v>3913</v>
      </c>
      <c r="G355" s="341"/>
      <c r="H355" s="346"/>
      <c r="I355" s="344"/>
      <c r="J355" s="73">
        <v>3</v>
      </c>
      <c r="K355" s="73"/>
      <c r="L355" s="73"/>
      <c r="M355" s="73" t="s">
        <v>1825</v>
      </c>
      <c r="N355" s="75"/>
      <c r="O355" s="75"/>
      <c r="P355" s="73" t="s">
        <v>1910</v>
      </c>
      <c r="Q355" s="15"/>
    </row>
    <row r="356" spans="2:17" ht="29.4" hidden="1" customHeight="1" outlineLevel="2" x14ac:dyDescent="0.3">
      <c r="B356" s="377"/>
      <c r="C356" s="15" t="s">
        <v>623</v>
      </c>
      <c r="D356" s="15" t="s">
        <v>624</v>
      </c>
      <c r="E356" s="70" t="s">
        <v>3914</v>
      </c>
      <c r="F356" s="73" t="s">
        <v>3913</v>
      </c>
      <c r="G356" s="342"/>
      <c r="H356" s="346"/>
      <c r="I356" s="344"/>
      <c r="J356" s="73">
        <v>3</v>
      </c>
      <c r="K356" s="73" t="s">
        <v>544</v>
      </c>
      <c r="L356" s="73" t="s">
        <v>2879</v>
      </c>
      <c r="M356" s="73" t="s">
        <v>1352</v>
      </c>
      <c r="N356" s="75" t="s">
        <v>3182</v>
      </c>
      <c r="O356" s="75"/>
      <c r="P356" s="73" t="s">
        <v>1911</v>
      </c>
      <c r="Q356" s="15"/>
    </row>
    <row r="357" spans="2:17" ht="29.4" hidden="1" customHeight="1" outlineLevel="2" x14ac:dyDescent="0.3">
      <c r="B357" s="377"/>
      <c r="C357" s="15" t="s">
        <v>625</v>
      </c>
      <c r="D357" s="15" t="s">
        <v>626</v>
      </c>
      <c r="E357" s="70" t="s">
        <v>3914</v>
      </c>
      <c r="F357" s="73" t="s">
        <v>3913</v>
      </c>
      <c r="G357" s="71">
        <v>4</v>
      </c>
      <c r="H357" s="37">
        <f>(COUNTIF(F357,$G$409)+(COUNTIF(F357,$G$408)*0.5))/COUNTA(F357)</f>
        <v>0</v>
      </c>
      <c r="I357" s="344"/>
      <c r="J357" s="73">
        <v>7</v>
      </c>
      <c r="K357" s="73"/>
      <c r="L357" s="73"/>
      <c r="M357" s="73" t="s">
        <v>1809</v>
      </c>
      <c r="N357" s="75"/>
      <c r="O357" s="75" t="s">
        <v>2893</v>
      </c>
      <c r="P357" s="73" t="s">
        <v>1912</v>
      </c>
      <c r="Q357" s="15"/>
    </row>
    <row r="358" spans="2:17" ht="29.4" customHeight="1" outlineLevel="1" collapsed="1" x14ac:dyDescent="0.3">
      <c r="B358" s="382" t="str">
        <f>'Результаты аудита'!D38</f>
        <v>Консолидация дефектов ИБ</v>
      </c>
      <c r="C358" s="15" t="s">
        <v>627</v>
      </c>
      <c r="D358" s="15" t="s">
        <v>628</v>
      </c>
      <c r="E358" s="70" t="s">
        <v>3914</v>
      </c>
      <c r="F358" s="73" t="s">
        <v>3913</v>
      </c>
      <c r="G358" s="71">
        <v>0</v>
      </c>
      <c r="H358" s="70">
        <f>(COUNTIF(F358:F358,$F$407))/COUNTA(F358:F358)</f>
        <v>0</v>
      </c>
      <c r="I358" s="344">
        <f>SUM(H359:H365)/4</f>
        <v>0</v>
      </c>
      <c r="J358" s="73">
        <v>0</v>
      </c>
      <c r="K358" s="73"/>
      <c r="L358" s="73">
        <v>140</v>
      </c>
      <c r="M358" s="73" t="s">
        <v>1809</v>
      </c>
      <c r="N358" s="75"/>
      <c r="O358" s="75"/>
      <c r="P358" s="73" t="s">
        <v>1909</v>
      </c>
      <c r="Q358" s="15"/>
    </row>
    <row r="359" spans="2:17" ht="29.4" hidden="1" customHeight="1" outlineLevel="2" x14ac:dyDescent="0.3">
      <c r="B359" s="382"/>
      <c r="C359" s="15" t="s">
        <v>629</v>
      </c>
      <c r="D359" s="15" t="s">
        <v>630</v>
      </c>
      <c r="E359" s="70" t="s">
        <v>3914</v>
      </c>
      <c r="F359" s="73" t="s">
        <v>3913</v>
      </c>
      <c r="G359" s="340">
        <v>1</v>
      </c>
      <c r="H359" s="346">
        <f>(COUNTIF(F359:F360,$G$409)+(COUNTIF(F359:F360,$G$408)*0.5))/(COUNTA(F359:F360)-COUNTIF(F359:F360,$G$410))</f>
        <v>0</v>
      </c>
      <c r="I359" s="344"/>
      <c r="J359" s="73">
        <v>3</v>
      </c>
      <c r="K359" s="73" t="s">
        <v>631</v>
      </c>
      <c r="L359" s="73">
        <v>140</v>
      </c>
      <c r="M359" s="73"/>
      <c r="N359" s="75"/>
      <c r="O359" s="75"/>
      <c r="P359" s="73" t="s">
        <v>1909</v>
      </c>
      <c r="Q359" s="15"/>
    </row>
    <row r="360" spans="2:17" ht="29.4" hidden="1" customHeight="1" outlineLevel="2" x14ac:dyDescent="0.3">
      <c r="B360" s="382"/>
      <c r="C360" s="15" t="s">
        <v>632</v>
      </c>
      <c r="D360" s="15" t="s">
        <v>633</v>
      </c>
      <c r="E360" s="70" t="s">
        <v>3914</v>
      </c>
      <c r="F360" s="73" t="s">
        <v>3913</v>
      </c>
      <c r="G360" s="342"/>
      <c r="H360" s="346"/>
      <c r="I360" s="344"/>
      <c r="J360" s="73">
        <v>3</v>
      </c>
      <c r="K360" s="73"/>
      <c r="L360" s="73"/>
      <c r="M360" s="73"/>
      <c r="N360" s="75"/>
      <c r="O360" s="75"/>
      <c r="P360" s="73" t="s">
        <v>1913</v>
      </c>
      <c r="Q360" s="15"/>
    </row>
    <row r="361" spans="2:17" ht="29.4" hidden="1" customHeight="1" outlineLevel="2" x14ac:dyDescent="0.3">
      <c r="B361" s="382"/>
      <c r="C361" s="15" t="s">
        <v>634</v>
      </c>
      <c r="D361" s="15" t="s">
        <v>635</v>
      </c>
      <c r="E361" s="70" t="s">
        <v>3914</v>
      </c>
      <c r="F361" s="73" t="s">
        <v>3913</v>
      </c>
      <c r="G361" s="71">
        <v>2</v>
      </c>
      <c r="H361" s="37">
        <f>(COUNTIF(F361,$G$409)+(COUNTIF(F361,$G$408)*0.5))/COUNTA(F361)</f>
        <v>0</v>
      </c>
      <c r="I361" s="344"/>
      <c r="J361" s="73">
        <v>4</v>
      </c>
      <c r="K361" s="73" t="s">
        <v>631</v>
      </c>
      <c r="L361" s="73">
        <v>140</v>
      </c>
      <c r="M361" s="73"/>
      <c r="N361" s="75"/>
      <c r="O361" s="75"/>
      <c r="P361" s="73"/>
      <c r="Q361" s="15"/>
    </row>
    <row r="362" spans="2:17" ht="29.4" hidden="1" customHeight="1" outlineLevel="2" x14ac:dyDescent="0.3">
      <c r="B362" s="382"/>
      <c r="C362" s="15" t="s">
        <v>636</v>
      </c>
      <c r="D362" s="15" t="s">
        <v>637</v>
      </c>
      <c r="E362" s="70" t="s">
        <v>3914</v>
      </c>
      <c r="F362" s="73" t="s">
        <v>3913</v>
      </c>
      <c r="G362" s="340">
        <v>3</v>
      </c>
      <c r="H362" s="346">
        <f>(COUNTIF(F362:F364,$G$409)+(COUNTIF(F362:F364,$G$408)*0.5))/(COUNTA(F362:F364)-COUNTIF(F362:F364,$G$410))</f>
        <v>0</v>
      </c>
      <c r="I362" s="344"/>
      <c r="J362" s="73">
        <v>5</v>
      </c>
      <c r="K362" s="73" t="s">
        <v>1345</v>
      </c>
      <c r="L362" s="73"/>
      <c r="M362" s="73"/>
      <c r="N362" s="75"/>
      <c r="O362" s="75"/>
      <c r="P362" s="73"/>
      <c r="Q362" s="15"/>
    </row>
    <row r="363" spans="2:17" ht="29.4" hidden="1" customHeight="1" outlineLevel="2" x14ac:dyDescent="0.3">
      <c r="B363" s="382"/>
      <c r="C363" s="15" t="s">
        <v>638</v>
      </c>
      <c r="D363" s="15" t="s">
        <v>639</v>
      </c>
      <c r="E363" s="70" t="s">
        <v>3914</v>
      </c>
      <c r="F363" s="73" t="s">
        <v>3913</v>
      </c>
      <c r="G363" s="341"/>
      <c r="H363" s="346"/>
      <c r="I363" s="344"/>
      <c r="J363" s="73">
        <v>5</v>
      </c>
      <c r="K363" s="85" t="s">
        <v>1346</v>
      </c>
      <c r="L363" s="86"/>
      <c r="M363" s="73"/>
      <c r="N363" s="75"/>
      <c r="O363" s="75"/>
      <c r="P363" s="73"/>
      <c r="Q363" s="15"/>
    </row>
    <row r="364" spans="2:17" ht="29.4" hidden="1" customHeight="1" outlineLevel="2" x14ac:dyDescent="0.3">
      <c r="B364" s="382"/>
      <c r="C364" s="15" t="s">
        <v>640</v>
      </c>
      <c r="D364" s="15" t="s">
        <v>641</v>
      </c>
      <c r="E364" s="70" t="s">
        <v>3914</v>
      </c>
      <c r="F364" s="73" t="s">
        <v>3913</v>
      </c>
      <c r="G364" s="342"/>
      <c r="H364" s="346"/>
      <c r="I364" s="344"/>
      <c r="J364" s="73">
        <v>6</v>
      </c>
      <c r="K364" s="73" t="s">
        <v>1346</v>
      </c>
      <c r="L364" s="73"/>
      <c r="M364" s="73"/>
      <c r="N364" s="75"/>
      <c r="O364" s="75"/>
      <c r="P364" s="73"/>
      <c r="Q364" s="15"/>
    </row>
    <row r="365" spans="2:17" ht="29.4" hidden="1" customHeight="1" outlineLevel="2" x14ac:dyDescent="0.3">
      <c r="B365" s="382"/>
      <c r="C365" s="82" t="s">
        <v>642</v>
      </c>
      <c r="D365" s="82" t="s">
        <v>2303</v>
      </c>
      <c r="E365" s="70" t="s">
        <v>3914</v>
      </c>
      <c r="F365" s="73" t="s">
        <v>3913</v>
      </c>
      <c r="G365" s="71">
        <v>4</v>
      </c>
      <c r="H365" s="37">
        <f>(COUNTIF(F365,$G$409)+(COUNTIF(F365,$G$408)*0.5))/COUNTA(F365)</f>
        <v>0</v>
      </c>
      <c r="I365" s="344"/>
      <c r="J365" s="73">
        <v>6</v>
      </c>
      <c r="K365" s="73"/>
      <c r="L365" s="73"/>
      <c r="M365" s="73"/>
      <c r="N365" s="75"/>
      <c r="O365" s="75"/>
      <c r="P365" s="73"/>
      <c r="Q365" s="15"/>
    </row>
    <row r="366" spans="2:17" ht="3.6" customHeight="1" outlineLevel="1" collapsed="1" x14ac:dyDescent="0.3">
      <c r="B366" s="36"/>
      <c r="C366" s="74"/>
      <c r="D366" s="74"/>
      <c r="E366" s="70"/>
      <c r="F366" s="73"/>
      <c r="G366" s="71"/>
      <c r="H366" s="37"/>
      <c r="I366" s="78"/>
      <c r="J366" s="73"/>
      <c r="K366" s="75"/>
      <c r="L366" s="75"/>
      <c r="M366" s="75"/>
      <c r="N366" s="75"/>
      <c r="O366" s="75"/>
      <c r="P366" s="13"/>
      <c r="Q366" s="15"/>
    </row>
    <row r="367" spans="2:17" ht="29.4" customHeight="1" x14ac:dyDescent="0.3">
      <c r="B367" s="350" t="s">
        <v>2300</v>
      </c>
      <c r="C367" s="350"/>
      <c r="D367" s="350"/>
      <c r="E367" s="123"/>
      <c r="F367" s="124"/>
      <c r="G367" s="125"/>
      <c r="H367" s="350"/>
      <c r="I367" s="350"/>
      <c r="J367" s="350"/>
      <c r="K367" s="350"/>
      <c r="L367" s="350"/>
      <c r="M367" s="350"/>
      <c r="N367" s="350"/>
      <c r="O367" s="350"/>
      <c r="P367" s="350"/>
      <c r="Q367" s="291"/>
    </row>
    <row r="368" spans="2:17" ht="29.4" customHeight="1" outlineLevel="1" x14ac:dyDescent="0.3">
      <c r="B368" s="347" t="str">
        <f>'Результаты аудита'!D39</f>
        <v>Управление набором метрик ИБ</v>
      </c>
      <c r="C368" s="82" t="s">
        <v>643</v>
      </c>
      <c r="D368" s="82" t="s">
        <v>2288</v>
      </c>
      <c r="E368" s="70" t="s">
        <v>3914</v>
      </c>
      <c r="F368" s="73" t="s">
        <v>3913</v>
      </c>
      <c r="G368" s="71">
        <v>0</v>
      </c>
      <c r="H368" s="70">
        <f>(COUNTIF(F368:F368,$F$407))/COUNTA(F368:F368)</f>
        <v>0</v>
      </c>
      <c r="I368" s="344">
        <f>SUM(H369:H372)/2</f>
        <v>0</v>
      </c>
      <c r="J368" s="73">
        <v>0</v>
      </c>
      <c r="K368" s="73"/>
      <c r="L368" s="73"/>
      <c r="M368" s="73"/>
      <c r="N368" s="75"/>
      <c r="O368" s="75"/>
      <c r="P368" s="73" t="s">
        <v>1914</v>
      </c>
      <c r="Q368" s="15"/>
    </row>
    <row r="369" spans="2:17" ht="29.4" hidden="1" customHeight="1" outlineLevel="2" x14ac:dyDescent="0.3">
      <c r="B369" s="347"/>
      <c r="C369" s="82" t="s">
        <v>644</v>
      </c>
      <c r="D369" s="82" t="s">
        <v>2289</v>
      </c>
      <c r="E369" s="70" t="s">
        <v>3914</v>
      </c>
      <c r="F369" s="73" t="s">
        <v>3913</v>
      </c>
      <c r="G369" s="340">
        <v>2</v>
      </c>
      <c r="H369" s="346">
        <f>(COUNTIF(F369:F370,$G$409)+(COUNTIF(F369:F370,$G$408)*0.5))/(COUNTA(F369:F370)-COUNTIF(F369:F370,$G$410))</f>
        <v>0</v>
      </c>
      <c r="I369" s="344"/>
      <c r="J369" s="73">
        <v>3</v>
      </c>
      <c r="K369" s="73" t="s">
        <v>645</v>
      </c>
      <c r="L369" s="73"/>
      <c r="M369" s="73" t="s">
        <v>646</v>
      </c>
      <c r="N369" s="75"/>
      <c r="O369" s="75"/>
      <c r="P369" s="73" t="s">
        <v>1915</v>
      </c>
      <c r="Q369" s="15"/>
    </row>
    <row r="370" spans="2:17" ht="29.4" hidden="1" customHeight="1" outlineLevel="2" x14ac:dyDescent="0.3">
      <c r="B370" s="347"/>
      <c r="C370" s="82" t="s">
        <v>647</v>
      </c>
      <c r="D370" s="82" t="s">
        <v>648</v>
      </c>
      <c r="E370" s="70" t="s">
        <v>3914</v>
      </c>
      <c r="F370" s="73" t="s">
        <v>3913</v>
      </c>
      <c r="G370" s="342"/>
      <c r="H370" s="346"/>
      <c r="I370" s="344"/>
      <c r="J370" s="73">
        <v>3</v>
      </c>
      <c r="K370" s="86"/>
      <c r="L370" s="86"/>
      <c r="M370" s="73" t="s">
        <v>649</v>
      </c>
      <c r="N370" s="75"/>
      <c r="O370" s="75"/>
      <c r="P370" s="73" t="s">
        <v>1915</v>
      </c>
      <c r="Q370" s="15"/>
    </row>
    <row r="371" spans="2:17" ht="29.4" hidden="1" customHeight="1" outlineLevel="2" x14ac:dyDescent="0.3">
      <c r="B371" s="347"/>
      <c r="C371" s="74" t="s">
        <v>650</v>
      </c>
      <c r="D371" s="82" t="s">
        <v>651</v>
      </c>
      <c r="E371" s="70" t="s">
        <v>3914</v>
      </c>
      <c r="F371" s="73" t="s">
        <v>3913</v>
      </c>
      <c r="G371" s="340">
        <v>3</v>
      </c>
      <c r="H371" s="346">
        <f>(COUNTIF(F371:F372,$G$409)+(COUNTIF(F371:F372,$G$408)*0.5))/(COUNTA(F371:F372)-COUNTIF(F371:F372,$G$410))</f>
        <v>0</v>
      </c>
      <c r="I371" s="344"/>
      <c r="J371" s="73">
        <v>4</v>
      </c>
      <c r="K371" s="73" t="s">
        <v>645</v>
      </c>
      <c r="L371" s="73"/>
      <c r="M371" s="73"/>
      <c r="N371" s="75"/>
      <c r="O371" s="75"/>
      <c r="P371" s="73" t="s">
        <v>1916</v>
      </c>
      <c r="Q371" s="15"/>
    </row>
    <row r="372" spans="2:17" ht="29.4" hidden="1" customHeight="1" outlineLevel="2" x14ac:dyDescent="0.3">
      <c r="B372" s="347"/>
      <c r="C372" s="74" t="str">
        <f>SAMM_mapping!F9</f>
        <v>P-MET-SET-3-2</v>
      </c>
      <c r="D372" s="82" t="s">
        <v>653</v>
      </c>
      <c r="E372" s="70" t="s">
        <v>3914</v>
      </c>
      <c r="F372" s="73" t="s">
        <v>3913</v>
      </c>
      <c r="G372" s="342"/>
      <c r="H372" s="346"/>
      <c r="I372" s="344"/>
      <c r="J372" s="73">
        <v>4</v>
      </c>
      <c r="K372" s="73"/>
      <c r="L372" s="73"/>
      <c r="M372" s="73" t="s">
        <v>660</v>
      </c>
      <c r="N372" s="75"/>
      <c r="O372" s="75"/>
      <c r="P372" s="73"/>
      <c r="Q372" s="15"/>
    </row>
    <row r="373" spans="2:17" ht="29.4" customHeight="1" outlineLevel="1" collapsed="1" x14ac:dyDescent="0.3">
      <c r="B373" s="352" t="str">
        <f>'Результаты аудита'!D40</f>
        <v>Контроль исполнения метрик</v>
      </c>
      <c r="C373" s="82" t="s">
        <v>654</v>
      </c>
      <c r="D373" s="82" t="s">
        <v>655</v>
      </c>
      <c r="E373" s="70" t="s">
        <v>3914</v>
      </c>
      <c r="F373" s="73" t="s">
        <v>3913</v>
      </c>
      <c r="G373" s="71">
        <v>0</v>
      </c>
      <c r="H373" s="70">
        <f>(COUNTIF(F373:F373,$F$407))/COUNTA(F373:F373)</f>
        <v>0</v>
      </c>
      <c r="I373" s="344">
        <f>SUM(H374:H379)/3</f>
        <v>0</v>
      </c>
      <c r="J373" s="73">
        <v>0</v>
      </c>
      <c r="K373" s="73"/>
      <c r="L373" s="73"/>
      <c r="M373" s="73" t="s">
        <v>660</v>
      </c>
      <c r="N373" s="75"/>
      <c r="O373" s="75"/>
      <c r="P373" s="73"/>
      <c r="Q373" s="15"/>
    </row>
    <row r="374" spans="2:17" ht="29.4" hidden="1" customHeight="1" outlineLevel="2" x14ac:dyDescent="0.3">
      <c r="B374" s="352"/>
      <c r="C374" s="82" t="s">
        <v>656</v>
      </c>
      <c r="D374" s="82" t="s">
        <v>657</v>
      </c>
      <c r="E374" s="70" t="s">
        <v>3914</v>
      </c>
      <c r="F374" s="73" t="s">
        <v>3913</v>
      </c>
      <c r="G374" s="340">
        <v>2</v>
      </c>
      <c r="H374" s="346">
        <f>(COUNTIF(F374:F375,$G$409)+(COUNTIF(F374:F375,$G$408)*0.5))/(COUNTA(F374:F375)-COUNTIF(F374:F375,$G$410))</f>
        <v>0</v>
      </c>
      <c r="I374" s="344"/>
      <c r="J374" s="73">
        <v>3</v>
      </c>
      <c r="K374" s="73" t="s">
        <v>645</v>
      </c>
      <c r="L374" s="73"/>
      <c r="M374" s="73"/>
      <c r="N374" s="75"/>
      <c r="O374" s="75"/>
      <c r="P374" s="73"/>
      <c r="Q374" s="15"/>
    </row>
    <row r="375" spans="2:17" ht="29.4" hidden="1" customHeight="1" outlineLevel="2" x14ac:dyDescent="0.3">
      <c r="B375" s="352"/>
      <c r="C375" s="82" t="s">
        <v>658</v>
      </c>
      <c r="D375" s="82" t="s">
        <v>659</v>
      </c>
      <c r="E375" s="70" t="s">
        <v>3914</v>
      </c>
      <c r="F375" s="73" t="s">
        <v>3913</v>
      </c>
      <c r="G375" s="342"/>
      <c r="H375" s="346"/>
      <c r="I375" s="344"/>
      <c r="J375" s="73">
        <v>3</v>
      </c>
      <c r="K375" s="73"/>
      <c r="L375" s="73"/>
      <c r="M375" s="73"/>
      <c r="N375" s="75"/>
      <c r="O375" s="75"/>
      <c r="P375" s="73"/>
      <c r="Q375" s="15"/>
    </row>
    <row r="376" spans="2:17" ht="29.4" hidden="1" customHeight="1" outlineLevel="2" x14ac:dyDescent="0.3">
      <c r="B376" s="352"/>
      <c r="C376" s="74" t="s">
        <v>661</v>
      </c>
      <c r="D376" s="74" t="s">
        <v>662</v>
      </c>
      <c r="E376" s="70" t="s">
        <v>3914</v>
      </c>
      <c r="F376" s="73" t="s">
        <v>3913</v>
      </c>
      <c r="G376" s="340">
        <v>3</v>
      </c>
      <c r="H376" s="346">
        <f>(COUNTIF(F376:F378,$G$409)+(COUNTIF(F376:F378,$G$408)*0.5))/(COUNTA(F376:F378)-COUNTIF(F376:F378,$G$410))</f>
        <v>0</v>
      </c>
      <c r="I376" s="344"/>
      <c r="J376" s="73">
        <v>4</v>
      </c>
      <c r="K376" s="73"/>
      <c r="L376" s="73"/>
      <c r="M376" s="73"/>
      <c r="N376" s="75"/>
      <c r="O376" s="75"/>
      <c r="P376" s="73"/>
      <c r="Q376" s="15"/>
    </row>
    <row r="377" spans="2:17" ht="29.4" hidden="1" customHeight="1" outlineLevel="2" x14ac:dyDescent="0.3">
      <c r="B377" s="352"/>
      <c r="C377" s="74" t="s">
        <v>663</v>
      </c>
      <c r="D377" s="74" t="s">
        <v>664</v>
      </c>
      <c r="E377" s="70" t="s">
        <v>3914</v>
      </c>
      <c r="F377" s="73" t="s">
        <v>3913</v>
      </c>
      <c r="G377" s="341"/>
      <c r="H377" s="346"/>
      <c r="I377" s="344"/>
      <c r="J377" s="73">
        <v>4</v>
      </c>
      <c r="K377" s="73"/>
      <c r="L377" s="73"/>
      <c r="M377" s="73"/>
      <c r="N377" s="75"/>
      <c r="O377" s="75"/>
      <c r="P377" s="73" t="s">
        <v>1917</v>
      </c>
      <c r="Q377" s="15"/>
    </row>
    <row r="378" spans="2:17" ht="29.4" hidden="1" customHeight="1" outlineLevel="2" x14ac:dyDescent="0.3">
      <c r="B378" s="352"/>
      <c r="C378" s="74" t="s">
        <v>665</v>
      </c>
      <c r="D378" s="74" t="s">
        <v>666</v>
      </c>
      <c r="E378" s="70" t="s">
        <v>3914</v>
      </c>
      <c r="F378" s="73" t="s">
        <v>3913</v>
      </c>
      <c r="G378" s="342"/>
      <c r="H378" s="346"/>
      <c r="I378" s="344"/>
      <c r="J378" s="73">
        <v>4</v>
      </c>
      <c r="K378" s="85" t="s">
        <v>714</v>
      </c>
      <c r="L378" s="86"/>
      <c r="M378" s="73"/>
      <c r="N378" s="75"/>
      <c r="O378" s="75"/>
      <c r="P378" s="73"/>
      <c r="Q378" s="15"/>
    </row>
    <row r="379" spans="2:17" ht="29.4" hidden="1" customHeight="1" outlineLevel="2" x14ac:dyDescent="0.3">
      <c r="B379" s="352"/>
      <c r="C379" s="82" t="s">
        <v>667</v>
      </c>
      <c r="D379" s="82" t="s">
        <v>668</v>
      </c>
      <c r="E379" s="70" t="s">
        <v>3914</v>
      </c>
      <c r="F379" s="73" t="s">
        <v>3913</v>
      </c>
      <c r="G379" s="71">
        <v>4</v>
      </c>
      <c r="H379" s="37">
        <f>(COUNTIF(F379,$G$409)+(COUNTIF(F379,$G$408)*0.5))/COUNTA(F379)</f>
        <v>0</v>
      </c>
      <c r="I379" s="344"/>
      <c r="J379" s="73">
        <v>6</v>
      </c>
      <c r="K379" s="73" t="s">
        <v>723</v>
      </c>
      <c r="L379" s="73"/>
      <c r="M379" s="73"/>
      <c r="N379" s="75"/>
      <c r="O379" s="75"/>
      <c r="P379" s="73"/>
      <c r="Q379" s="15"/>
    </row>
    <row r="380" spans="2:17" ht="3.6" customHeight="1" outlineLevel="1" collapsed="1" x14ac:dyDescent="0.3">
      <c r="B380" s="36"/>
      <c r="C380" s="74"/>
      <c r="D380" s="74"/>
      <c r="E380" s="70"/>
      <c r="F380" s="73"/>
      <c r="G380" s="71"/>
      <c r="H380" s="37"/>
      <c r="I380" s="78"/>
      <c r="J380" s="73"/>
      <c r="K380" s="75"/>
      <c r="L380" s="75"/>
      <c r="M380" s="75"/>
      <c r="N380" s="75"/>
      <c r="O380" s="75"/>
      <c r="P380" s="13"/>
      <c r="Q380" s="15"/>
    </row>
    <row r="381" spans="2:17" ht="29.4" customHeight="1" x14ac:dyDescent="0.3">
      <c r="B381" s="345" t="s">
        <v>669</v>
      </c>
      <c r="C381" s="345"/>
      <c r="D381" s="345"/>
      <c r="E381" s="126"/>
      <c r="F381" s="127"/>
      <c r="G381" s="128"/>
      <c r="H381" s="345"/>
      <c r="I381" s="345"/>
      <c r="J381" s="345"/>
      <c r="K381" s="345"/>
      <c r="L381" s="345"/>
      <c r="M381" s="345"/>
      <c r="N381" s="345"/>
      <c r="O381" s="345"/>
      <c r="P381" s="345"/>
      <c r="Q381" s="292"/>
    </row>
    <row r="382" spans="2:17" ht="29.4" customHeight="1" outlineLevel="1" x14ac:dyDescent="0.3">
      <c r="B382" s="380" t="str">
        <f>'Результаты аудита'!D41</f>
        <v>Security Champions</v>
      </c>
      <c r="C382" s="87" t="s">
        <v>670</v>
      </c>
      <c r="D382" s="87" t="s">
        <v>671</v>
      </c>
      <c r="E382" s="70" t="s">
        <v>3914</v>
      </c>
      <c r="F382" s="73" t="s">
        <v>3913</v>
      </c>
      <c r="G382" s="89">
        <v>0</v>
      </c>
      <c r="H382" s="72">
        <f>(COUNTIF(F382:F382,$F$407))/COUNTA(F382:F382)</f>
        <v>0</v>
      </c>
      <c r="I382" s="344">
        <f>SUM(H383:H393)/4</f>
        <v>0</v>
      </c>
      <c r="J382" s="73">
        <v>0</v>
      </c>
      <c r="K382" s="85" t="s">
        <v>672</v>
      </c>
      <c r="L382" s="88">
        <v>50</v>
      </c>
      <c r="M382" s="88" t="s">
        <v>1826</v>
      </c>
      <c r="N382" s="90" t="s">
        <v>3172</v>
      </c>
      <c r="O382" s="90"/>
      <c r="P382" s="88" t="s">
        <v>1918</v>
      </c>
      <c r="Q382" s="15"/>
    </row>
    <row r="383" spans="2:17" ht="29.4" hidden="1" customHeight="1" outlineLevel="2" x14ac:dyDescent="0.3">
      <c r="B383" s="380"/>
      <c r="C383" s="82" t="s">
        <v>673</v>
      </c>
      <c r="D383" s="82" t="s">
        <v>674</v>
      </c>
      <c r="E383" s="70" t="s">
        <v>3914</v>
      </c>
      <c r="F383" s="73" t="s">
        <v>3913</v>
      </c>
      <c r="G383" s="104">
        <v>1</v>
      </c>
      <c r="H383" s="37">
        <f>(COUNTIF(F383,$G$409)+(COUNTIF(F383,$G$408)*0.5))/COUNTA(F383)</f>
        <v>0</v>
      </c>
      <c r="I383" s="344"/>
      <c r="J383" s="73">
        <v>1</v>
      </c>
      <c r="K383" s="73"/>
      <c r="L383" s="73"/>
      <c r="M383" s="73"/>
      <c r="N383" s="75"/>
      <c r="O383" s="75"/>
      <c r="P383" s="73" t="s">
        <v>1918</v>
      </c>
      <c r="Q383" s="15"/>
    </row>
    <row r="384" spans="2:17" ht="29.4" hidden="1" customHeight="1" outlineLevel="2" x14ac:dyDescent="0.3">
      <c r="B384" s="380"/>
      <c r="C384" s="82" t="s">
        <v>675</v>
      </c>
      <c r="D384" s="82" t="s">
        <v>676</v>
      </c>
      <c r="E384" s="70" t="s">
        <v>3914</v>
      </c>
      <c r="F384" s="73" t="s">
        <v>3913</v>
      </c>
      <c r="G384" s="366">
        <v>2</v>
      </c>
      <c r="H384" s="362">
        <f>(COUNTIF(F384:F385,$G$409)+(COUNTIF(F384:F385,$G$408)*0.5))/(COUNTA(F384:F385)-COUNTIF(F384:F385,$G$410))</f>
        <v>0</v>
      </c>
      <c r="I384" s="344"/>
      <c r="J384" s="73">
        <v>3</v>
      </c>
      <c r="K384" s="73"/>
      <c r="L384" s="73">
        <v>50</v>
      </c>
      <c r="M384" s="73" t="s">
        <v>1826</v>
      </c>
      <c r="N384" s="90" t="s">
        <v>3172</v>
      </c>
      <c r="O384" s="75"/>
      <c r="P384" s="73" t="s">
        <v>1918</v>
      </c>
      <c r="Q384" s="15"/>
    </row>
    <row r="385" spans="2:17" ht="29.4" hidden="1" customHeight="1" outlineLevel="2" x14ac:dyDescent="0.3">
      <c r="B385" s="380"/>
      <c r="C385" s="82" t="s">
        <v>678</v>
      </c>
      <c r="D385" s="82" t="s">
        <v>679</v>
      </c>
      <c r="E385" s="70" t="s">
        <v>3914</v>
      </c>
      <c r="F385" s="73" t="s">
        <v>3913</v>
      </c>
      <c r="G385" s="368"/>
      <c r="H385" s="363"/>
      <c r="I385" s="344"/>
      <c r="J385" s="73">
        <v>3</v>
      </c>
      <c r="K385" s="73"/>
      <c r="L385" s="73">
        <v>43</v>
      </c>
      <c r="M385" s="73"/>
      <c r="N385" s="90"/>
      <c r="O385" s="75"/>
      <c r="P385" s="73" t="s">
        <v>1895</v>
      </c>
      <c r="Q385" s="15"/>
    </row>
    <row r="386" spans="2:17" ht="29.4" hidden="1" customHeight="1" outlineLevel="2" x14ac:dyDescent="0.3">
      <c r="B386" s="380"/>
      <c r="C386" s="74" t="s">
        <v>680</v>
      </c>
      <c r="D386" s="74" t="s">
        <v>681</v>
      </c>
      <c r="E386" s="70" t="s">
        <v>3914</v>
      </c>
      <c r="F386" s="73" t="s">
        <v>3913</v>
      </c>
      <c r="G386" s="366">
        <v>3</v>
      </c>
      <c r="H386" s="362">
        <f>(COUNTIF(F386:F389,$G$409)+(COUNTIF(F386:F389,$G$408)*0.5))/(COUNTA(F386:F389)-COUNTIF(F386:F389,$G$410))</f>
        <v>0</v>
      </c>
      <c r="I386" s="344"/>
      <c r="J386" s="73">
        <v>4</v>
      </c>
      <c r="K386" s="73"/>
      <c r="L386" s="73"/>
      <c r="M386" s="73"/>
      <c r="N386" s="75"/>
      <c r="O386" s="75"/>
      <c r="P386" s="73" t="s">
        <v>1918</v>
      </c>
      <c r="Q386" s="15"/>
    </row>
    <row r="387" spans="2:17" ht="29.4" hidden="1" customHeight="1" outlineLevel="2" x14ac:dyDescent="0.3">
      <c r="B387" s="380"/>
      <c r="C387" s="74" t="s">
        <v>682</v>
      </c>
      <c r="D387" s="74" t="s">
        <v>683</v>
      </c>
      <c r="E387" s="70" t="s">
        <v>3914</v>
      </c>
      <c r="F387" s="73" t="s">
        <v>3913</v>
      </c>
      <c r="G387" s="367"/>
      <c r="H387" s="370"/>
      <c r="I387" s="344"/>
      <c r="J387" s="73">
        <v>4</v>
      </c>
      <c r="K387" s="73" t="s">
        <v>684</v>
      </c>
      <c r="L387" s="73"/>
      <c r="M387" s="73"/>
      <c r="N387" s="75"/>
      <c r="O387" s="75"/>
      <c r="P387" s="73" t="s">
        <v>1918</v>
      </c>
      <c r="Q387" s="15"/>
    </row>
    <row r="388" spans="2:17" ht="29.4" hidden="1" customHeight="1" outlineLevel="2" x14ac:dyDescent="0.3">
      <c r="B388" s="380"/>
      <c r="C388" s="74" t="s">
        <v>685</v>
      </c>
      <c r="D388" s="74" t="s">
        <v>686</v>
      </c>
      <c r="E388" s="70" t="s">
        <v>3914</v>
      </c>
      <c r="F388" s="73" t="s">
        <v>3913</v>
      </c>
      <c r="G388" s="367"/>
      <c r="H388" s="370"/>
      <c r="I388" s="344"/>
      <c r="J388" s="73">
        <v>4</v>
      </c>
      <c r="K388" s="73"/>
      <c r="L388" s="73"/>
      <c r="M388" s="73" t="s">
        <v>1827</v>
      </c>
      <c r="N388" s="90" t="s">
        <v>3172</v>
      </c>
      <c r="O388" s="75"/>
      <c r="P388" s="73" t="s">
        <v>1895</v>
      </c>
      <c r="Q388" s="15"/>
    </row>
    <row r="389" spans="2:17" ht="29.4" hidden="1" customHeight="1" outlineLevel="2" x14ac:dyDescent="0.3">
      <c r="B389" s="380"/>
      <c r="C389" s="74" t="s">
        <v>687</v>
      </c>
      <c r="D389" s="74" t="s">
        <v>1424</v>
      </c>
      <c r="E389" s="70" t="s">
        <v>3914</v>
      </c>
      <c r="F389" s="73" t="s">
        <v>3913</v>
      </c>
      <c r="G389" s="368"/>
      <c r="H389" s="363"/>
      <c r="I389" s="344"/>
      <c r="J389" s="73">
        <v>4</v>
      </c>
      <c r="K389" s="73"/>
      <c r="L389" s="73"/>
      <c r="M389" s="73"/>
      <c r="N389" s="75"/>
      <c r="O389" s="75"/>
      <c r="P389" s="73"/>
      <c r="Q389" s="15"/>
    </row>
    <row r="390" spans="2:17" ht="29.4" hidden="1" customHeight="1" outlineLevel="2" x14ac:dyDescent="0.3">
      <c r="B390" s="380"/>
      <c r="C390" s="74" t="s">
        <v>688</v>
      </c>
      <c r="D390" s="74" t="s">
        <v>689</v>
      </c>
      <c r="E390" s="70" t="s">
        <v>3914</v>
      </c>
      <c r="F390" s="73" t="s">
        <v>3913</v>
      </c>
      <c r="G390" s="366">
        <v>4</v>
      </c>
      <c r="H390" s="362">
        <f>(COUNTIF(F390:F393,$G$409)+(COUNTIF(F390:F393,$G$408)*0.5))/(COUNTA(F390:F393)-COUNTIF(F390:F393,$G$410))</f>
        <v>0</v>
      </c>
      <c r="I390" s="344"/>
      <c r="J390" s="73">
        <v>7</v>
      </c>
      <c r="K390" s="73" t="s">
        <v>1347</v>
      </c>
      <c r="L390" s="73"/>
      <c r="M390" s="73"/>
      <c r="N390" s="75"/>
      <c r="O390" s="75"/>
      <c r="P390" s="73" t="s">
        <v>1895</v>
      </c>
      <c r="Q390" s="15"/>
    </row>
    <row r="391" spans="2:17" ht="29.4" hidden="1" customHeight="1" outlineLevel="2" x14ac:dyDescent="0.3">
      <c r="B391" s="380"/>
      <c r="C391" s="74" t="s">
        <v>690</v>
      </c>
      <c r="D391" s="74" t="s">
        <v>691</v>
      </c>
      <c r="E391" s="70" t="s">
        <v>3914</v>
      </c>
      <c r="F391" s="73" t="s">
        <v>3913</v>
      </c>
      <c r="G391" s="367"/>
      <c r="H391" s="370"/>
      <c r="I391" s="344"/>
      <c r="J391" s="73">
        <v>7</v>
      </c>
      <c r="K391" s="73"/>
      <c r="L391" s="73"/>
      <c r="M391" s="73"/>
      <c r="N391" s="75"/>
      <c r="O391" s="75"/>
      <c r="P391" s="73"/>
      <c r="Q391" s="15"/>
    </row>
    <row r="392" spans="2:17" ht="29.4" hidden="1" customHeight="1" outlineLevel="2" x14ac:dyDescent="0.3">
      <c r="B392" s="380"/>
      <c r="C392" s="74" t="s">
        <v>692</v>
      </c>
      <c r="D392" s="74" t="s">
        <v>693</v>
      </c>
      <c r="E392" s="70" t="s">
        <v>3914</v>
      </c>
      <c r="F392" s="73" t="s">
        <v>3913</v>
      </c>
      <c r="G392" s="367"/>
      <c r="H392" s="370"/>
      <c r="I392" s="344"/>
      <c r="J392" s="73">
        <v>7</v>
      </c>
      <c r="K392" s="73"/>
      <c r="L392" s="73"/>
      <c r="M392" s="73"/>
      <c r="N392" s="75"/>
      <c r="O392" s="75"/>
      <c r="P392" s="73" t="s">
        <v>1919</v>
      </c>
      <c r="Q392" s="15"/>
    </row>
    <row r="393" spans="2:17" ht="29.4" hidden="1" customHeight="1" outlineLevel="2" x14ac:dyDescent="0.3">
      <c r="B393" s="381"/>
      <c r="C393" s="74" t="s">
        <v>694</v>
      </c>
      <c r="D393" s="74" t="s">
        <v>695</v>
      </c>
      <c r="E393" s="70" t="s">
        <v>3914</v>
      </c>
      <c r="F393" s="73" t="s">
        <v>3913</v>
      </c>
      <c r="G393" s="368"/>
      <c r="H393" s="363"/>
      <c r="I393" s="344"/>
      <c r="J393" s="73">
        <v>7</v>
      </c>
      <c r="K393" s="73"/>
      <c r="L393" s="73"/>
      <c r="M393" s="73"/>
      <c r="N393" s="75"/>
      <c r="O393" s="75"/>
      <c r="P393" s="73"/>
      <c r="Q393" s="15"/>
    </row>
    <row r="394" spans="2:17" ht="29.4" customHeight="1" outlineLevel="1" collapsed="1" x14ac:dyDescent="0.3">
      <c r="B394" s="369" t="str">
        <f>'Результаты аудита'!D42</f>
        <v>Разграничение ролей процесса DSO</v>
      </c>
      <c r="C394" s="74" t="s">
        <v>696</v>
      </c>
      <c r="D394" s="74" t="s">
        <v>697</v>
      </c>
      <c r="E394" s="70" t="s">
        <v>3914</v>
      </c>
      <c r="F394" s="73" t="s">
        <v>3913</v>
      </c>
      <c r="G394" s="104">
        <v>0</v>
      </c>
      <c r="H394" s="70">
        <f>(COUNTIF(F394:F394,$F$407))/COUNTA(F394:F394)</f>
        <v>0</v>
      </c>
      <c r="I394" s="344">
        <f>SUM(H395:H401)/3</f>
        <v>0</v>
      </c>
      <c r="J394" s="73">
        <v>0</v>
      </c>
      <c r="K394" s="73"/>
      <c r="L394" s="73"/>
      <c r="M394" s="73"/>
      <c r="N394" s="90" t="s">
        <v>3172</v>
      </c>
      <c r="O394" s="75"/>
      <c r="P394" s="15"/>
      <c r="Q394" s="15"/>
    </row>
    <row r="395" spans="2:17" ht="29.4" hidden="1" customHeight="1" outlineLevel="2" x14ac:dyDescent="0.3">
      <c r="B395" s="369"/>
      <c r="C395" s="74" t="s">
        <v>698</v>
      </c>
      <c r="D395" s="74" t="s">
        <v>699</v>
      </c>
      <c r="E395" s="70" t="s">
        <v>3914</v>
      </c>
      <c r="F395" s="73" t="s">
        <v>3913</v>
      </c>
      <c r="G395" s="366">
        <v>1</v>
      </c>
      <c r="H395" s="346">
        <f>(COUNTIF(F395:F396,$G$409)+(COUNTIF(F395:F396,$G$408)*0.5))/(COUNTA(F395:F396)-COUNTIF(F395:F396,$G$410))</f>
        <v>0</v>
      </c>
      <c r="I395" s="344"/>
      <c r="J395" s="73">
        <v>1</v>
      </c>
      <c r="K395" s="73"/>
      <c r="L395" s="73"/>
      <c r="M395" s="73" t="s">
        <v>1828</v>
      </c>
      <c r="N395" s="75"/>
      <c r="O395" s="75"/>
      <c r="P395" s="73" t="s">
        <v>1887</v>
      </c>
      <c r="Q395" s="15"/>
    </row>
    <row r="396" spans="2:17" ht="29.4" hidden="1" customHeight="1" outlineLevel="2" x14ac:dyDescent="0.3">
      <c r="B396" s="369"/>
      <c r="C396" s="91" t="s">
        <v>700</v>
      </c>
      <c r="D396" s="74" t="s">
        <v>701</v>
      </c>
      <c r="E396" s="70" t="s">
        <v>3914</v>
      </c>
      <c r="F396" s="73" t="s">
        <v>3913</v>
      </c>
      <c r="G396" s="368"/>
      <c r="H396" s="346"/>
      <c r="I396" s="344"/>
      <c r="J396" s="73">
        <v>1</v>
      </c>
      <c r="K396" s="73"/>
      <c r="L396" s="73"/>
      <c r="M396" s="73"/>
      <c r="N396" s="75"/>
      <c r="O396" s="75"/>
      <c r="P396" s="73"/>
      <c r="Q396" s="15"/>
    </row>
    <row r="397" spans="2:17" ht="29.4" hidden="1" customHeight="1" outlineLevel="2" x14ac:dyDescent="0.3">
      <c r="B397" s="369"/>
      <c r="C397" s="91" t="s">
        <v>702</v>
      </c>
      <c r="D397" s="74" t="s">
        <v>703</v>
      </c>
      <c r="E397" s="70" t="s">
        <v>3914</v>
      </c>
      <c r="F397" s="73" t="s">
        <v>3913</v>
      </c>
      <c r="G397" s="366">
        <v>2</v>
      </c>
      <c r="H397" s="346">
        <f>(COUNTIF(F397:F400,$G$409)+(COUNTIF(F397:F400,$G$408)*0.5))/(COUNTA(F397:F400)-COUNTIF(F397:F400,$G$410))</f>
        <v>0</v>
      </c>
      <c r="I397" s="344"/>
      <c r="J397" s="73">
        <v>3</v>
      </c>
      <c r="K397" s="73"/>
      <c r="L397" s="73"/>
      <c r="M397" s="73"/>
      <c r="N397" s="90" t="s">
        <v>3172</v>
      </c>
      <c r="O397" s="75"/>
      <c r="P397" s="73" t="s">
        <v>1887</v>
      </c>
      <c r="Q397" s="15"/>
    </row>
    <row r="398" spans="2:17" ht="29.4" hidden="1" customHeight="1" outlineLevel="2" x14ac:dyDescent="0.3">
      <c r="B398" s="369"/>
      <c r="C398" s="91" t="s">
        <v>704</v>
      </c>
      <c r="D398" s="74" t="s">
        <v>705</v>
      </c>
      <c r="E398" s="70" t="s">
        <v>3914</v>
      </c>
      <c r="F398" s="73" t="s">
        <v>3913</v>
      </c>
      <c r="G398" s="367"/>
      <c r="H398" s="346"/>
      <c r="I398" s="344"/>
      <c r="J398" s="73">
        <v>3</v>
      </c>
      <c r="K398" s="73"/>
      <c r="L398" s="73"/>
      <c r="M398" s="73"/>
      <c r="N398" s="75"/>
      <c r="O398" s="75"/>
      <c r="P398" s="73"/>
      <c r="Q398" s="15"/>
    </row>
    <row r="399" spans="2:17" ht="29.4" hidden="1" customHeight="1" outlineLevel="2" x14ac:dyDescent="0.3">
      <c r="B399" s="369"/>
      <c r="C399" s="91" t="s">
        <v>706</v>
      </c>
      <c r="D399" s="74" t="s">
        <v>707</v>
      </c>
      <c r="E399" s="70" t="s">
        <v>3914</v>
      </c>
      <c r="F399" s="73" t="s">
        <v>3913</v>
      </c>
      <c r="G399" s="367"/>
      <c r="H399" s="346"/>
      <c r="I399" s="344"/>
      <c r="J399" s="73">
        <v>3</v>
      </c>
      <c r="K399" s="73"/>
      <c r="L399" s="73"/>
      <c r="M399" s="73" t="s">
        <v>754</v>
      </c>
      <c r="N399" s="90" t="s">
        <v>3141</v>
      </c>
      <c r="O399" s="75"/>
      <c r="P399" s="73" t="s">
        <v>1920</v>
      </c>
      <c r="Q399" s="15"/>
    </row>
    <row r="400" spans="2:17" ht="29.4" hidden="1" customHeight="1" outlineLevel="2" x14ac:dyDescent="0.3">
      <c r="B400" s="369"/>
      <c r="C400" s="74" t="s">
        <v>3108</v>
      </c>
      <c r="D400" s="92" t="s">
        <v>3106</v>
      </c>
      <c r="E400" s="70" t="s">
        <v>3914</v>
      </c>
      <c r="F400" s="73" t="s">
        <v>3913</v>
      </c>
      <c r="G400" s="368"/>
      <c r="H400" s="346"/>
      <c r="I400" s="344"/>
      <c r="J400" s="73">
        <v>3</v>
      </c>
      <c r="K400" s="73"/>
      <c r="L400" s="73"/>
      <c r="M400" s="73" t="s">
        <v>752</v>
      </c>
      <c r="N400" s="75"/>
      <c r="O400" s="75" t="s">
        <v>2295</v>
      </c>
      <c r="P400" s="73"/>
      <c r="Q400" s="15"/>
    </row>
    <row r="401" spans="2:17" ht="29.4" hidden="1" customHeight="1" outlineLevel="2" x14ac:dyDescent="0.3">
      <c r="B401" s="369"/>
      <c r="C401" s="74" t="s">
        <v>708</v>
      </c>
      <c r="D401" s="74" t="s">
        <v>709</v>
      </c>
      <c r="E401" s="70" t="s">
        <v>3914</v>
      </c>
      <c r="F401" s="73" t="s">
        <v>3913</v>
      </c>
      <c r="G401" s="364">
        <v>3</v>
      </c>
      <c r="H401" s="346">
        <f>(COUNTIF(F401:F402,$G$409)+(COUNTIF(F401:F402,$G$408)*0.5))/(COUNTA(F401:F402)-COUNTIF(F401:F402,$G$410))</f>
        <v>0</v>
      </c>
      <c r="I401" s="344"/>
      <c r="J401" s="73">
        <v>4</v>
      </c>
      <c r="K401" s="73"/>
      <c r="L401" s="73"/>
      <c r="M401" s="73"/>
      <c r="N401" s="75"/>
      <c r="O401" s="75"/>
      <c r="P401" s="73"/>
      <c r="Q401" s="15"/>
    </row>
    <row r="402" spans="2:17" ht="29.4" hidden="1" customHeight="1" outlineLevel="2" x14ac:dyDescent="0.3">
      <c r="B402" s="369"/>
      <c r="C402" s="74" t="s">
        <v>2152</v>
      </c>
      <c r="D402" s="15" t="s">
        <v>3107</v>
      </c>
      <c r="E402" s="70" t="s">
        <v>3914</v>
      </c>
      <c r="F402" s="73" t="s">
        <v>3913</v>
      </c>
      <c r="G402" s="365"/>
      <c r="H402" s="346"/>
      <c r="I402" s="73"/>
      <c r="J402" s="73">
        <v>4</v>
      </c>
      <c r="K402" s="73"/>
      <c r="L402" s="73"/>
      <c r="M402" s="73" t="s">
        <v>753</v>
      </c>
      <c r="N402" s="73"/>
      <c r="O402" s="73"/>
      <c r="P402" s="73"/>
      <c r="Q402" s="15"/>
    </row>
    <row r="403" spans="2:17" hidden="1" outlineLevel="2" x14ac:dyDescent="0.3">
      <c r="B403" s="3"/>
      <c r="C403" s="3"/>
      <c r="F403" s="3"/>
      <c r="G403" s="3"/>
      <c r="H403" s="3"/>
      <c r="I403" s="3"/>
      <c r="J403" s="3"/>
      <c r="K403" s="3"/>
      <c r="L403" s="3"/>
      <c r="M403" s="3"/>
      <c r="N403" s="3"/>
      <c r="O403" s="3"/>
      <c r="P403" s="3"/>
    </row>
    <row r="404" spans="2:17" x14ac:dyDescent="0.3">
      <c r="C404" s="93"/>
      <c r="K404" s="7"/>
      <c r="L404" s="7"/>
      <c r="M404" s="7"/>
      <c r="N404" s="3"/>
      <c r="O404" s="3"/>
      <c r="P404" s="12"/>
    </row>
    <row r="405" spans="2:17" hidden="1" x14ac:dyDescent="0.3">
      <c r="C405" s="93"/>
      <c r="I405" s="14"/>
      <c r="J405" s="14"/>
      <c r="K405" s="7"/>
      <c r="L405" s="7"/>
      <c r="M405" s="7"/>
      <c r="N405" s="3"/>
      <c r="O405" s="3"/>
      <c r="P405" s="12"/>
    </row>
    <row r="406" spans="2:17" ht="28.8" hidden="1" x14ac:dyDescent="0.3">
      <c r="C406" s="93"/>
      <c r="F406" s="70" t="s">
        <v>3913</v>
      </c>
      <c r="G406" s="70" t="s">
        <v>3913</v>
      </c>
      <c r="H406" s="70" t="s">
        <v>3914</v>
      </c>
      <c r="I406" s="14"/>
      <c r="J406" s="14"/>
      <c r="K406" s="7"/>
      <c r="L406" s="7"/>
      <c r="M406" s="7"/>
      <c r="N406" s="3"/>
      <c r="O406" s="3"/>
      <c r="P406" s="12"/>
    </row>
    <row r="407" spans="2:17" ht="28.8" hidden="1" x14ac:dyDescent="0.3">
      <c r="C407" s="93"/>
      <c r="F407" s="96" t="s">
        <v>13</v>
      </c>
      <c r="G407" s="70" t="s">
        <v>20</v>
      </c>
      <c r="H407" s="70" t="s">
        <v>3915</v>
      </c>
      <c r="I407" s="14"/>
      <c r="J407" s="14"/>
      <c r="K407" s="7"/>
      <c r="L407" s="7"/>
      <c r="M407" s="7"/>
      <c r="N407" s="3"/>
      <c r="O407" s="3"/>
      <c r="P407" s="12"/>
    </row>
    <row r="408" spans="2:17" ht="28.8" hidden="1" x14ac:dyDescent="0.3">
      <c r="C408" s="93"/>
      <c r="F408" s="70" t="s">
        <v>197</v>
      </c>
      <c r="G408" s="70" t="s">
        <v>710</v>
      </c>
      <c r="H408" s="70" t="s">
        <v>3916</v>
      </c>
      <c r="I408" s="14"/>
      <c r="J408" s="14"/>
      <c r="K408" s="7"/>
      <c r="L408" s="7"/>
      <c r="M408" s="7"/>
      <c r="N408" s="3"/>
      <c r="O408" s="3"/>
      <c r="P408" s="12"/>
    </row>
    <row r="409" spans="2:17" hidden="1" x14ac:dyDescent="0.3">
      <c r="C409" s="93"/>
      <c r="F409" s="7" t="s">
        <v>711</v>
      </c>
      <c r="G409" s="70" t="s">
        <v>16</v>
      </c>
      <c r="H409" s="70" t="s">
        <v>3917</v>
      </c>
      <c r="I409" s="97"/>
      <c r="J409" s="98"/>
      <c r="K409" s="7"/>
      <c r="L409" s="7"/>
      <c r="M409" s="7"/>
      <c r="N409" s="3"/>
      <c r="O409" s="3"/>
      <c r="P409" s="12"/>
    </row>
    <row r="410" spans="2:17" ht="28.8" hidden="1" x14ac:dyDescent="0.3">
      <c r="C410" s="3"/>
      <c r="F410" s="7" t="s">
        <v>712</v>
      </c>
      <c r="G410" s="70" t="s">
        <v>712</v>
      </c>
      <c r="K410" s="7"/>
      <c r="L410" s="7"/>
      <c r="M410" s="7"/>
      <c r="N410" s="3"/>
      <c r="O410" s="3"/>
      <c r="P410" s="12"/>
    </row>
    <row r="411" spans="2:17" x14ac:dyDescent="0.3">
      <c r="C411" s="3"/>
      <c r="G411" s="100"/>
      <c r="K411" s="7"/>
      <c r="L411" s="7"/>
      <c r="M411" s="7"/>
      <c r="N411" s="3"/>
      <c r="O411" s="3"/>
      <c r="P411" s="12"/>
    </row>
  </sheetData>
  <autoFilter ref="B1:Q402" xr:uid="{00000000-0009-0000-0000-000005000000}"/>
  <mergeCells count="316">
    <mergeCell ref="K367:M367"/>
    <mergeCell ref="N367:P367"/>
    <mergeCell ref="H381:J381"/>
    <mergeCell ref="K381:M381"/>
    <mergeCell ref="N381:P381"/>
    <mergeCell ref="I373:I379"/>
    <mergeCell ref="K305:M305"/>
    <mergeCell ref="N305:P305"/>
    <mergeCell ref="H349:J349"/>
    <mergeCell ref="K349:M349"/>
    <mergeCell ref="N349:P349"/>
    <mergeCell ref="I327:I331"/>
    <mergeCell ref="I339:I347"/>
    <mergeCell ref="H323:H325"/>
    <mergeCell ref="H344:H346"/>
    <mergeCell ref="K213:M213"/>
    <mergeCell ref="N213:P213"/>
    <mergeCell ref="H284:J284"/>
    <mergeCell ref="K284:M284"/>
    <mergeCell ref="N284:P284"/>
    <mergeCell ref="H215:H216"/>
    <mergeCell ref="I225:I232"/>
    <mergeCell ref="I258:I263"/>
    <mergeCell ref="I264:I267"/>
    <mergeCell ref="I233:I247"/>
    <mergeCell ref="H237:H240"/>
    <mergeCell ref="H241:H244"/>
    <mergeCell ref="H245:H247"/>
    <mergeCell ref="H274:H277"/>
    <mergeCell ref="H278:H279"/>
    <mergeCell ref="H219:H221"/>
    <mergeCell ref="I248:I257"/>
    <mergeCell ref="I268:I279"/>
    <mergeCell ref="K105:M105"/>
    <mergeCell ref="N105:P105"/>
    <mergeCell ref="H171:J171"/>
    <mergeCell ref="K171:M171"/>
    <mergeCell ref="N171:P171"/>
    <mergeCell ref="H152:H153"/>
    <mergeCell ref="H131:H133"/>
    <mergeCell ref="H134:H138"/>
    <mergeCell ref="H105:J105"/>
    <mergeCell ref="H155:H158"/>
    <mergeCell ref="H159:H161"/>
    <mergeCell ref="I119:I129"/>
    <mergeCell ref="I130:I143"/>
    <mergeCell ref="I144:I153"/>
    <mergeCell ref="H139:H142"/>
    <mergeCell ref="K2:M2"/>
    <mergeCell ref="N2:P2"/>
    <mergeCell ref="H81:H86"/>
    <mergeCell ref="H31:J31"/>
    <mergeCell ref="K31:M31"/>
    <mergeCell ref="N31:P31"/>
    <mergeCell ref="H14:H15"/>
    <mergeCell ref="I16:I29"/>
    <mergeCell ref="H24:H25"/>
    <mergeCell ref="H26:H29"/>
    <mergeCell ref="I3:I15"/>
    <mergeCell ref="I54:I74"/>
    <mergeCell ref="I36:I43"/>
    <mergeCell ref="I44:I53"/>
    <mergeCell ref="I75:I93"/>
    <mergeCell ref="I94:I103"/>
    <mergeCell ref="F2:G2"/>
    <mergeCell ref="H2:J2"/>
    <mergeCell ref="G14:G15"/>
    <mergeCell ref="G24:G25"/>
    <mergeCell ref="G87:G92"/>
    <mergeCell ref="G194:G195"/>
    <mergeCell ref="B213:D213"/>
    <mergeCell ref="H213:J213"/>
    <mergeCell ref="G215:G216"/>
    <mergeCell ref="B197:B208"/>
    <mergeCell ref="I32:I35"/>
    <mergeCell ref="G4:G8"/>
    <mergeCell ref="H4:H8"/>
    <mergeCell ref="B3:B15"/>
    <mergeCell ref="B32:B35"/>
    <mergeCell ref="G122:G125"/>
    <mergeCell ref="G126:G128"/>
    <mergeCell ref="H100:H101"/>
    <mergeCell ref="G39:G40"/>
    <mergeCell ref="H126:H128"/>
    <mergeCell ref="I106:I118"/>
    <mergeCell ref="H76:H80"/>
    <mergeCell ref="H62:H67"/>
    <mergeCell ref="H68:H71"/>
    <mergeCell ref="G76:G80"/>
    <mergeCell ref="G81:G86"/>
    <mergeCell ref="G100:G101"/>
    <mergeCell ref="G62:G67"/>
    <mergeCell ref="G68:G71"/>
    <mergeCell ref="B382:B393"/>
    <mergeCell ref="B350:B357"/>
    <mergeCell ref="B358:B365"/>
    <mergeCell ref="H200:H202"/>
    <mergeCell ref="B214:B224"/>
    <mergeCell ref="G222:G224"/>
    <mergeCell ref="H222:H224"/>
    <mergeCell ref="G344:G346"/>
    <mergeCell ref="G286:G287"/>
    <mergeCell ref="G288:G291"/>
    <mergeCell ref="G292:G293"/>
    <mergeCell ref="G297:G298"/>
    <mergeCell ref="G333:G334"/>
    <mergeCell ref="H299:H301"/>
    <mergeCell ref="H302:H303"/>
    <mergeCell ref="B306:B316"/>
    <mergeCell ref="B295:B303"/>
    <mergeCell ref="H286:H287"/>
    <mergeCell ref="H288:H291"/>
    <mergeCell ref="B119:B129"/>
    <mergeCell ref="B75:B93"/>
    <mergeCell ref="G162:G164"/>
    <mergeCell ref="H162:H164"/>
    <mergeCell ref="B166:B169"/>
    <mergeCell ref="G167:G168"/>
    <mergeCell ref="G120:G121"/>
    <mergeCell ref="G183:G185"/>
    <mergeCell ref="B171:D171"/>
    <mergeCell ref="B172:B185"/>
    <mergeCell ref="G173:G174"/>
    <mergeCell ref="G175:G178"/>
    <mergeCell ref="B154:B165"/>
    <mergeCell ref="H173:H174"/>
    <mergeCell ref="G95:G99"/>
    <mergeCell ref="H145:H147"/>
    <mergeCell ref="H148:H150"/>
    <mergeCell ref="G134:G138"/>
    <mergeCell ref="G139:G142"/>
    <mergeCell ref="G145:G147"/>
    <mergeCell ref="G148:G150"/>
    <mergeCell ref="G155:G158"/>
    <mergeCell ref="G159:G161"/>
    <mergeCell ref="G152:G153"/>
    <mergeCell ref="I214:I224"/>
    <mergeCell ref="B105:D105"/>
    <mergeCell ref="B106:B118"/>
    <mergeCell ref="G107:G108"/>
    <mergeCell ref="G109:G112"/>
    <mergeCell ref="G113:G117"/>
    <mergeCell ref="H113:H117"/>
    <mergeCell ref="H109:H112"/>
    <mergeCell ref="H107:H108"/>
    <mergeCell ref="I197:I208"/>
    <mergeCell ref="I154:I165"/>
    <mergeCell ref="I166:I169"/>
    <mergeCell ref="I172:I185"/>
    <mergeCell ref="I186:I191"/>
    <mergeCell ref="I192:I196"/>
    <mergeCell ref="I209:I211"/>
    <mergeCell ref="H217:H218"/>
    <mergeCell ref="H183:H185"/>
    <mergeCell ref="H167:H168"/>
    <mergeCell ref="G198:G199"/>
    <mergeCell ref="H175:H178"/>
    <mergeCell ref="H187:H189"/>
    <mergeCell ref="B186:B191"/>
    <mergeCell ref="G187:G189"/>
    <mergeCell ref="B2:D2"/>
    <mergeCell ref="B31:D31"/>
    <mergeCell ref="G274:G277"/>
    <mergeCell ref="G278:G279"/>
    <mergeCell ref="H231:H232"/>
    <mergeCell ref="G271:G273"/>
    <mergeCell ref="G249:G253"/>
    <mergeCell ref="G254:G255"/>
    <mergeCell ref="G261:G262"/>
    <mergeCell ref="G259:G260"/>
    <mergeCell ref="B248:B257"/>
    <mergeCell ref="H194:H195"/>
    <mergeCell ref="G217:G218"/>
    <mergeCell ref="G200:G202"/>
    <mergeCell ref="G203:G206"/>
    <mergeCell ref="G207:G208"/>
    <mergeCell ref="G219:G221"/>
    <mergeCell ref="B144:B153"/>
    <mergeCell ref="B130:B143"/>
    <mergeCell ref="B192:B196"/>
    <mergeCell ref="H254:H255"/>
    <mergeCell ref="H234:H236"/>
    <mergeCell ref="G226:G228"/>
    <mergeCell ref="H87:H92"/>
    <mergeCell ref="H9:H10"/>
    <mergeCell ref="H11:H13"/>
    <mergeCell ref="H41:H42"/>
    <mergeCell ref="H39:H40"/>
    <mergeCell ref="G9:G10"/>
    <mergeCell ref="G11:G13"/>
    <mergeCell ref="G37:G38"/>
    <mergeCell ref="H17:H21"/>
    <mergeCell ref="H22:H23"/>
    <mergeCell ref="H33:H34"/>
    <mergeCell ref="G41:G42"/>
    <mergeCell ref="H37:H38"/>
    <mergeCell ref="G369:G370"/>
    <mergeCell ref="G371:G372"/>
    <mergeCell ref="G374:G375"/>
    <mergeCell ref="G376:G378"/>
    <mergeCell ref="G352:G353"/>
    <mergeCell ref="B36:B43"/>
    <mergeCell ref="B44:B53"/>
    <mergeCell ref="H55:H61"/>
    <mergeCell ref="G17:G21"/>
    <mergeCell ref="G22:G23"/>
    <mergeCell ref="G33:G34"/>
    <mergeCell ref="H45:H48"/>
    <mergeCell ref="H50:H52"/>
    <mergeCell ref="G45:G48"/>
    <mergeCell ref="G50:G52"/>
    <mergeCell ref="G55:G61"/>
    <mergeCell ref="B16:B29"/>
    <mergeCell ref="B54:B74"/>
    <mergeCell ref="G72:G74"/>
    <mergeCell ref="H72:H74"/>
    <mergeCell ref="G179:G182"/>
    <mergeCell ref="H120:H121"/>
    <mergeCell ref="H122:H125"/>
    <mergeCell ref="H95:H99"/>
    <mergeCell ref="H342:H343"/>
    <mergeCell ref="H352:H353"/>
    <mergeCell ref="G336:G337"/>
    <mergeCell ref="G340:G341"/>
    <mergeCell ref="G342:G343"/>
    <mergeCell ref="B394:B402"/>
    <mergeCell ref="H292:H293"/>
    <mergeCell ref="H307:H309"/>
    <mergeCell ref="H310:H312"/>
    <mergeCell ref="H313:H315"/>
    <mergeCell ref="H320:H322"/>
    <mergeCell ref="H376:H378"/>
    <mergeCell ref="H297:H298"/>
    <mergeCell ref="H318:H319"/>
    <mergeCell ref="H333:H334"/>
    <mergeCell ref="H336:H337"/>
    <mergeCell ref="H340:H341"/>
    <mergeCell ref="H367:J367"/>
    <mergeCell ref="H386:H389"/>
    <mergeCell ref="H390:H393"/>
    <mergeCell ref="G384:G385"/>
    <mergeCell ref="G386:G389"/>
    <mergeCell ref="G390:G393"/>
    <mergeCell ref="G395:G396"/>
    <mergeCell ref="G245:G247"/>
    <mergeCell ref="G231:G232"/>
    <mergeCell ref="B258:B263"/>
    <mergeCell ref="H179:H182"/>
    <mergeCell ref="B268:B279"/>
    <mergeCell ref="I382:I393"/>
    <mergeCell ref="I394:I401"/>
    <mergeCell ref="G320:G322"/>
    <mergeCell ref="G323:G325"/>
    <mergeCell ref="H384:H385"/>
    <mergeCell ref="H395:H396"/>
    <mergeCell ref="H371:H372"/>
    <mergeCell ref="H374:H375"/>
    <mergeCell ref="I368:I372"/>
    <mergeCell ref="G401:G402"/>
    <mergeCell ref="H354:H356"/>
    <mergeCell ref="G397:G400"/>
    <mergeCell ref="G354:G356"/>
    <mergeCell ref="G359:G360"/>
    <mergeCell ref="G362:G364"/>
    <mergeCell ref="H401:H402"/>
    <mergeCell ref="H362:H364"/>
    <mergeCell ref="H397:H400"/>
    <mergeCell ref="I317:I326"/>
    <mergeCell ref="B327:B331"/>
    <mergeCell ref="B284:D284"/>
    <mergeCell ref="B305:D305"/>
    <mergeCell ref="B349:D349"/>
    <mergeCell ref="G307:G309"/>
    <mergeCell ref="G131:G133"/>
    <mergeCell ref="B94:B103"/>
    <mergeCell ref="H269:H270"/>
    <mergeCell ref="H226:H228"/>
    <mergeCell ref="H249:H253"/>
    <mergeCell ref="H271:H273"/>
    <mergeCell ref="H261:H262"/>
    <mergeCell ref="H259:H260"/>
    <mergeCell ref="H203:H206"/>
    <mergeCell ref="H207:H208"/>
    <mergeCell ref="H198:H199"/>
    <mergeCell ref="B233:B247"/>
    <mergeCell ref="G269:G270"/>
    <mergeCell ref="B264:B267"/>
    <mergeCell ref="B209:B211"/>
    <mergeCell ref="B225:B232"/>
    <mergeCell ref="G234:G236"/>
    <mergeCell ref="G237:G240"/>
    <mergeCell ref="G241:G244"/>
    <mergeCell ref="B280:B282"/>
    <mergeCell ref="G310:G312"/>
    <mergeCell ref="G313:G315"/>
    <mergeCell ref="G318:G319"/>
    <mergeCell ref="B317:B326"/>
    <mergeCell ref="I280:I282"/>
    <mergeCell ref="B381:D381"/>
    <mergeCell ref="H359:H360"/>
    <mergeCell ref="H369:H370"/>
    <mergeCell ref="I332:I338"/>
    <mergeCell ref="I285:I294"/>
    <mergeCell ref="I306:I316"/>
    <mergeCell ref="B368:B372"/>
    <mergeCell ref="I350:I357"/>
    <mergeCell ref="I358:I365"/>
    <mergeCell ref="G302:G303"/>
    <mergeCell ref="G299:G301"/>
    <mergeCell ref="B367:D367"/>
    <mergeCell ref="H305:J305"/>
    <mergeCell ref="I295:I303"/>
    <mergeCell ref="B373:B379"/>
    <mergeCell ref="B332:B338"/>
    <mergeCell ref="B339:B347"/>
    <mergeCell ref="B285:B294"/>
  </mergeCells>
  <conditionalFormatting sqref="B2 G32 I32 H35 F98:F103 G226:H226 G229:H230 G231 G248 G249:H249 C306 C338 F368:F379 F382:F402 C400 C402 F410:F411 H410:I411 F412:I1048576">
    <cfRule type="containsText" dxfId="716" priority="2954" operator="containsText" text="Не выполняется">
      <formula>NOT(ISERROR(SEARCH("Не выполняется",B2)))</formula>
    </cfRule>
  </conditionalFormatting>
  <conditionalFormatting sqref="B2 G32 I32 H35 G226:H226 G229:H230 G231 G248 G249:H249 C306 C338 F368:F379 F382:F402 C400 C402 F410:F411 H410:I411 F412:I1048576 F98:F103">
    <cfRule type="containsText" dxfId="715" priority="2953" operator="containsText" text="Верно">
      <formula>NOT(ISERROR(SEARCH("Верно",B2)))</formula>
    </cfRule>
  </conditionalFormatting>
  <conditionalFormatting sqref="B2 G32 I32 H35 G226:H226 G229:H230 G231 G248 G249:H249 C306 C338 F368:F379 F382:F402 C400 C402 F410:F411 H410:I411 F412:I1048576">
    <cfRule type="containsText" dxfId="714" priority="2951" operator="containsText" text="Частично">
      <formula>NOT(ISERROR(SEARCH("Частично",B2)))</formula>
    </cfRule>
    <cfRule type="beginsWith" dxfId="713" priority="2952" operator="beginsWith" text="Выполняется">
      <formula>LEFT(B2,LEN("Выполняется"))="Выполняется"</formula>
    </cfRule>
  </conditionalFormatting>
  <conditionalFormatting sqref="C410:C411">
    <cfRule type="duplicateValues" dxfId="712" priority="17452"/>
  </conditionalFormatting>
  <conditionalFormatting sqref="C285:D303 F285:F303">
    <cfRule type="containsText" dxfId="711" priority="53" operator="containsText" text="Частично">
      <formula>NOT(ISERROR(SEARCH("Частично",C285)))</formula>
    </cfRule>
    <cfRule type="beginsWith" dxfId="710" priority="54" operator="beginsWith" text="Выполняется">
      <formula>LEFT(C285,LEN("Выполняется"))="Выполняется"</formula>
    </cfRule>
    <cfRule type="containsText" dxfId="709" priority="55" operator="containsText" text="Верно">
      <formula>NOT(ISERROR(SEARCH("Верно",C285)))</formula>
    </cfRule>
    <cfRule type="containsText" dxfId="708" priority="56" operator="containsText" text="Не выполняется">
      <formula>NOT(ISERROR(SEARCH("Не выполняется",C285)))</formula>
    </cfRule>
  </conditionalFormatting>
  <conditionalFormatting sqref="D190 D193:D196">
    <cfRule type="containsText" dxfId="707" priority="110" operator="containsText" text="Не выполняет">
      <formula>NOT(ISERROR(SEARCH("Не выполняет",D190)))</formula>
    </cfRule>
  </conditionalFormatting>
  <conditionalFormatting sqref="D190">
    <cfRule type="containsText" dxfId="706" priority="106" operator="containsText" text="Неверно">
      <formula>NOT(ISERROR(SEARCH("Неверно",D190)))</formula>
    </cfRule>
    <cfRule type="containsText" dxfId="705" priority="107" operator="containsText" text="Частично">
      <formula>NOT(ISERROR(SEARCH("Частично",D190)))</formula>
    </cfRule>
    <cfRule type="beginsWith" dxfId="704" priority="108" operator="beginsWith" text="Выполняется">
      <formula>LEFT(D190,LEN("Выполняется"))="Выполняется"</formula>
    </cfRule>
    <cfRule type="containsText" dxfId="703" priority="109" operator="containsText" text="Верно">
      <formula>NOT(ISERROR(SEARCH("Верно",D190)))</formula>
    </cfRule>
  </conditionalFormatting>
  <conditionalFormatting sqref="D193:D196">
    <cfRule type="containsText" dxfId="702" priority="102" operator="containsText" text="Неверно">
      <formula>NOT(ISERROR(SEARCH("Неверно",D193)))</formula>
    </cfRule>
    <cfRule type="containsText" dxfId="701" priority="103" operator="containsText" text="Частично">
      <formula>NOT(ISERROR(SEARCH("Частично",D193)))</formula>
    </cfRule>
    <cfRule type="beginsWith" dxfId="700" priority="104" operator="beginsWith" text="Выполняется">
      <formula>LEFT(D193,LEN("Выполняется"))="Выполняется"</formula>
    </cfRule>
    <cfRule type="containsText" dxfId="699" priority="105" operator="containsText" text="Верно">
      <formula>NOT(ISERROR(SEARCH("Верно",D193)))</formula>
    </cfRule>
  </conditionalFormatting>
  <conditionalFormatting sqref="H2 K2 N2">
    <cfRule type="containsText" dxfId="698" priority="47" operator="containsText" text="Неверно">
      <formula>NOT(ISERROR(SEARCH("Неверно",H2)))</formula>
    </cfRule>
    <cfRule type="containsText" dxfId="697" priority="48" operator="containsText" text="Частично">
      <formula>NOT(ISERROR(SEARCH("Частично",H2)))</formula>
    </cfRule>
    <cfRule type="beginsWith" dxfId="696" priority="49" operator="beginsWith" text="Выполняется">
      <formula>LEFT(H2,LEN("Выполняется"))="Выполняется"</formula>
    </cfRule>
    <cfRule type="containsText" dxfId="695" priority="50" operator="containsText" text="Верно">
      <formula>NOT(ISERROR(SEARCH("Верно",H2)))</formula>
    </cfRule>
    <cfRule type="containsText" dxfId="694" priority="51" operator="containsText" text="Не выполняется">
      <formula>NOT(ISERROR(SEARCH("Не выполняется",H2)))</formula>
    </cfRule>
  </conditionalFormatting>
  <conditionalFormatting sqref="C285:D303 F285:F303">
    <cfRule type="containsText" dxfId="693" priority="52" operator="containsText" text="Неверно">
      <formula>NOT(ISERROR(SEARCH("Неверно",C285)))</formula>
    </cfRule>
  </conditionalFormatting>
  <conditionalFormatting sqref="F1:F1048576">
    <cfRule type="containsText" dxfId="692" priority="46" operator="containsText" text="Не заполнено">
      <formula>NOT(ISERROR(SEARCH("Не заполнено",F1)))</formula>
    </cfRule>
  </conditionalFormatting>
  <conditionalFormatting sqref="F3:F29">
    <cfRule type="containsText" dxfId="691" priority="1" operator="containsText" text="Неверно">
      <formula>NOT(ISERROR(SEARCH("Неверно",F3)))</formula>
    </cfRule>
    <cfRule type="containsText" dxfId="690" priority="2" operator="containsText" text="Частично">
      <formula>NOT(ISERROR(SEARCH("Частично",F3)))</formula>
    </cfRule>
    <cfRule type="beginsWith" dxfId="689" priority="3" operator="beginsWith" text="Выполняется">
      <formula>LEFT(F3,LEN("Выполняется"))="Выполняется"</formula>
    </cfRule>
    <cfRule type="containsText" dxfId="688" priority="4" operator="containsText" text="Верно">
      <formula>NOT(ISERROR(SEARCH("Верно",F3)))</formula>
    </cfRule>
    <cfRule type="containsText" dxfId="687" priority="5" operator="containsText" text="Не выполняется">
      <formula>NOT(ISERROR(SEARCH("Не выполняется",F3)))</formula>
    </cfRule>
    <cfRule type="containsText" dxfId="686" priority="141" operator="containsText" text="Неверно">
      <formula>NOT(ISERROR(SEARCH("Неверно",F3)))</formula>
    </cfRule>
    <cfRule type="containsText" dxfId="685" priority="142" operator="containsText" text="Частично">
      <formula>NOT(ISERROR(SEARCH("Частично",F3)))</formula>
    </cfRule>
    <cfRule type="beginsWith" dxfId="684" priority="143" operator="beginsWith" text="Выполняется">
      <formula>LEFT(F3,LEN("Выполняется"))="Выполняется"</formula>
    </cfRule>
    <cfRule type="containsText" dxfId="683" priority="144" operator="containsText" text="Верно">
      <formula>NOT(ISERROR(SEARCH("Верно",F3)))</formula>
    </cfRule>
    <cfRule type="containsText" dxfId="682" priority="145" operator="containsText" text="Не выполняется">
      <formula>NOT(ISERROR(SEARCH("Не выполняется",F3)))</formula>
    </cfRule>
  </conditionalFormatting>
  <conditionalFormatting sqref="F32:F97">
    <cfRule type="containsText" dxfId="681" priority="555" operator="containsText" text="Частично">
      <formula>NOT(ISERROR(SEARCH("Частично",F32)))</formula>
    </cfRule>
    <cfRule type="beginsWith" dxfId="680" priority="556" operator="beginsWith" text="Выполняется">
      <formula>LEFT(F32,LEN("Выполняется"))="Выполняется"</formula>
    </cfRule>
    <cfRule type="containsText" dxfId="679" priority="557" operator="containsText" text="Верно">
      <formula>NOT(ISERROR(SEARCH("Верно",F32)))</formula>
    </cfRule>
    <cfRule type="containsText" dxfId="678" priority="558" operator="containsText" text="Не выполняется">
      <formula>NOT(ISERROR(SEARCH("Не выполняется",F32)))</formula>
    </cfRule>
  </conditionalFormatting>
  <conditionalFormatting sqref="F32:F103">
    <cfRule type="containsText" dxfId="677" priority="6" operator="containsText" text="Неверно">
      <formula>NOT(ISERROR(SEARCH("Неверно",F32)))</formula>
    </cfRule>
    <cfRule type="containsText" dxfId="676" priority="7" operator="containsText" text="Частично">
      <formula>NOT(ISERROR(SEARCH("Частично",F32)))</formula>
    </cfRule>
    <cfRule type="beginsWith" dxfId="675" priority="8" operator="beginsWith" text="Выполняется">
      <formula>LEFT(F32,LEN("Выполняется"))="Выполняется"</formula>
    </cfRule>
    <cfRule type="containsText" dxfId="674" priority="9" operator="containsText" text="Верно">
      <formula>NOT(ISERROR(SEARCH("Верно",F32)))</formula>
    </cfRule>
    <cfRule type="containsText" dxfId="673" priority="10" operator="containsText" text="Не выполняется">
      <formula>NOT(ISERROR(SEARCH("Не выполняется",F32)))</formula>
    </cfRule>
    <cfRule type="containsText" dxfId="672" priority="554" operator="containsText" text="Неверно">
      <formula>NOT(ISERROR(SEARCH("Неверно",F32)))</formula>
    </cfRule>
  </conditionalFormatting>
  <conditionalFormatting sqref="F98:F104">
    <cfRule type="containsText" dxfId="671" priority="814" operator="containsText" text="Частично">
      <formula>NOT(ISERROR(SEARCH("Частично",F98)))</formula>
    </cfRule>
    <cfRule type="beginsWith" dxfId="670" priority="815" operator="beginsWith" text="Выполняется">
      <formula>LEFT(F98,LEN("Выполняется"))="Выполняется"</formula>
    </cfRule>
  </conditionalFormatting>
  <conditionalFormatting sqref="F104">
    <cfRule type="containsText" dxfId="669" priority="813" operator="containsText" text="Неверно">
      <formula>NOT(ISERROR(SEARCH("Неверно",F104)))</formula>
    </cfRule>
    <cfRule type="containsText" dxfId="668" priority="816" operator="containsText" text="Верно">
      <formula>NOT(ISERROR(SEARCH("Верно",F104)))</formula>
    </cfRule>
    <cfRule type="containsText" dxfId="667" priority="817" operator="containsText" text="Не выполняется">
      <formula>NOT(ISERROR(SEARCH("Не выполняется",F104)))</formula>
    </cfRule>
  </conditionalFormatting>
  <conditionalFormatting sqref="F106:F164">
    <cfRule type="containsText" dxfId="666" priority="181" operator="containsText" text="Не выполняется">
      <formula>NOT(ISERROR(SEARCH("Не выполняется",F106)))</formula>
    </cfRule>
  </conditionalFormatting>
  <conditionalFormatting sqref="F106:F169">
    <cfRule type="containsText" dxfId="665" priority="11" operator="containsText" text="Неверно">
      <formula>NOT(ISERROR(SEARCH("Неверно",F106)))</formula>
    </cfRule>
    <cfRule type="containsText" dxfId="664" priority="12" operator="containsText" text="Частично">
      <formula>NOT(ISERROR(SEARCH("Частично",F106)))</formula>
    </cfRule>
    <cfRule type="beginsWith" dxfId="663" priority="13" operator="beginsWith" text="Выполняется">
      <formula>LEFT(F106,LEN("Выполняется"))="Выполняется"</formula>
    </cfRule>
    <cfRule type="containsText" dxfId="662" priority="14" operator="containsText" text="Верно">
      <formula>NOT(ISERROR(SEARCH("Верно",F106)))</formula>
    </cfRule>
    <cfRule type="containsText" dxfId="661" priority="15" operator="containsText" text="Не выполняется">
      <formula>NOT(ISERROR(SEARCH("Не выполняется",F106)))</formula>
    </cfRule>
    <cfRule type="containsText" dxfId="660" priority="177" operator="containsText" text="Неверно">
      <formula>NOT(ISERROR(SEARCH("Неверно",F106)))</formula>
    </cfRule>
    <cfRule type="containsText" dxfId="659" priority="180" operator="containsText" text="Верно">
      <formula>NOT(ISERROR(SEARCH("Верно",F106)))</formula>
    </cfRule>
  </conditionalFormatting>
  <conditionalFormatting sqref="F106:F170">
    <cfRule type="containsText" dxfId="658" priority="178" operator="containsText" text="Частично">
      <formula>NOT(ISERROR(SEARCH("Частично",F106)))</formula>
    </cfRule>
    <cfRule type="beginsWith" dxfId="657" priority="179" operator="beginsWith" text="Выполняется">
      <formula>LEFT(F106,LEN("Выполняется"))="Выполняется"</formula>
    </cfRule>
  </conditionalFormatting>
  <conditionalFormatting sqref="F165:F170">
    <cfRule type="containsText" dxfId="656" priority="827" operator="containsText" text="Не выполняется">
      <formula>NOT(ISERROR(SEARCH("Не выполняется",F165)))</formula>
    </cfRule>
  </conditionalFormatting>
  <conditionalFormatting sqref="F170">
    <cfRule type="containsText" dxfId="655" priority="823" operator="containsText" text="Неверно">
      <formula>NOT(ISERROR(SEARCH("Неверно",F170)))</formula>
    </cfRule>
    <cfRule type="containsText" dxfId="654" priority="826" operator="containsText" text="Верно">
      <formula>NOT(ISERROR(SEARCH("Верно",F170)))</formula>
    </cfRule>
  </conditionalFormatting>
  <conditionalFormatting sqref="F172:F211">
    <cfRule type="containsText" dxfId="653" priority="16" operator="containsText" text="Неверно">
      <formula>NOT(ISERROR(SEARCH("Неверно",F172)))</formula>
    </cfRule>
    <cfRule type="containsText" dxfId="652" priority="17" operator="containsText" text="Частично">
      <formula>NOT(ISERROR(SEARCH("Частично",F172)))</formula>
    </cfRule>
    <cfRule type="beginsWith" dxfId="651" priority="18" operator="beginsWith" text="Выполняется">
      <formula>LEFT(F172,LEN("Выполняется"))="Выполняется"</formula>
    </cfRule>
    <cfRule type="containsText" dxfId="650" priority="19" operator="containsText" text="Верно">
      <formula>NOT(ISERROR(SEARCH("Верно",F172)))</formula>
    </cfRule>
    <cfRule type="containsText" dxfId="649" priority="20" operator="containsText" text="Не выполняется">
      <formula>NOT(ISERROR(SEARCH("Не выполняется",F172)))</formula>
    </cfRule>
    <cfRule type="containsText" dxfId="648" priority="529" operator="containsText" text="Неверно">
      <formula>NOT(ISERROR(SEARCH("Неверно",F172)))</formula>
    </cfRule>
    <cfRule type="containsText" dxfId="647" priority="530" operator="containsText" text="Частично">
      <formula>NOT(ISERROR(SEARCH("Частично",F172)))</formula>
    </cfRule>
    <cfRule type="beginsWith" dxfId="646" priority="531" operator="beginsWith" text="Выполняется">
      <formula>LEFT(F172,LEN("Выполняется"))="Выполняется"</formula>
    </cfRule>
    <cfRule type="containsText" dxfId="645" priority="532" operator="containsText" text="Верно">
      <formula>NOT(ISERROR(SEARCH("Верно",F172)))</formula>
    </cfRule>
    <cfRule type="containsText" dxfId="644" priority="533" operator="containsText" text="Не выполняется">
      <formula>NOT(ISERROR(SEARCH("Не выполняется",F172)))</formula>
    </cfRule>
  </conditionalFormatting>
  <conditionalFormatting sqref="F212 J410:J1048576">
    <cfRule type="containsText" dxfId="643" priority="2935" operator="containsText" text="Неверно">
      <formula>NOT(ISERROR(SEARCH("Неверно",F212)))</formula>
    </cfRule>
    <cfRule type="containsText" dxfId="642" priority="2936" operator="containsText" text="Частично">
      <formula>NOT(ISERROR(SEARCH("Частично",F212)))</formula>
    </cfRule>
    <cfRule type="beginsWith" dxfId="641" priority="2937" operator="beginsWith" text="Выполняется">
      <formula>LEFT(F212,LEN("Выполняется"))="Выполняется"</formula>
    </cfRule>
    <cfRule type="containsText" dxfId="640" priority="2938" operator="containsText" text="Верно">
      <formula>NOT(ISERROR(SEARCH("Верно",F212)))</formula>
    </cfRule>
    <cfRule type="containsText" dxfId="639" priority="2939" operator="containsText" text="Не выполняется">
      <formula>NOT(ISERROR(SEARCH("Не выполняется",F212)))</formula>
    </cfRule>
  </conditionalFormatting>
  <conditionalFormatting sqref="F214:F282 C307:D337 C339:D347 C365:D365 C382:D399 C401:D401">
    <cfRule type="containsText" dxfId="638" priority="111" operator="containsText" text="Неверно">
      <formula>NOT(ISERROR(SEARCH("Неверно",C214)))</formula>
    </cfRule>
    <cfRule type="containsText" dxfId="637" priority="112" operator="containsText" text="Частично">
      <formula>NOT(ISERROR(SEARCH("Частично",C214)))</formula>
    </cfRule>
    <cfRule type="beginsWith" dxfId="636" priority="113" operator="beginsWith" text="Выполняется">
      <formula>LEFT(C214,LEN("Выполняется"))="Выполняется"</formula>
    </cfRule>
    <cfRule type="containsText" dxfId="635" priority="114" operator="containsText" text="Верно">
      <formula>NOT(ISERROR(SEARCH("Верно",C214)))</formula>
    </cfRule>
    <cfRule type="containsText" dxfId="634" priority="115" operator="containsText" text="Не выполняется">
      <formula>NOT(ISERROR(SEARCH("Не выполняется",C214)))</formula>
    </cfRule>
  </conditionalFormatting>
  <conditionalFormatting sqref="F214:F282">
    <cfRule type="containsText" dxfId="633" priority="21" operator="containsText" text="Неверно">
      <formula>NOT(ISERROR(SEARCH("Неверно",F214)))</formula>
    </cfRule>
    <cfRule type="containsText" dxfId="632" priority="22" operator="containsText" text="Частично">
      <formula>NOT(ISERROR(SEARCH("Частично",F214)))</formula>
    </cfRule>
    <cfRule type="beginsWith" dxfId="631" priority="23" operator="beginsWith" text="Выполняется">
      <formula>LEFT(F214,LEN("Выполняется"))="Выполняется"</formula>
    </cfRule>
    <cfRule type="containsText" dxfId="630" priority="24" operator="containsText" text="Верно">
      <formula>NOT(ISERROR(SEARCH("Верно",F214)))</formula>
    </cfRule>
    <cfRule type="containsText" dxfId="629" priority="25" operator="containsText" text="Не выполняется">
      <formula>NOT(ISERROR(SEARCH("Не выполняется",F214)))</formula>
    </cfRule>
  </conditionalFormatting>
  <conditionalFormatting sqref="F306:F347">
    <cfRule type="containsText" dxfId="628" priority="41" operator="containsText" text="Неверно">
      <formula>NOT(ISERROR(SEARCH("Неверно",F306)))</formula>
    </cfRule>
    <cfRule type="containsText" dxfId="627" priority="42" operator="containsText" text="Частично">
      <formula>NOT(ISERROR(SEARCH("Частично",F306)))</formula>
    </cfRule>
    <cfRule type="beginsWith" dxfId="626" priority="43" operator="beginsWith" text="Выполняется">
      <formula>LEFT(F306,LEN("Выполняется"))="Выполняется"</formula>
    </cfRule>
    <cfRule type="containsText" dxfId="625" priority="44" operator="containsText" text="Верно">
      <formula>NOT(ISERROR(SEARCH("Верно",F306)))</formula>
    </cfRule>
    <cfRule type="containsText" dxfId="624" priority="45" operator="containsText" text="Не выполняется">
      <formula>NOT(ISERROR(SEARCH("Не выполняется",F306)))</formula>
    </cfRule>
    <cfRule type="containsText" dxfId="623" priority="464" operator="containsText" text="Неверно">
      <formula>NOT(ISERROR(SEARCH("Неверно",F306)))</formula>
    </cfRule>
    <cfRule type="containsText" dxfId="622" priority="465" operator="containsText" text="Частично">
      <formula>NOT(ISERROR(SEARCH("Частично",F306)))</formula>
    </cfRule>
    <cfRule type="beginsWith" dxfId="621" priority="466" operator="beginsWith" text="Выполняется">
      <formula>LEFT(F306,LEN("Выполняется"))="Выполняется"</formula>
    </cfRule>
    <cfRule type="containsText" dxfId="620" priority="467" operator="containsText" text="Верно">
      <formula>NOT(ISERROR(SEARCH("Верно",F306)))</formula>
    </cfRule>
    <cfRule type="containsText" dxfId="619" priority="468" operator="containsText" text="Не выполняется">
      <formula>NOT(ISERROR(SEARCH("Не выполняется",F306)))</formula>
    </cfRule>
  </conditionalFormatting>
  <conditionalFormatting sqref="F348">
    <cfRule type="containsText" dxfId="618" priority="773" operator="containsText" text="Неверно">
      <formula>NOT(ISERROR(SEARCH("Неверно",F348)))</formula>
    </cfRule>
    <cfRule type="containsText" dxfId="617" priority="774" operator="containsText" text="Частично">
      <formula>NOT(ISERROR(SEARCH("Частично",F348)))</formula>
    </cfRule>
    <cfRule type="beginsWith" dxfId="616" priority="775" operator="beginsWith" text="Выполняется">
      <formula>LEFT(F348,LEN("Выполняется"))="Выполняется"</formula>
    </cfRule>
    <cfRule type="containsText" dxfId="615" priority="776" operator="containsText" text="Верно">
      <formula>NOT(ISERROR(SEARCH("Верно",F348)))</formula>
    </cfRule>
    <cfRule type="containsText" dxfId="614" priority="777" operator="containsText" text="Не выполняется">
      <formula>NOT(ISERROR(SEARCH("Не выполняется",F348)))</formula>
    </cfRule>
  </conditionalFormatting>
  <conditionalFormatting sqref="F350:F365">
    <cfRule type="containsText" dxfId="613" priority="36" operator="containsText" text="Неверно">
      <formula>NOT(ISERROR(SEARCH("Неверно",F350)))</formula>
    </cfRule>
    <cfRule type="containsText" dxfId="612" priority="37" operator="containsText" text="Частично">
      <formula>NOT(ISERROR(SEARCH("Частично",F350)))</formula>
    </cfRule>
    <cfRule type="beginsWith" dxfId="611" priority="38" operator="beginsWith" text="Выполняется">
      <formula>LEFT(F350,LEN("Выполняется"))="Выполняется"</formula>
    </cfRule>
    <cfRule type="containsText" dxfId="610" priority="39" operator="containsText" text="Верно">
      <formula>NOT(ISERROR(SEARCH("Верно",F350)))</formula>
    </cfRule>
    <cfRule type="containsText" dxfId="609" priority="40" operator="containsText" text="Не выполняется">
      <formula>NOT(ISERROR(SEARCH("Не выполняется",F350)))</formula>
    </cfRule>
    <cfRule type="containsText" dxfId="608" priority="454" operator="containsText" text="Неверно">
      <formula>NOT(ISERROR(SEARCH("Неверно",F350)))</formula>
    </cfRule>
    <cfRule type="containsText" dxfId="607" priority="455" operator="containsText" text="Частично">
      <formula>NOT(ISERROR(SEARCH("Частично",F350)))</formula>
    </cfRule>
    <cfRule type="beginsWith" dxfId="606" priority="456" operator="beginsWith" text="Выполняется">
      <formula>LEFT(F350,LEN("Выполняется"))="Выполняется"</formula>
    </cfRule>
    <cfRule type="containsText" dxfId="605" priority="457" operator="containsText" text="Верно">
      <formula>NOT(ISERROR(SEARCH("Верно",F350)))</formula>
    </cfRule>
    <cfRule type="containsText" dxfId="604" priority="458" operator="containsText" text="Не выполняется">
      <formula>NOT(ISERROR(SEARCH("Не выполняется",F350)))</formula>
    </cfRule>
  </conditionalFormatting>
  <conditionalFormatting sqref="F366">
    <cfRule type="containsText" dxfId="603" priority="763" operator="containsText" text="Неверно">
      <formula>NOT(ISERROR(SEARCH("Неверно",F366)))</formula>
    </cfRule>
    <cfRule type="containsText" dxfId="602" priority="764" operator="containsText" text="Частично">
      <formula>NOT(ISERROR(SEARCH("Частично",F366)))</formula>
    </cfRule>
    <cfRule type="beginsWith" dxfId="601" priority="765" operator="beginsWith" text="Выполняется">
      <formula>LEFT(F366,LEN("Выполняется"))="Выполняется"</formula>
    </cfRule>
    <cfRule type="containsText" dxfId="600" priority="766" operator="containsText" text="Верно">
      <formula>NOT(ISERROR(SEARCH("Верно",F366)))</formula>
    </cfRule>
    <cfRule type="containsText" dxfId="599" priority="767" operator="containsText" text="Не выполняется">
      <formula>NOT(ISERROR(SEARCH("Не выполняется",F366)))</formula>
    </cfRule>
  </conditionalFormatting>
  <conditionalFormatting sqref="F368:F379 F382:F402 F410:F411 F412:I1048576 B2 G32 I32 H35 G226:H226 G229:H230 G231 G248 G249:H249 C306 C338 C400 C402 H410:I411">
    <cfRule type="containsText" dxfId="598" priority="2950" operator="containsText" text="Неверно">
      <formula>NOT(ISERROR(SEARCH("Неверно",B2)))</formula>
    </cfRule>
  </conditionalFormatting>
  <conditionalFormatting sqref="F368:F379">
    <cfRule type="containsText" dxfId="597" priority="31" operator="containsText" text="Неверно">
      <formula>NOT(ISERROR(SEARCH("Неверно",F368)))</formula>
    </cfRule>
    <cfRule type="containsText" dxfId="596" priority="32" operator="containsText" text="Частично">
      <formula>NOT(ISERROR(SEARCH("Частично",F368)))</formula>
    </cfRule>
    <cfRule type="beginsWith" dxfId="595" priority="33" operator="beginsWith" text="Выполняется">
      <formula>LEFT(F368,LEN("Выполняется"))="Выполняется"</formula>
    </cfRule>
    <cfRule type="containsText" dxfId="594" priority="34" operator="containsText" text="Верно">
      <formula>NOT(ISERROR(SEARCH("Верно",F368)))</formula>
    </cfRule>
    <cfRule type="containsText" dxfId="593" priority="35" operator="containsText" text="Не выполняется">
      <formula>NOT(ISERROR(SEARCH("Не выполняется",F368)))</formula>
    </cfRule>
  </conditionalFormatting>
  <conditionalFormatting sqref="F380">
    <cfRule type="containsText" dxfId="592" priority="753" operator="containsText" text="Неверно">
      <formula>NOT(ISERROR(SEARCH("Неверно",F380)))</formula>
    </cfRule>
    <cfRule type="containsText" dxfId="591" priority="754" operator="containsText" text="Частично">
      <formula>NOT(ISERROR(SEARCH("Частично",F380)))</formula>
    </cfRule>
    <cfRule type="beginsWith" dxfId="590" priority="755" operator="beginsWith" text="Выполняется">
      <formula>LEFT(F380,LEN("Выполняется"))="Выполняется"</formula>
    </cfRule>
    <cfRule type="containsText" dxfId="589" priority="756" operator="containsText" text="Верно">
      <formula>NOT(ISERROR(SEARCH("Верно",F380)))</formula>
    </cfRule>
    <cfRule type="containsText" dxfId="588" priority="757" operator="containsText" text="Не выполняется">
      <formula>NOT(ISERROR(SEARCH("Не выполняется",F380)))</formula>
    </cfRule>
  </conditionalFormatting>
  <conditionalFormatting sqref="F382:F402">
    <cfRule type="containsText" dxfId="587" priority="26" operator="containsText" text="Неверно">
      <formula>NOT(ISERROR(SEARCH("Неверно",F382)))</formula>
    </cfRule>
    <cfRule type="containsText" dxfId="586" priority="27" operator="containsText" text="Частично">
      <formula>NOT(ISERROR(SEARCH("Частично",F382)))</formula>
    </cfRule>
    <cfRule type="beginsWith" dxfId="585" priority="28" operator="beginsWith" text="Выполняется">
      <formula>LEFT(F382,LEN("Выполняется"))="Выполняется"</formula>
    </cfRule>
    <cfRule type="containsText" dxfId="584" priority="29" operator="containsText" text="Верно">
      <formula>NOT(ISERROR(SEARCH("Верно",F382)))</formula>
    </cfRule>
    <cfRule type="containsText" dxfId="583" priority="30" operator="containsText" text="Не выполняется">
      <formula>NOT(ISERROR(SEARCH("Не выполняется",F382)))</formula>
    </cfRule>
  </conditionalFormatting>
  <conditionalFormatting sqref="F30:H30">
    <cfRule type="containsText" dxfId="582" priority="798" operator="containsText" text="Неверно">
      <formula>NOT(ISERROR(SEARCH("Неверно",F30)))</formula>
    </cfRule>
    <cfRule type="containsText" dxfId="581" priority="799" operator="containsText" text="Частично">
      <formula>NOT(ISERROR(SEARCH("Частично",F30)))</formula>
    </cfRule>
    <cfRule type="beginsWith" dxfId="580" priority="800" operator="beginsWith" text="Выполняется">
      <formula>LEFT(F30,LEN("Выполняется"))="Выполняется"</formula>
    </cfRule>
    <cfRule type="containsText" dxfId="579" priority="801" operator="containsText" text="Верно">
      <formula>NOT(ISERROR(SEARCH("Верно",F30)))</formula>
    </cfRule>
    <cfRule type="containsText" dxfId="578" priority="802" operator="containsText" text="Не выполняется">
      <formula>NOT(ISERROR(SEARCH("Не выполняется",F30)))</formula>
    </cfRule>
  </conditionalFormatting>
  <conditionalFormatting sqref="F283:H283 G281:H282">
    <cfRule type="containsText" dxfId="577" priority="788" operator="containsText" text="Неверно">
      <formula>NOT(ISERROR(SEARCH("Неверно",F281)))</formula>
    </cfRule>
  </conditionalFormatting>
  <conditionalFormatting sqref="F304:H304 G302:H302">
    <cfRule type="containsText" dxfId="576" priority="778" operator="containsText" text="Неверно">
      <formula>NOT(ISERROR(SEARCH("Неверно",F302)))</formula>
    </cfRule>
  </conditionalFormatting>
  <conditionalFormatting sqref="F404:J404 F405:H405">
    <cfRule type="containsText" dxfId="575" priority="1674" operator="containsText" text="Неверно">
      <formula>NOT(ISERROR(SEARCH("Неверно",F404)))</formula>
    </cfRule>
    <cfRule type="containsText" dxfId="574" priority="1675" operator="containsText" text="Частично">
      <formula>NOT(ISERROR(SEARCH("Частично",F404)))</formula>
    </cfRule>
    <cfRule type="beginsWith" dxfId="573" priority="1676" operator="beginsWith" text="Выполняется">
      <formula>LEFT(F404,LEN("Выполняется"))="Выполняется"</formula>
    </cfRule>
    <cfRule type="containsText" dxfId="572" priority="1677" operator="containsText" text="Верно">
      <formula>NOT(ISERROR(SEARCH("Верно",F404)))</formula>
    </cfRule>
    <cfRule type="containsText" dxfId="571" priority="1678" operator="containsText" text="Не выполняется">
      <formula>NOT(ISERROR(SEARCH("Не выполняется",F404)))</formula>
    </cfRule>
  </conditionalFormatting>
  <conditionalFormatting sqref="G26:G29">
    <cfRule type="containsText" dxfId="570" priority="116" operator="containsText" text="Неверно">
      <formula>NOT(ISERROR(SEARCH("Неверно",G26)))</formula>
    </cfRule>
    <cfRule type="containsText" dxfId="569" priority="117" operator="containsText" text="Частично">
      <formula>NOT(ISERROR(SEARCH("Частично",G26)))</formula>
    </cfRule>
    <cfRule type="beginsWith" dxfId="568" priority="118" operator="beginsWith" text="Выполняется">
      <formula>LEFT(G26,LEN("Выполняется"))="Выполняется"</formula>
    </cfRule>
    <cfRule type="containsText" dxfId="567" priority="119" operator="containsText" text="Верно">
      <formula>NOT(ISERROR(SEARCH("Верно",G26)))</formula>
    </cfRule>
    <cfRule type="containsText" dxfId="566" priority="120" operator="containsText" text="Не выполняется">
      <formula>NOT(ISERROR(SEARCH("Не выполняется",G26)))</formula>
    </cfRule>
  </conditionalFormatting>
  <conditionalFormatting sqref="G35:G36">
    <cfRule type="containsText" dxfId="565" priority="2850" operator="containsText" text="Неверно">
      <formula>NOT(ISERROR(SEARCH("Неверно",G35)))</formula>
    </cfRule>
    <cfRule type="containsText" dxfId="564" priority="2851" operator="containsText" text="Частично">
      <formula>NOT(ISERROR(SEARCH("Частично",G35)))</formula>
    </cfRule>
    <cfRule type="beginsWith" dxfId="563" priority="2852" operator="beginsWith" text="Выполняется">
      <formula>LEFT(G35,LEN("Выполняется"))="Выполняется"</formula>
    </cfRule>
    <cfRule type="containsText" dxfId="562" priority="2853" operator="containsText" text="Верно">
      <formula>NOT(ISERROR(SEARCH("Верно",G35)))</formula>
    </cfRule>
    <cfRule type="containsText" dxfId="561" priority="2854" operator="containsText" text="Не выполняется">
      <formula>NOT(ISERROR(SEARCH("Не выполняется",G35)))</formula>
    </cfRule>
  </conditionalFormatting>
  <conditionalFormatting sqref="G197">
    <cfRule type="containsText" dxfId="560" priority="998" operator="containsText" text="Не выполняет">
      <formula>NOT(ISERROR(SEARCH("Не выполняет",G197)))</formula>
    </cfRule>
  </conditionalFormatting>
  <conditionalFormatting sqref="G209 G192">
    <cfRule type="containsText" dxfId="559" priority="1848" operator="containsText" text="Не выполняет">
      <formula>NOT(ISERROR(SEARCH("Не выполняет",G192)))</formula>
    </cfRule>
  </conditionalFormatting>
  <conditionalFormatting sqref="G4:H4 G9:H9 G11:H11 G17:H17 G22:H22">
    <cfRule type="containsText" dxfId="558" priority="2870" operator="containsText" text="Неверно">
      <formula>NOT(ISERROR(SEARCH("Неверно",G4)))</formula>
    </cfRule>
    <cfRule type="containsText" dxfId="557" priority="2871" operator="containsText" text="Частично">
      <formula>NOT(ISERROR(SEARCH("Частично",G4)))</formula>
    </cfRule>
    <cfRule type="beginsWith" dxfId="556" priority="2872" operator="beginsWith" text="Выполняется">
      <formula>LEFT(G4,LEN("Выполняется"))="Выполняется"</formula>
    </cfRule>
    <cfRule type="containsText" dxfId="555" priority="2873" operator="containsText" text="Верно">
      <formula>NOT(ISERROR(SEARCH("Верно",G4)))</formula>
    </cfRule>
    <cfRule type="containsText" dxfId="554" priority="2874" operator="containsText" text="Не выполняется">
      <formula>NOT(ISERROR(SEARCH("Не выполняется",G4)))</formula>
    </cfRule>
  </conditionalFormatting>
  <conditionalFormatting sqref="G14:H14 H26 G53:H55 G151:H152 G154:H155 G165:H167">
    <cfRule type="containsText" dxfId="553" priority="803" operator="containsText" text="Неверно">
      <formula>NOT(ISERROR(SEARCH("Неверно",G14)))</formula>
    </cfRule>
    <cfRule type="containsText" dxfId="552" priority="804" operator="containsText" text="Частично">
      <formula>NOT(ISERROR(SEARCH("Частично",G14)))</formula>
    </cfRule>
    <cfRule type="beginsWith" dxfId="551" priority="805" operator="beginsWith" text="Выполняется">
      <formula>LEFT(G14,LEN("Выполняется"))="Выполняется"</formula>
    </cfRule>
    <cfRule type="containsText" dxfId="550" priority="806" operator="containsText" text="Верно">
      <formula>NOT(ISERROR(SEARCH("Верно",G14)))</formula>
    </cfRule>
    <cfRule type="containsText" dxfId="549" priority="807" operator="containsText" text="Не выполняется">
      <formula>NOT(ISERROR(SEARCH("Не выполняется",G14)))</formula>
    </cfRule>
  </conditionalFormatting>
  <conditionalFormatting sqref="G33:H33">
    <cfRule type="containsText" dxfId="548" priority="2855" operator="containsText" text="Неверно">
      <formula>NOT(ISERROR(SEARCH("Неверно",G33)))</formula>
    </cfRule>
    <cfRule type="containsText" dxfId="547" priority="2856" operator="containsText" text="Частично">
      <formula>NOT(ISERROR(SEARCH("Частично",G33)))</formula>
    </cfRule>
    <cfRule type="beginsWith" dxfId="546" priority="2857" operator="beginsWith" text="Выполняется">
      <formula>LEFT(G33,LEN("Выполняется"))="Выполняется"</formula>
    </cfRule>
    <cfRule type="containsText" dxfId="545" priority="2858" operator="containsText" text="Верно">
      <formula>NOT(ISERROR(SEARCH("Верно",G33)))</formula>
    </cfRule>
    <cfRule type="containsText" dxfId="544" priority="2859" operator="containsText" text="Не выполняется">
      <formula>NOT(ISERROR(SEARCH("Не выполняется",G33)))</formula>
    </cfRule>
  </conditionalFormatting>
  <conditionalFormatting sqref="G37:H37">
    <cfRule type="containsText" dxfId="543" priority="2775" operator="containsText" text="Неверно">
      <formula>NOT(ISERROR(SEARCH("Неверно",G37)))</formula>
    </cfRule>
    <cfRule type="containsText" dxfId="542" priority="2776" operator="containsText" text="Частично">
      <formula>NOT(ISERROR(SEARCH("Частично",G37)))</formula>
    </cfRule>
    <cfRule type="beginsWith" dxfId="541" priority="2777" operator="beginsWith" text="Выполняется">
      <formula>LEFT(G37,LEN("Выполняется"))="Выполняется"</formula>
    </cfRule>
    <cfRule type="containsText" dxfId="540" priority="2778" operator="containsText" text="Верно">
      <formula>NOT(ISERROR(SEARCH("Верно",G37)))</formula>
    </cfRule>
    <cfRule type="containsText" dxfId="539" priority="2779" operator="containsText" text="Не выполняется">
      <formula>NOT(ISERROR(SEARCH("Не выполняется",G37)))</formula>
    </cfRule>
  </conditionalFormatting>
  <conditionalFormatting sqref="G39:H39">
    <cfRule type="containsText" dxfId="538" priority="2770" operator="containsText" text="Неверно">
      <formula>NOT(ISERROR(SEARCH("Неверно",G39)))</formula>
    </cfRule>
    <cfRule type="containsText" dxfId="537" priority="2771" operator="containsText" text="Частично">
      <formula>NOT(ISERROR(SEARCH("Частично",G39)))</formula>
    </cfRule>
    <cfRule type="beginsWith" dxfId="536" priority="2772" operator="beginsWith" text="Выполняется">
      <formula>LEFT(G39,LEN("Выполняется"))="Выполняется"</formula>
    </cfRule>
    <cfRule type="containsText" dxfId="535" priority="2773" operator="containsText" text="Верно">
      <formula>NOT(ISERROR(SEARCH("Верно",G39)))</formula>
    </cfRule>
    <cfRule type="containsText" dxfId="534" priority="2774" operator="containsText" text="Не выполняется">
      <formula>NOT(ISERROR(SEARCH("Не выполняется",G39)))</formula>
    </cfRule>
  </conditionalFormatting>
  <conditionalFormatting sqref="G41:H41">
    <cfRule type="containsText" dxfId="533" priority="2765" operator="containsText" text="Неверно">
      <formula>NOT(ISERROR(SEARCH("Неверно",G41)))</formula>
    </cfRule>
    <cfRule type="containsText" dxfId="532" priority="2766" operator="containsText" text="Частично">
      <formula>NOT(ISERROR(SEARCH("Частично",G41)))</formula>
    </cfRule>
    <cfRule type="beginsWith" dxfId="531" priority="2767" operator="beginsWith" text="Выполняется">
      <formula>LEFT(G41,LEN("Выполняется"))="Выполняется"</formula>
    </cfRule>
    <cfRule type="containsText" dxfId="530" priority="2768" operator="containsText" text="Верно">
      <formula>NOT(ISERROR(SEARCH("Верно",G41)))</formula>
    </cfRule>
    <cfRule type="containsText" dxfId="529" priority="2769" operator="containsText" text="Не выполняется">
      <formula>NOT(ISERROR(SEARCH("Не выполняется",G41)))</formula>
    </cfRule>
  </conditionalFormatting>
  <conditionalFormatting sqref="G43:H45">
    <cfRule type="containsText" dxfId="528" priority="362" operator="containsText" text="Неверно">
      <formula>NOT(ISERROR(SEARCH("Неверно",G43)))</formula>
    </cfRule>
    <cfRule type="containsText" dxfId="527" priority="363" operator="containsText" text="Частично">
      <formula>NOT(ISERROR(SEARCH("Частично",G43)))</formula>
    </cfRule>
    <cfRule type="beginsWith" dxfId="526" priority="364" operator="beginsWith" text="Выполняется">
      <formula>LEFT(G43,LEN("Выполняется"))="Выполняется"</formula>
    </cfRule>
    <cfRule type="containsText" dxfId="525" priority="365" operator="containsText" text="Верно">
      <formula>NOT(ISERROR(SEARCH("Верно",G43)))</formula>
    </cfRule>
    <cfRule type="containsText" dxfId="524" priority="366" operator="containsText" text="Не выполняется">
      <formula>NOT(ISERROR(SEARCH("Не выполняется",G43)))</formula>
    </cfRule>
  </conditionalFormatting>
  <conditionalFormatting sqref="G49:H50">
    <cfRule type="containsText" dxfId="523" priority="2755" operator="containsText" text="Неверно">
      <formula>NOT(ISERROR(SEARCH("Неверно",G49)))</formula>
    </cfRule>
    <cfRule type="containsText" dxfId="522" priority="2756" operator="containsText" text="Частично">
      <formula>NOT(ISERROR(SEARCH("Частично",G49)))</formula>
    </cfRule>
    <cfRule type="beginsWith" dxfId="521" priority="2757" operator="beginsWith" text="Выполняется">
      <formula>LEFT(G49,LEN("Выполняется"))="Выполняется"</formula>
    </cfRule>
    <cfRule type="containsText" dxfId="520" priority="2758" operator="containsText" text="Верно">
      <formula>NOT(ISERROR(SEARCH("Верно",G49)))</formula>
    </cfRule>
    <cfRule type="containsText" dxfId="519" priority="2759" operator="containsText" text="Не выполняется">
      <formula>NOT(ISERROR(SEARCH("Не выполняется",G49)))</formula>
    </cfRule>
  </conditionalFormatting>
  <conditionalFormatting sqref="G62:H62">
    <cfRule type="containsText" dxfId="518" priority="2750" operator="containsText" text="Неверно">
      <formula>NOT(ISERROR(SEARCH("Неверно",G62)))</formula>
    </cfRule>
    <cfRule type="containsText" dxfId="517" priority="2751" operator="containsText" text="Частично">
      <formula>NOT(ISERROR(SEARCH("Частично",G62)))</formula>
    </cfRule>
    <cfRule type="beginsWith" dxfId="516" priority="2752" operator="beginsWith" text="Выполняется">
      <formula>LEFT(G62,LEN("Выполняется"))="Выполняется"</formula>
    </cfRule>
    <cfRule type="containsText" dxfId="515" priority="2753" operator="containsText" text="Верно">
      <formula>NOT(ISERROR(SEARCH("Верно",G62)))</formula>
    </cfRule>
    <cfRule type="containsText" dxfId="514" priority="2754" operator="containsText" text="Не выполняется">
      <formula>NOT(ISERROR(SEARCH("Не выполняется",G62)))</formula>
    </cfRule>
  </conditionalFormatting>
  <conditionalFormatting sqref="G68:H68">
    <cfRule type="containsText" dxfId="513" priority="2745" operator="containsText" text="Неверно">
      <formula>NOT(ISERROR(SEARCH("Неверно",G68)))</formula>
    </cfRule>
    <cfRule type="containsText" dxfId="512" priority="2746" operator="containsText" text="Частично">
      <formula>NOT(ISERROR(SEARCH("Частично",G68)))</formula>
    </cfRule>
    <cfRule type="beginsWith" dxfId="511" priority="2747" operator="beginsWith" text="Выполняется">
      <formula>LEFT(G68,LEN("Выполняется"))="Выполняется"</formula>
    </cfRule>
    <cfRule type="containsText" dxfId="510" priority="2748" operator="containsText" text="Верно">
      <formula>NOT(ISERROR(SEARCH("Верно",G68)))</formula>
    </cfRule>
    <cfRule type="containsText" dxfId="509" priority="2749" operator="containsText" text="Не выполняется">
      <formula>NOT(ISERROR(SEARCH("Не выполняется",G68)))</formula>
    </cfRule>
  </conditionalFormatting>
  <conditionalFormatting sqref="G72:H72">
    <cfRule type="containsText" dxfId="508" priority="2740" operator="containsText" text="Неверно">
      <formula>NOT(ISERROR(SEARCH("Неверно",G72)))</formula>
    </cfRule>
    <cfRule type="containsText" dxfId="507" priority="2741" operator="containsText" text="Частично">
      <formula>NOT(ISERROR(SEARCH("Частично",G72)))</formula>
    </cfRule>
    <cfRule type="beginsWith" dxfId="506" priority="2742" operator="beginsWith" text="Выполняется">
      <formula>LEFT(G72,LEN("Выполняется"))="Выполняется"</formula>
    </cfRule>
    <cfRule type="containsText" dxfId="505" priority="2743" operator="containsText" text="Верно">
      <formula>NOT(ISERROR(SEARCH("Верно",G72)))</formula>
    </cfRule>
    <cfRule type="containsText" dxfId="504" priority="2744" operator="containsText" text="Не выполняется">
      <formula>NOT(ISERROR(SEARCH("Не выполняется",G72)))</formula>
    </cfRule>
  </conditionalFormatting>
  <conditionalFormatting sqref="G75:H76">
    <cfRule type="containsText" dxfId="503" priority="357" operator="containsText" text="Неверно">
      <formula>NOT(ISERROR(SEARCH("Неверно",G75)))</formula>
    </cfRule>
    <cfRule type="containsText" dxfId="502" priority="358" operator="containsText" text="Частично">
      <formula>NOT(ISERROR(SEARCH("Частично",G75)))</formula>
    </cfRule>
    <cfRule type="beginsWith" dxfId="501" priority="359" operator="beginsWith" text="Выполняется">
      <formula>LEFT(G75,LEN("Выполняется"))="Выполняется"</formula>
    </cfRule>
    <cfRule type="containsText" dxfId="500" priority="360" operator="containsText" text="Верно">
      <formula>NOT(ISERROR(SEARCH("Верно",G75)))</formula>
    </cfRule>
    <cfRule type="containsText" dxfId="499" priority="361" operator="containsText" text="Не выполняется">
      <formula>NOT(ISERROR(SEARCH("Не выполняется",G75)))</formula>
    </cfRule>
  </conditionalFormatting>
  <conditionalFormatting sqref="G81:H81">
    <cfRule type="containsText" dxfId="498" priority="2735" operator="containsText" text="Неверно">
      <formula>NOT(ISERROR(SEARCH("Неверно",G81)))</formula>
    </cfRule>
    <cfRule type="containsText" dxfId="497" priority="2736" operator="containsText" text="Частично">
      <formula>NOT(ISERROR(SEARCH("Частично",G81)))</formula>
    </cfRule>
    <cfRule type="beginsWith" dxfId="496" priority="2737" operator="beginsWith" text="Выполняется">
      <formula>LEFT(G81,LEN("Выполняется"))="Выполняется"</formula>
    </cfRule>
    <cfRule type="containsText" dxfId="495" priority="2738" operator="containsText" text="Верно">
      <formula>NOT(ISERROR(SEARCH("Верно",G81)))</formula>
    </cfRule>
    <cfRule type="containsText" dxfId="494" priority="2739" operator="containsText" text="Не выполняется">
      <formula>NOT(ISERROR(SEARCH("Не выполняется",G81)))</formula>
    </cfRule>
  </conditionalFormatting>
  <conditionalFormatting sqref="G87:H87">
    <cfRule type="containsText" dxfId="493" priority="2730" operator="containsText" text="Неверно">
      <formula>NOT(ISERROR(SEARCH("Неверно",G87)))</formula>
    </cfRule>
    <cfRule type="containsText" dxfId="492" priority="2731" operator="containsText" text="Частично">
      <formula>NOT(ISERROR(SEARCH("Частично",G87)))</formula>
    </cfRule>
    <cfRule type="beginsWith" dxfId="491" priority="2732" operator="beginsWith" text="Выполняется">
      <formula>LEFT(G87,LEN("Выполняется"))="Выполняется"</formula>
    </cfRule>
    <cfRule type="containsText" dxfId="490" priority="2733" operator="containsText" text="Верно">
      <formula>NOT(ISERROR(SEARCH("Верно",G87)))</formula>
    </cfRule>
    <cfRule type="containsText" dxfId="489" priority="2734" operator="containsText" text="Не выполняется">
      <formula>NOT(ISERROR(SEARCH("Не выполняется",G87)))</formula>
    </cfRule>
  </conditionalFormatting>
  <conditionalFormatting sqref="G93:H95">
    <cfRule type="containsText" dxfId="488" priority="302" operator="containsText" text="Неверно">
      <formula>NOT(ISERROR(SEARCH("Неверно",G93)))</formula>
    </cfRule>
    <cfRule type="containsText" dxfId="487" priority="303" operator="containsText" text="Частично">
      <formula>NOT(ISERROR(SEARCH("Частично",G93)))</formula>
    </cfRule>
    <cfRule type="beginsWith" dxfId="486" priority="304" operator="beginsWith" text="Выполняется">
      <formula>LEFT(G93,LEN("Выполняется"))="Выполняется"</formula>
    </cfRule>
    <cfRule type="containsText" dxfId="485" priority="305" operator="containsText" text="Верно">
      <formula>NOT(ISERROR(SEARCH("Верно",G93)))</formula>
    </cfRule>
    <cfRule type="containsText" dxfId="484" priority="306" operator="containsText" text="Не выполняется">
      <formula>NOT(ISERROR(SEARCH("Не выполняется",G93)))</formula>
    </cfRule>
  </conditionalFormatting>
  <conditionalFormatting sqref="G100:H100">
    <cfRule type="containsText" dxfId="483" priority="2720" operator="containsText" text="Неверно">
      <formula>NOT(ISERROR(SEARCH("Неверно",G100)))</formula>
    </cfRule>
    <cfRule type="containsText" dxfId="482" priority="2721" operator="containsText" text="Частично">
      <formula>NOT(ISERROR(SEARCH("Частично",G100)))</formula>
    </cfRule>
    <cfRule type="beginsWith" dxfId="481" priority="2722" operator="beginsWith" text="Выполняется">
      <formula>LEFT(G100,LEN("Выполняется"))="Выполняется"</formula>
    </cfRule>
    <cfRule type="containsText" dxfId="480" priority="2723" operator="containsText" text="Верно">
      <formula>NOT(ISERROR(SEARCH("Верно",G100)))</formula>
    </cfRule>
    <cfRule type="containsText" dxfId="479" priority="2724" operator="containsText" text="Не выполняется">
      <formula>NOT(ISERROR(SEARCH("Не выполняется",G100)))</formula>
    </cfRule>
  </conditionalFormatting>
  <conditionalFormatting sqref="G102:H104">
    <cfRule type="containsText" dxfId="478" priority="808" operator="containsText" text="Неверно">
      <formula>NOT(ISERROR(SEARCH("Неверно",G102)))</formula>
    </cfRule>
    <cfRule type="containsText" dxfId="477" priority="809" operator="containsText" text="Частично">
      <formula>NOT(ISERROR(SEARCH("Частично",G102)))</formula>
    </cfRule>
    <cfRule type="beginsWith" dxfId="476" priority="810" operator="beginsWith" text="Выполняется">
      <formula>LEFT(G102,LEN("Выполняется"))="Выполняется"</formula>
    </cfRule>
    <cfRule type="containsText" dxfId="475" priority="811" operator="containsText" text="Верно">
      <formula>NOT(ISERROR(SEARCH("Верно",G102)))</formula>
    </cfRule>
    <cfRule type="containsText" dxfId="474" priority="812" operator="containsText" text="Не выполняется">
      <formula>NOT(ISERROR(SEARCH("Не выполняется",G102)))</formula>
    </cfRule>
  </conditionalFormatting>
  <conditionalFormatting sqref="G106:H107">
    <cfRule type="containsText" dxfId="473" priority="297" operator="containsText" text="Неверно">
      <formula>NOT(ISERROR(SEARCH("Неверно",G106)))</formula>
    </cfRule>
    <cfRule type="containsText" dxfId="472" priority="298" operator="containsText" text="Частично">
      <formula>NOT(ISERROR(SEARCH("Частично",G106)))</formula>
    </cfRule>
    <cfRule type="beginsWith" dxfId="471" priority="299" operator="beginsWith" text="Выполняется">
      <formula>LEFT(G106,LEN("Выполняется"))="Выполняется"</formula>
    </cfRule>
    <cfRule type="containsText" dxfId="470" priority="300" operator="containsText" text="Верно">
      <formula>NOT(ISERROR(SEARCH("Верно",G106)))</formula>
    </cfRule>
    <cfRule type="containsText" dxfId="469" priority="301" operator="containsText" text="Не выполняется">
      <formula>NOT(ISERROR(SEARCH("Не выполняется",G106)))</formula>
    </cfRule>
  </conditionalFormatting>
  <conditionalFormatting sqref="G109:H109">
    <cfRule type="containsText" dxfId="468" priority="392" operator="containsText" text="Неверно">
      <formula>NOT(ISERROR(SEARCH("Неверно",G109)))</formula>
    </cfRule>
    <cfRule type="containsText" dxfId="467" priority="393" operator="containsText" text="Частично">
      <formula>NOT(ISERROR(SEARCH("Частично",G109)))</formula>
    </cfRule>
    <cfRule type="beginsWith" dxfId="466" priority="394" operator="beginsWith" text="Выполняется">
      <formula>LEFT(G109,LEN("Выполняется"))="Выполняется"</formula>
    </cfRule>
    <cfRule type="containsText" dxfId="465" priority="395" operator="containsText" text="Верно">
      <formula>NOT(ISERROR(SEARCH("Верно",G109)))</formula>
    </cfRule>
    <cfRule type="containsText" dxfId="464" priority="396" operator="containsText" text="Не выполняется">
      <formula>NOT(ISERROR(SEARCH("Не выполняется",G109)))</formula>
    </cfRule>
  </conditionalFormatting>
  <conditionalFormatting sqref="G113:H113">
    <cfRule type="containsText" dxfId="463" priority="397" operator="containsText" text="Неверно">
      <formula>NOT(ISERROR(SEARCH("Неверно",G113)))</formula>
    </cfRule>
    <cfRule type="containsText" dxfId="462" priority="398" operator="containsText" text="Частично">
      <formula>NOT(ISERROR(SEARCH("Частично",G113)))</formula>
    </cfRule>
    <cfRule type="beginsWith" dxfId="461" priority="399" operator="beginsWith" text="Выполняется">
      <formula>LEFT(G113,LEN("Выполняется"))="Выполняется"</formula>
    </cfRule>
    <cfRule type="containsText" dxfId="460" priority="400" operator="containsText" text="Верно">
      <formula>NOT(ISERROR(SEARCH("Верно",G113)))</formula>
    </cfRule>
    <cfRule type="containsText" dxfId="459" priority="401" operator="containsText" text="Не выполняется">
      <formula>NOT(ISERROR(SEARCH("Не выполняется",G113)))</formula>
    </cfRule>
  </conditionalFormatting>
  <conditionalFormatting sqref="G118:H120">
    <cfRule type="containsText" dxfId="458" priority="292" operator="containsText" text="Неверно">
      <formula>NOT(ISERROR(SEARCH("Неверно",G118)))</formula>
    </cfRule>
    <cfRule type="containsText" dxfId="457" priority="293" operator="containsText" text="Частично">
      <formula>NOT(ISERROR(SEARCH("Частично",G118)))</formula>
    </cfRule>
    <cfRule type="beginsWith" dxfId="456" priority="294" operator="beginsWith" text="Выполняется">
      <formula>LEFT(G118,LEN("Выполняется"))="Выполняется"</formula>
    </cfRule>
    <cfRule type="containsText" dxfId="455" priority="295" operator="containsText" text="Верно">
      <formula>NOT(ISERROR(SEARCH("Верно",G118)))</formula>
    </cfRule>
    <cfRule type="containsText" dxfId="454" priority="296" operator="containsText" text="Не выполняется">
      <formula>NOT(ISERROR(SEARCH("Не выполняется",G118)))</formula>
    </cfRule>
  </conditionalFormatting>
  <conditionalFormatting sqref="G122:H122">
    <cfRule type="containsText" dxfId="453" priority="1704" operator="containsText" text="Неверно">
      <formula>NOT(ISERROR(SEARCH("Неверно",G122)))</formula>
    </cfRule>
    <cfRule type="containsText" dxfId="452" priority="1705" operator="containsText" text="Частично">
      <formula>NOT(ISERROR(SEARCH("Частично",G122)))</formula>
    </cfRule>
    <cfRule type="beginsWith" dxfId="451" priority="1706" operator="beginsWith" text="Выполняется">
      <formula>LEFT(G122,LEN("Выполняется"))="Выполняется"</formula>
    </cfRule>
    <cfRule type="containsText" dxfId="450" priority="1707" operator="containsText" text="Верно">
      <formula>NOT(ISERROR(SEARCH("Верно",G122)))</formula>
    </cfRule>
    <cfRule type="containsText" dxfId="449" priority="1708" operator="containsText" text="Не выполняется">
      <formula>NOT(ISERROR(SEARCH("Не выполняется",G122)))</formula>
    </cfRule>
  </conditionalFormatting>
  <conditionalFormatting sqref="G126:H126">
    <cfRule type="containsText" dxfId="448" priority="1729" operator="containsText" text="Неверно">
      <formula>NOT(ISERROR(SEARCH("Неверно",G126)))</formula>
    </cfRule>
    <cfRule type="containsText" dxfId="447" priority="1730" operator="containsText" text="Частично">
      <formula>NOT(ISERROR(SEARCH("Частично",G126)))</formula>
    </cfRule>
    <cfRule type="beginsWith" dxfId="446" priority="1731" operator="beginsWith" text="Выполняется">
      <formula>LEFT(G126,LEN("Выполняется"))="Выполняется"</formula>
    </cfRule>
    <cfRule type="containsText" dxfId="445" priority="1732" operator="containsText" text="Верно">
      <formula>NOT(ISERROR(SEARCH("Верно",G126)))</formula>
    </cfRule>
    <cfRule type="containsText" dxfId="444" priority="1733" operator="containsText" text="Не выполняется">
      <formula>NOT(ISERROR(SEARCH("Не выполняется",G126)))</formula>
    </cfRule>
  </conditionalFormatting>
  <conditionalFormatting sqref="G129:H131">
    <cfRule type="containsText" dxfId="443" priority="352" operator="containsText" text="Неверно">
      <formula>NOT(ISERROR(SEARCH("Неверно",G129)))</formula>
    </cfRule>
    <cfRule type="containsText" dxfId="442" priority="353" operator="containsText" text="Частично">
      <formula>NOT(ISERROR(SEARCH("Частично",G129)))</formula>
    </cfRule>
    <cfRule type="beginsWith" dxfId="441" priority="354" operator="beginsWith" text="Выполняется">
      <formula>LEFT(G129,LEN("Выполняется"))="Выполняется"</formula>
    </cfRule>
    <cfRule type="containsText" dxfId="440" priority="355" operator="containsText" text="Верно">
      <formula>NOT(ISERROR(SEARCH("Верно",G129)))</formula>
    </cfRule>
    <cfRule type="containsText" dxfId="439" priority="356" operator="containsText" text="Не выполняется">
      <formula>NOT(ISERROR(SEARCH("Не выполняется",G129)))</formula>
    </cfRule>
  </conditionalFormatting>
  <conditionalFormatting sqref="G134:H134">
    <cfRule type="containsText" dxfId="438" priority="1689" operator="containsText" text="Неверно">
      <formula>NOT(ISERROR(SEARCH("Неверно",G134)))</formula>
    </cfRule>
    <cfRule type="containsText" dxfId="437" priority="1690" operator="containsText" text="Частично">
      <formula>NOT(ISERROR(SEARCH("Частично",G134)))</formula>
    </cfRule>
    <cfRule type="beginsWith" dxfId="436" priority="1691" operator="beginsWith" text="Выполняется">
      <formula>LEFT(G134,LEN("Выполняется"))="Выполняется"</formula>
    </cfRule>
    <cfRule type="containsText" dxfId="435" priority="1692" operator="containsText" text="Верно">
      <formula>NOT(ISERROR(SEARCH("Верно",G134)))</formula>
    </cfRule>
    <cfRule type="containsText" dxfId="434" priority="1693" operator="containsText" text="Не выполняется">
      <formula>NOT(ISERROR(SEARCH("Не выполняется",G134)))</formula>
    </cfRule>
  </conditionalFormatting>
  <conditionalFormatting sqref="G139:H139">
    <cfRule type="containsText" dxfId="433" priority="1699" operator="containsText" text="Неверно">
      <formula>NOT(ISERROR(SEARCH("Неверно",G139)))</formula>
    </cfRule>
    <cfRule type="containsText" dxfId="432" priority="1700" operator="containsText" text="Частично">
      <formula>NOT(ISERROR(SEARCH("Частично",G139)))</formula>
    </cfRule>
    <cfRule type="beginsWith" dxfId="431" priority="1701" operator="beginsWith" text="Выполняется">
      <formula>LEFT(G139,LEN("Выполняется"))="Выполняется"</formula>
    </cfRule>
    <cfRule type="containsText" dxfId="430" priority="1702" operator="containsText" text="Верно">
      <formula>NOT(ISERROR(SEARCH("Верно",G139)))</formula>
    </cfRule>
    <cfRule type="containsText" dxfId="429" priority="1703" operator="containsText" text="Не выполняется">
      <formula>NOT(ISERROR(SEARCH("Не выполняется",G139)))</formula>
    </cfRule>
  </conditionalFormatting>
  <conditionalFormatting sqref="G143:H145">
    <cfRule type="containsText" dxfId="428" priority="287" operator="containsText" text="Неверно">
      <formula>NOT(ISERROR(SEARCH("Неверно",G143)))</formula>
    </cfRule>
    <cfRule type="containsText" dxfId="427" priority="288" operator="containsText" text="Частично">
      <formula>NOT(ISERROR(SEARCH("Частично",G143)))</formula>
    </cfRule>
    <cfRule type="beginsWith" dxfId="426" priority="289" operator="beginsWith" text="Выполняется">
      <formula>LEFT(G143,LEN("Выполняется"))="Выполняется"</formula>
    </cfRule>
    <cfRule type="containsText" dxfId="425" priority="290" operator="containsText" text="Верно">
      <formula>NOT(ISERROR(SEARCH("Верно",G143)))</formula>
    </cfRule>
    <cfRule type="containsText" dxfId="424" priority="291" operator="containsText" text="Не выполняется">
      <formula>NOT(ISERROR(SEARCH("Не выполняется",G143)))</formula>
    </cfRule>
  </conditionalFormatting>
  <conditionalFormatting sqref="G148:H148">
    <cfRule type="containsText" dxfId="423" priority="1714" operator="containsText" text="Неверно">
      <formula>NOT(ISERROR(SEARCH("Неверно",G148)))</formula>
    </cfRule>
    <cfRule type="containsText" dxfId="422" priority="1715" operator="containsText" text="Частично">
      <formula>NOT(ISERROR(SEARCH("Частично",G148)))</formula>
    </cfRule>
    <cfRule type="beginsWith" dxfId="421" priority="1716" operator="beginsWith" text="Выполняется">
      <formula>LEFT(G148,LEN("Выполняется"))="Выполняется"</formula>
    </cfRule>
    <cfRule type="containsText" dxfId="420" priority="1717" operator="containsText" text="Верно">
      <formula>NOT(ISERROR(SEARCH("Верно",G148)))</formula>
    </cfRule>
    <cfRule type="containsText" dxfId="419" priority="1718" operator="containsText" text="Не выполняется">
      <formula>NOT(ISERROR(SEARCH("Не выполняется",G148)))</formula>
    </cfRule>
  </conditionalFormatting>
  <conditionalFormatting sqref="G159:H159">
    <cfRule type="containsText" dxfId="418" priority="1709" operator="containsText" text="Неверно">
      <formula>NOT(ISERROR(SEARCH("Неверно",G159)))</formula>
    </cfRule>
    <cfRule type="containsText" dxfId="417" priority="1710" operator="containsText" text="Частично">
      <formula>NOT(ISERROR(SEARCH("Частично",G159)))</formula>
    </cfRule>
    <cfRule type="beginsWith" dxfId="416" priority="1711" operator="beginsWith" text="Выполняется">
      <formula>LEFT(G159,LEN("Выполняется"))="Выполняется"</formula>
    </cfRule>
    <cfRule type="containsText" dxfId="415" priority="1712" operator="containsText" text="Верно">
      <formula>NOT(ISERROR(SEARCH("Верно",G159)))</formula>
    </cfRule>
    <cfRule type="containsText" dxfId="414" priority="1713" operator="containsText" text="Не выполняется">
      <formula>NOT(ISERROR(SEARCH("Не выполняется",G159)))</formula>
    </cfRule>
  </conditionalFormatting>
  <conditionalFormatting sqref="G162:H162">
    <cfRule type="containsText" dxfId="413" priority="1764" operator="containsText" text="Неверно">
      <formula>NOT(ISERROR(SEARCH("Неверно",G162)))</formula>
    </cfRule>
    <cfRule type="containsText" dxfId="412" priority="1765" operator="containsText" text="Частично">
      <formula>NOT(ISERROR(SEARCH("Частично",G162)))</formula>
    </cfRule>
    <cfRule type="beginsWith" dxfId="411" priority="1766" operator="beginsWith" text="Выполняется">
      <formula>LEFT(G162,LEN("Выполняется"))="Выполняется"</formula>
    </cfRule>
    <cfRule type="containsText" dxfId="410" priority="1767" operator="containsText" text="Верно">
      <formula>NOT(ISERROR(SEARCH("Верно",G162)))</formula>
    </cfRule>
    <cfRule type="containsText" dxfId="409" priority="1768" operator="containsText" text="Не выполняется">
      <formula>NOT(ISERROR(SEARCH("Не выполняется",G162)))</formula>
    </cfRule>
  </conditionalFormatting>
  <conditionalFormatting sqref="G169:H170">
    <cfRule type="containsText" dxfId="408" priority="818" operator="containsText" text="Неверно">
      <formula>NOT(ISERROR(SEARCH("Неверно",G169)))</formula>
    </cfRule>
    <cfRule type="containsText" dxfId="407" priority="819" operator="containsText" text="Частично">
      <formula>NOT(ISERROR(SEARCH("Частично",G169)))</formula>
    </cfRule>
    <cfRule type="beginsWith" dxfId="406" priority="820" operator="beginsWith" text="Выполняется">
      <formula>LEFT(G169,LEN("Выполняется"))="Выполняется"</formula>
    </cfRule>
    <cfRule type="containsText" dxfId="405" priority="821" operator="containsText" text="Верно">
      <formula>NOT(ISERROR(SEARCH("Верно",G169)))</formula>
    </cfRule>
    <cfRule type="containsText" dxfId="404" priority="822" operator="containsText" text="Не выполняется">
      <formula>NOT(ISERROR(SEARCH("Не выполняется",G169)))</formula>
    </cfRule>
  </conditionalFormatting>
  <conditionalFormatting sqref="G172:H173">
    <cfRule type="containsText" dxfId="403" priority="272" operator="containsText" text="Неверно">
      <formula>NOT(ISERROR(SEARCH("Неверно",G172)))</formula>
    </cfRule>
    <cfRule type="containsText" dxfId="402" priority="273" operator="containsText" text="Частично">
      <formula>NOT(ISERROR(SEARCH("Частично",G172)))</formula>
    </cfRule>
    <cfRule type="beginsWith" dxfId="401" priority="274" operator="beginsWith" text="Выполняется">
      <formula>LEFT(G172,LEN("Выполняется"))="Выполняется"</formula>
    </cfRule>
    <cfRule type="containsText" dxfId="400" priority="275" operator="containsText" text="Верно">
      <formula>NOT(ISERROR(SEARCH("Верно",G172)))</formula>
    </cfRule>
    <cfRule type="containsText" dxfId="399" priority="276" operator="containsText" text="Не выполняется">
      <formula>NOT(ISERROR(SEARCH("Не выполняется",G172)))</formula>
    </cfRule>
  </conditionalFormatting>
  <conditionalFormatting sqref="G175:H175">
    <cfRule type="containsText" dxfId="398" priority="1789" operator="containsText" text="Неверно">
      <formula>NOT(ISERROR(SEARCH("Неверно",G175)))</formula>
    </cfRule>
    <cfRule type="containsText" dxfId="397" priority="1790" operator="containsText" text="Частично">
      <formula>NOT(ISERROR(SEARCH("Частично",G175)))</formula>
    </cfRule>
    <cfRule type="beginsWith" dxfId="396" priority="1791" operator="beginsWith" text="Выполняется">
      <formula>LEFT(G175,LEN("Выполняется"))="Выполняется"</formula>
    </cfRule>
    <cfRule type="containsText" dxfId="395" priority="1792" operator="containsText" text="Верно">
      <formula>NOT(ISERROR(SEARCH("Верно",G175)))</formula>
    </cfRule>
    <cfRule type="containsText" dxfId="394" priority="1793" operator="containsText" text="Не выполняется">
      <formula>NOT(ISERROR(SEARCH("Не выполняется",G175)))</formula>
    </cfRule>
  </conditionalFormatting>
  <conditionalFormatting sqref="G179:H179">
    <cfRule type="containsText" dxfId="393" priority="1794" operator="containsText" text="Неверно">
      <formula>NOT(ISERROR(SEARCH("Неверно",G179)))</formula>
    </cfRule>
    <cfRule type="containsText" dxfId="392" priority="1795" operator="containsText" text="Частично">
      <formula>NOT(ISERROR(SEARCH("Частично",G179)))</formula>
    </cfRule>
    <cfRule type="beginsWith" dxfId="391" priority="1796" operator="beginsWith" text="Выполняется">
      <formula>LEFT(G179,LEN("Выполняется"))="Выполняется"</formula>
    </cfRule>
    <cfRule type="containsText" dxfId="390" priority="1797" operator="containsText" text="Верно">
      <formula>NOT(ISERROR(SEARCH("Верно",G179)))</formula>
    </cfRule>
    <cfRule type="containsText" dxfId="389" priority="1798" operator="containsText" text="Не выполняется">
      <formula>NOT(ISERROR(SEARCH("Не выполняется",G179)))</formula>
    </cfRule>
  </conditionalFormatting>
  <conditionalFormatting sqref="G183:H183">
    <cfRule type="containsText" dxfId="388" priority="1799" operator="containsText" text="Неверно">
      <formula>NOT(ISERROR(SEARCH("Неверно",G183)))</formula>
    </cfRule>
    <cfRule type="containsText" dxfId="387" priority="1800" operator="containsText" text="Частично">
      <formula>NOT(ISERROR(SEARCH("Частично",G183)))</formula>
    </cfRule>
    <cfRule type="beginsWith" dxfId="386" priority="1801" operator="beginsWith" text="Выполняется">
      <formula>LEFT(G183,LEN("Выполняется"))="Выполняется"</formula>
    </cfRule>
    <cfRule type="containsText" dxfId="385" priority="1802" operator="containsText" text="Верно">
      <formula>NOT(ISERROR(SEARCH("Верно",G183)))</formula>
    </cfRule>
    <cfRule type="containsText" dxfId="384" priority="1803" operator="containsText" text="Не выполняется">
      <formula>NOT(ISERROR(SEARCH("Не выполняется",G183)))</formula>
    </cfRule>
  </conditionalFormatting>
  <conditionalFormatting sqref="G186:H187">
    <cfRule type="containsText" dxfId="383" priority="342" operator="containsText" text="Неверно">
      <formula>NOT(ISERROR(SEARCH("Неверно",G186)))</formula>
    </cfRule>
    <cfRule type="containsText" dxfId="382" priority="343" operator="containsText" text="Частично">
      <formula>NOT(ISERROR(SEARCH("Частично",G186)))</formula>
    </cfRule>
    <cfRule type="beginsWith" dxfId="381" priority="344" operator="beginsWith" text="Выполняется">
      <formula>LEFT(G186,LEN("Выполняется"))="Выполняется"</formula>
    </cfRule>
    <cfRule type="containsText" dxfId="380" priority="345" operator="containsText" text="Верно">
      <formula>NOT(ISERROR(SEARCH("Верно",G186)))</formula>
    </cfRule>
    <cfRule type="containsText" dxfId="379" priority="346" operator="containsText" text="Не выполняется">
      <formula>NOT(ISERROR(SEARCH("Не выполняется",G186)))</formula>
    </cfRule>
  </conditionalFormatting>
  <conditionalFormatting sqref="G190:H191">
    <cfRule type="containsText" dxfId="378" priority="1013" operator="containsText" text="Не выполняется">
      <formula>NOT(ISERROR(SEARCH("Не выполняется",G190)))</formula>
    </cfRule>
  </conditionalFormatting>
  <conditionalFormatting sqref="G190:H194">
    <cfRule type="containsText" dxfId="377" priority="267" operator="containsText" text="Неверно">
      <formula>NOT(ISERROR(SEARCH("Неверно",G190)))</formula>
    </cfRule>
    <cfRule type="containsText" dxfId="376" priority="268" operator="containsText" text="Частично">
      <formula>NOT(ISERROR(SEARCH("Частично",G190)))</formula>
    </cfRule>
    <cfRule type="beginsWith" dxfId="375" priority="269" operator="beginsWith" text="Выполняется">
      <formula>LEFT(G190,LEN("Выполняется"))="Выполняется"</formula>
    </cfRule>
    <cfRule type="containsText" dxfId="374" priority="270" operator="containsText" text="Верно">
      <formula>NOT(ISERROR(SEARCH("Верно",G190)))</formula>
    </cfRule>
  </conditionalFormatting>
  <conditionalFormatting sqref="G193:H194">
    <cfRule type="containsText" dxfId="373" priority="1828" operator="containsText" text="Не выполняется">
      <formula>NOT(ISERROR(SEARCH("Не выполняется",G193)))</formula>
    </cfRule>
  </conditionalFormatting>
  <conditionalFormatting sqref="G196:H196">
    <cfRule type="containsText" dxfId="372" priority="1823" operator="containsText" text="Не выполняется">
      <formula>NOT(ISERROR(SEARCH("Не выполняется",G196)))</formula>
    </cfRule>
  </conditionalFormatting>
  <conditionalFormatting sqref="G196:H198">
    <cfRule type="containsText" dxfId="371" priority="262" operator="containsText" text="Неверно">
      <formula>NOT(ISERROR(SEARCH("Неверно",G196)))</formula>
    </cfRule>
    <cfRule type="containsText" dxfId="370" priority="263" operator="containsText" text="Частично">
      <formula>NOT(ISERROR(SEARCH("Частично",G196)))</formula>
    </cfRule>
    <cfRule type="beginsWith" dxfId="369" priority="264" operator="beginsWith" text="Выполняется">
      <formula>LEFT(G196,LEN("Выполняется"))="Выполняется"</formula>
    </cfRule>
    <cfRule type="containsText" dxfId="368" priority="265" operator="containsText" text="Верно">
      <formula>NOT(ISERROR(SEARCH("Верно",G196)))</formula>
    </cfRule>
  </conditionalFormatting>
  <conditionalFormatting sqref="G198:H198">
    <cfRule type="containsText" dxfId="367" priority="967" operator="containsText" text="Не выполняется">
      <formula>NOT(ISERROR(SEARCH("Не выполняется",G198)))</formula>
    </cfRule>
  </conditionalFormatting>
  <conditionalFormatting sqref="G200:H200">
    <cfRule type="containsText" dxfId="366" priority="923" operator="containsText" text="Неверно">
      <formula>NOT(ISERROR(SEARCH("Неверно",G200)))</formula>
    </cfRule>
    <cfRule type="containsText" dxfId="365" priority="924" operator="containsText" text="Частично">
      <formula>NOT(ISERROR(SEARCH("Частично",G200)))</formula>
    </cfRule>
    <cfRule type="beginsWith" dxfId="364" priority="925" operator="beginsWith" text="Выполняется">
      <formula>LEFT(G200,LEN("Выполняется"))="Выполняется"</formula>
    </cfRule>
    <cfRule type="containsText" dxfId="363" priority="926" operator="containsText" text="Верно">
      <formula>NOT(ISERROR(SEARCH("Верно",G200)))</formula>
    </cfRule>
    <cfRule type="containsText" dxfId="362" priority="927" operator="containsText" text="Не выполняется">
      <formula>NOT(ISERROR(SEARCH("Не выполняется",G200)))</formula>
    </cfRule>
  </conditionalFormatting>
  <conditionalFormatting sqref="G203:H203">
    <cfRule type="containsText" dxfId="361" priority="918" operator="containsText" text="Неверно">
      <formula>NOT(ISERROR(SEARCH("Неверно",G203)))</formula>
    </cfRule>
    <cfRule type="containsText" dxfId="360" priority="919" operator="containsText" text="Частично">
      <formula>NOT(ISERROR(SEARCH("Частично",G203)))</formula>
    </cfRule>
    <cfRule type="beginsWith" dxfId="359" priority="920" operator="beginsWith" text="Выполняется">
      <formula>LEFT(G203,LEN("Выполняется"))="Выполняется"</formula>
    </cfRule>
    <cfRule type="containsText" dxfId="358" priority="921" operator="containsText" text="Верно">
      <formula>NOT(ISERROR(SEARCH("Верно",G203)))</formula>
    </cfRule>
    <cfRule type="containsText" dxfId="357" priority="922" operator="containsText" text="Не выполняется">
      <formula>NOT(ISERROR(SEARCH("Не выполняется",G203)))</formula>
    </cfRule>
  </conditionalFormatting>
  <conditionalFormatting sqref="G207:H207">
    <cfRule type="containsText" dxfId="356" priority="913" operator="containsText" text="Неверно">
      <formula>NOT(ISERROR(SEARCH("Неверно",G207)))</formula>
    </cfRule>
    <cfRule type="containsText" dxfId="355" priority="914" operator="containsText" text="Частично">
      <formula>NOT(ISERROR(SEARCH("Частично",G207)))</formula>
    </cfRule>
    <cfRule type="beginsWith" dxfId="354" priority="915" operator="beginsWith" text="Выполняется">
      <formula>LEFT(G207,LEN("Выполняется"))="Выполняется"</formula>
    </cfRule>
    <cfRule type="containsText" dxfId="353" priority="916" operator="containsText" text="Верно">
      <formula>NOT(ISERROR(SEARCH("Верно",G207)))</formula>
    </cfRule>
    <cfRule type="containsText" dxfId="352" priority="917" operator="containsText" text="Не выполняется">
      <formula>NOT(ISERROR(SEARCH("Не выполняется",G207)))</formula>
    </cfRule>
  </conditionalFormatting>
  <conditionalFormatting sqref="G209:H212">
    <cfRule type="containsText" dxfId="351" priority="337" operator="containsText" text="Неверно">
      <formula>NOT(ISERROR(SEARCH("Неверно",G209)))</formula>
    </cfRule>
    <cfRule type="containsText" dxfId="350" priority="338" operator="containsText" text="Частично">
      <formula>NOT(ISERROR(SEARCH("Частично",G209)))</formula>
    </cfRule>
    <cfRule type="beginsWith" dxfId="349" priority="339" operator="beginsWith" text="Выполняется">
      <formula>LEFT(G209,LEN("Выполняется"))="Выполняется"</formula>
    </cfRule>
    <cfRule type="containsText" dxfId="348" priority="340" operator="containsText" text="Верно">
      <formula>NOT(ISERROR(SEARCH("Верно",G209)))</formula>
    </cfRule>
  </conditionalFormatting>
  <conditionalFormatting sqref="G210:H212">
    <cfRule type="containsText" dxfId="347" priority="1813" operator="containsText" text="Не выполняется">
      <formula>NOT(ISERROR(SEARCH("Не выполняется",G210)))</formula>
    </cfRule>
  </conditionalFormatting>
  <conditionalFormatting sqref="G214:H215">
    <cfRule type="containsText" dxfId="346" priority="257" operator="containsText" text="Неверно">
      <formula>NOT(ISERROR(SEARCH("Неверно",G214)))</formula>
    </cfRule>
    <cfRule type="containsText" dxfId="345" priority="258" operator="containsText" text="Частично">
      <formula>NOT(ISERROR(SEARCH("Частично",G214)))</formula>
    </cfRule>
    <cfRule type="beginsWith" dxfId="344" priority="259" operator="beginsWith" text="Выполняется">
      <formula>LEFT(G214,LEN("Выполняется"))="Выполняется"</formula>
    </cfRule>
    <cfRule type="containsText" dxfId="343" priority="260" operator="containsText" text="Верно">
      <formula>NOT(ISERROR(SEARCH("Верно",G214)))</formula>
    </cfRule>
    <cfRule type="containsText" dxfId="342" priority="261" operator="containsText" text="Не выполняется">
      <formula>NOT(ISERROR(SEARCH("Не выполняется",G214)))</formula>
    </cfRule>
  </conditionalFormatting>
  <conditionalFormatting sqref="G217:H217">
    <cfRule type="containsText" dxfId="341" priority="1949" operator="containsText" text="Неверно">
      <formula>NOT(ISERROR(SEARCH("Неверно",G217)))</formula>
    </cfRule>
    <cfRule type="containsText" dxfId="340" priority="1950" operator="containsText" text="Частично">
      <formula>NOT(ISERROR(SEARCH("Частично",G217)))</formula>
    </cfRule>
    <cfRule type="beginsWith" dxfId="339" priority="1951" operator="beginsWith" text="Выполняется">
      <formula>LEFT(G217,LEN("Выполняется"))="Выполняется"</formula>
    </cfRule>
    <cfRule type="containsText" dxfId="338" priority="1952" operator="containsText" text="Верно">
      <formula>NOT(ISERROR(SEARCH("Верно",G217)))</formula>
    </cfRule>
    <cfRule type="containsText" dxfId="337" priority="1953" operator="containsText" text="Не выполняется">
      <formula>NOT(ISERROR(SEARCH("Не выполняется",G217)))</formula>
    </cfRule>
  </conditionalFormatting>
  <conditionalFormatting sqref="G219:H219">
    <cfRule type="containsText" dxfId="336" priority="1874" operator="containsText" text="Неверно">
      <formula>NOT(ISERROR(SEARCH("Неверно",G219)))</formula>
    </cfRule>
    <cfRule type="containsText" dxfId="335" priority="1875" operator="containsText" text="Частично">
      <formula>NOT(ISERROR(SEARCH("Частично",G219)))</formula>
    </cfRule>
    <cfRule type="beginsWith" dxfId="334" priority="1876" operator="beginsWith" text="Выполняется">
      <formula>LEFT(G219,LEN("Выполняется"))="Выполняется"</formula>
    </cfRule>
    <cfRule type="containsText" dxfId="333" priority="1877" operator="containsText" text="Верно">
      <formula>NOT(ISERROR(SEARCH("Верно",G219)))</formula>
    </cfRule>
    <cfRule type="containsText" dxfId="332" priority="1878" operator="containsText" text="Не выполняется">
      <formula>NOT(ISERROR(SEARCH("Не выполняется",G219)))</formula>
    </cfRule>
  </conditionalFormatting>
  <conditionalFormatting sqref="G222:H222">
    <cfRule type="containsText" dxfId="331" priority="1944" operator="containsText" text="Неверно">
      <formula>NOT(ISERROR(SEARCH("Неверно",G222)))</formula>
    </cfRule>
    <cfRule type="containsText" dxfId="330" priority="1945" operator="containsText" text="Частично">
      <formula>NOT(ISERROR(SEARCH("Частично",G222)))</formula>
    </cfRule>
    <cfRule type="beginsWith" dxfId="329" priority="1946" operator="beginsWith" text="Выполняется">
      <formula>LEFT(G222,LEN("Выполняется"))="Выполняется"</formula>
    </cfRule>
    <cfRule type="containsText" dxfId="328" priority="1947" operator="containsText" text="Верно">
      <formula>NOT(ISERROR(SEARCH("Верно",G222)))</formula>
    </cfRule>
    <cfRule type="containsText" dxfId="327" priority="1948" operator="containsText" text="Не выполняется">
      <formula>NOT(ISERROR(SEARCH("Не выполняется",G222)))</formula>
    </cfRule>
  </conditionalFormatting>
  <conditionalFormatting sqref="G233:H234">
    <cfRule type="containsText" dxfId="326" priority="327" operator="containsText" text="Неверно">
      <formula>NOT(ISERROR(SEARCH("Неверно",G233)))</formula>
    </cfRule>
    <cfRule type="containsText" dxfId="325" priority="328" operator="containsText" text="Частично">
      <formula>NOT(ISERROR(SEARCH("Частично",G233)))</formula>
    </cfRule>
    <cfRule type="beginsWith" dxfId="324" priority="329" operator="beginsWith" text="Выполняется">
      <formula>LEFT(G233,LEN("Выполняется"))="Выполняется"</formula>
    </cfRule>
    <cfRule type="containsText" dxfId="323" priority="330" operator="containsText" text="Верно">
      <formula>NOT(ISERROR(SEARCH("Верно",G233)))</formula>
    </cfRule>
    <cfRule type="containsText" dxfId="322" priority="331" operator="containsText" text="Не выполняется">
      <formula>NOT(ISERROR(SEARCH("Не выполняется",G233)))</formula>
    </cfRule>
  </conditionalFormatting>
  <conditionalFormatting sqref="G237:H237">
    <cfRule type="containsText" dxfId="321" priority="888" operator="containsText" text="Неверно">
      <formula>NOT(ISERROR(SEARCH("Неверно",G237)))</formula>
    </cfRule>
    <cfRule type="containsText" dxfId="320" priority="889" operator="containsText" text="Частично">
      <formula>NOT(ISERROR(SEARCH("Частично",G237)))</formula>
    </cfRule>
    <cfRule type="beginsWith" dxfId="319" priority="890" operator="beginsWith" text="Выполняется">
      <formula>LEFT(G237,LEN("Выполняется"))="Выполняется"</formula>
    </cfRule>
    <cfRule type="containsText" dxfId="318" priority="891" operator="containsText" text="Верно">
      <formula>NOT(ISERROR(SEARCH("Верно",G237)))</formula>
    </cfRule>
    <cfRule type="containsText" dxfId="317" priority="892" operator="containsText" text="Не выполняется">
      <formula>NOT(ISERROR(SEARCH("Не выполняется",G237)))</formula>
    </cfRule>
  </conditionalFormatting>
  <conditionalFormatting sqref="G241:H241">
    <cfRule type="containsText" dxfId="316" priority="893" operator="containsText" text="Неверно">
      <formula>NOT(ISERROR(SEARCH("Неверно",G241)))</formula>
    </cfRule>
    <cfRule type="containsText" dxfId="315" priority="894" operator="containsText" text="Частично">
      <formula>NOT(ISERROR(SEARCH("Частично",G241)))</formula>
    </cfRule>
    <cfRule type="beginsWith" dxfId="314" priority="895" operator="beginsWith" text="Выполняется">
      <formula>LEFT(G241,LEN("Выполняется"))="Выполняется"</formula>
    </cfRule>
    <cfRule type="containsText" dxfId="313" priority="896" operator="containsText" text="Верно">
      <formula>NOT(ISERROR(SEARCH("Верно",G241)))</formula>
    </cfRule>
    <cfRule type="containsText" dxfId="312" priority="897" operator="containsText" text="Не выполняется">
      <formula>NOT(ISERROR(SEARCH("Не выполняется",G241)))</formula>
    </cfRule>
  </conditionalFormatting>
  <conditionalFormatting sqref="G245:H245">
    <cfRule type="containsText" dxfId="311" priority="898" operator="containsText" text="Неверно">
      <formula>NOT(ISERROR(SEARCH("Неверно",G245)))</formula>
    </cfRule>
    <cfRule type="containsText" dxfId="310" priority="899" operator="containsText" text="Частично">
      <formula>NOT(ISERROR(SEARCH("Частично",G245)))</formula>
    </cfRule>
    <cfRule type="beginsWith" dxfId="309" priority="900" operator="beginsWith" text="Выполняется">
      <formula>LEFT(G245,LEN("Выполняется"))="Выполняется"</formula>
    </cfRule>
    <cfRule type="containsText" dxfId="308" priority="901" operator="containsText" text="Верно">
      <formula>NOT(ISERROR(SEARCH("Верно",G245)))</formula>
    </cfRule>
    <cfRule type="containsText" dxfId="307" priority="902" operator="containsText" text="Не выполняется">
      <formula>NOT(ISERROR(SEARCH("Не выполняется",G245)))</formula>
    </cfRule>
  </conditionalFormatting>
  <conditionalFormatting sqref="G254:H254">
    <cfRule type="containsText" dxfId="306" priority="1939" operator="containsText" text="Неверно">
      <formula>NOT(ISERROR(SEARCH("Неверно",G254)))</formula>
    </cfRule>
    <cfRule type="containsText" dxfId="305" priority="1940" operator="containsText" text="Частично">
      <formula>NOT(ISERROR(SEARCH("Частично",G254)))</formula>
    </cfRule>
    <cfRule type="beginsWith" dxfId="304" priority="1941" operator="beginsWith" text="Выполняется">
      <formula>LEFT(G254,LEN("Выполняется"))="Выполняется"</formula>
    </cfRule>
    <cfRule type="containsText" dxfId="303" priority="1942" operator="containsText" text="Верно">
      <formula>NOT(ISERROR(SEARCH("Верно",G254)))</formula>
    </cfRule>
    <cfRule type="containsText" dxfId="302" priority="1943" operator="containsText" text="Не выполняется">
      <formula>NOT(ISERROR(SEARCH("Не выполняется",G254)))</formula>
    </cfRule>
  </conditionalFormatting>
  <conditionalFormatting sqref="G256:H259">
    <cfRule type="containsText" dxfId="301" priority="322" operator="containsText" text="Неверно">
      <formula>NOT(ISERROR(SEARCH("Неверно",G256)))</formula>
    </cfRule>
    <cfRule type="containsText" dxfId="300" priority="323" operator="containsText" text="Частично">
      <formula>NOT(ISERROR(SEARCH("Частично",G256)))</formula>
    </cfRule>
    <cfRule type="beginsWith" dxfId="299" priority="324" operator="beginsWith" text="Выполняется">
      <formula>LEFT(G256,LEN("Выполняется"))="Выполняется"</formula>
    </cfRule>
    <cfRule type="containsText" dxfId="298" priority="325" operator="containsText" text="Верно">
      <formula>NOT(ISERROR(SEARCH("Верно",G256)))</formula>
    </cfRule>
    <cfRule type="containsText" dxfId="297" priority="326" operator="containsText" text="Не выполняется">
      <formula>NOT(ISERROR(SEARCH("Не выполняется",G256)))</formula>
    </cfRule>
  </conditionalFormatting>
  <conditionalFormatting sqref="G261:H261">
    <cfRule type="containsText" dxfId="296" priority="1904" operator="containsText" text="Неверно">
      <formula>NOT(ISERROR(SEARCH("Неверно",G261)))</formula>
    </cfRule>
    <cfRule type="containsText" dxfId="295" priority="1905" operator="containsText" text="Частично">
      <formula>NOT(ISERROR(SEARCH("Частично",G261)))</formula>
    </cfRule>
    <cfRule type="beginsWith" dxfId="294" priority="1906" operator="beginsWith" text="Выполняется">
      <formula>LEFT(G261,LEN("Выполняется"))="Выполняется"</formula>
    </cfRule>
    <cfRule type="containsText" dxfId="293" priority="1907" operator="containsText" text="Верно">
      <formula>NOT(ISERROR(SEARCH("Верно",G261)))</formula>
    </cfRule>
    <cfRule type="containsText" dxfId="292" priority="1908" operator="containsText" text="Не выполняется">
      <formula>NOT(ISERROR(SEARCH("Не выполняется",G261)))</formula>
    </cfRule>
  </conditionalFormatting>
  <conditionalFormatting sqref="G263:H263 G264">
    <cfRule type="containsText" dxfId="291" priority="1934" operator="containsText" text="Неверно">
      <formula>NOT(ISERROR(SEARCH("Неверно",G263)))</formula>
    </cfRule>
    <cfRule type="containsText" dxfId="290" priority="1935" operator="containsText" text="Частично">
      <formula>NOT(ISERROR(SEARCH("Частично",G263)))</formula>
    </cfRule>
    <cfRule type="beginsWith" dxfId="289" priority="1936" operator="beginsWith" text="Выполняется">
      <formula>LEFT(G263,LEN("Выполняется"))="Выполняется"</formula>
    </cfRule>
    <cfRule type="containsText" dxfId="288" priority="1937" operator="containsText" text="Верно">
      <formula>NOT(ISERROR(SEARCH("Верно",G263)))</formula>
    </cfRule>
    <cfRule type="containsText" dxfId="287" priority="1938" operator="containsText" text="Не выполняется">
      <formula>NOT(ISERROR(SEARCH("Не выполняется",G263)))</formula>
    </cfRule>
  </conditionalFormatting>
  <conditionalFormatting sqref="G266:H269">
    <cfRule type="containsText" dxfId="286" priority="312" operator="containsText" text="Неверно">
      <formula>NOT(ISERROR(SEARCH("Неверно",G266)))</formula>
    </cfRule>
    <cfRule type="containsText" dxfId="285" priority="313" operator="containsText" text="Частично">
      <formula>NOT(ISERROR(SEARCH("Частично",G266)))</formula>
    </cfRule>
    <cfRule type="beginsWith" dxfId="284" priority="314" operator="beginsWith" text="Выполняется">
      <formula>LEFT(G266,LEN("Выполняется"))="Выполняется"</formula>
    </cfRule>
    <cfRule type="containsText" dxfId="283" priority="315" operator="containsText" text="Верно">
      <formula>NOT(ISERROR(SEARCH("Верно",G266)))</formula>
    </cfRule>
    <cfRule type="containsText" dxfId="282" priority="316" operator="containsText" text="Не выполняется">
      <formula>NOT(ISERROR(SEARCH("Не выполняется",G266)))</formula>
    </cfRule>
  </conditionalFormatting>
  <conditionalFormatting sqref="G271:H271">
    <cfRule type="containsText" dxfId="281" priority="1869" operator="containsText" text="Неверно">
      <formula>NOT(ISERROR(SEARCH("Неверно",G271)))</formula>
    </cfRule>
    <cfRule type="containsText" dxfId="280" priority="1870" operator="containsText" text="Частично">
      <formula>NOT(ISERROR(SEARCH("Частично",G271)))</formula>
    </cfRule>
    <cfRule type="beginsWith" dxfId="279" priority="1871" operator="beginsWith" text="Выполняется">
      <formula>LEFT(G271,LEN("Выполняется"))="Выполняется"</formula>
    </cfRule>
    <cfRule type="containsText" dxfId="278" priority="1872" operator="containsText" text="Верно">
      <formula>NOT(ISERROR(SEARCH("Верно",G271)))</formula>
    </cfRule>
    <cfRule type="containsText" dxfId="277" priority="1873" operator="containsText" text="Не выполняется">
      <formula>NOT(ISERROR(SEARCH("Не выполняется",G271)))</formula>
    </cfRule>
  </conditionalFormatting>
  <conditionalFormatting sqref="G274:H274">
    <cfRule type="containsText" dxfId="276" priority="1859" operator="containsText" text="Неверно">
      <formula>NOT(ISERROR(SEARCH("Неверно",G274)))</formula>
    </cfRule>
    <cfRule type="containsText" dxfId="275" priority="1860" operator="containsText" text="Частично">
      <formula>NOT(ISERROR(SEARCH("Частично",G274)))</formula>
    </cfRule>
    <cfRule type="beginsWith" dxfId="274" priority="1861" operator="beginsWith" text="Выполняется">
      <formula>LEFT(G274,LEN("Выполняется"))="Выполняется"</formula>
    </cfRule>
    <cfRule type="containsText" dxfId="273" priority="1862" operator="containsText" text="Верно">
      <formula>NOT(ISERROR(SEARCH("Верно",G274)))</formula>
    </cfRule>
    <cfRule type="containsText" dxfId="272" priority="1863" operator="containsText" text="Не выполняется">
      <formula>NOT(ISERROR(SEARCH("Не выполняется",G274)))</formula>
    </cfRule>
  </conditionalFormatting>
  <conditionalFormatting sqref="G278:H278">
    <cfRule type="containsText" dxfId="271" priority="1864" operator="containsText" text="Неверно">
      <formula>NOT(ISERROR(SEARCH("Неверно",G278)))</formula>
    </cfRule>
    <cfRule type="containsText" dxfId="270" priority="1865" operator="containsText" text="Частично">
      <formula>NOT(ISERROR(SEARCH("Частично",G278)))</formula>
    </cfRule>
    <cfRule type="beginsWith" dxfId="269" priority="1866" operator="beginsWith" text="Выполняется">
      <formula>LEFT(G278,LEN("Выполняется"))="Выполняется"</formula>
    </cfRule>
    <cfRule type="containsText" dxfId="268" priority="1867" operator="containsText" text="Верно">
      <formula>NOT(ISERROR(SEARCH("Верно",G278)))</formula>
    </cfRule>
    <cfRule type="containsText" dxfId="267" priority="1868" operator="containsText" text="Не выполняется">
      <formula>NOT(ISERROR(SEARCH("Не выполняется",G278)))</formula>
    </cfRule>
  </conditionalFormatting>
  <conditionalFormatting sqref="G281:H282 F283:H283">
    <cfRule type="containsText" dxfId="266" priority="789" operator="containsText" text="Частично">
      <formula>NOT(ISERROR(SEARCH("Частично",F281)))</formula>
    </cfRule>
    <cfRule type="beginsWith" dxfId="265" priority="790" operator="beginsWith" text="Выполняется">
      <formula>LEFT(F281,LEN("Выполняется"))="Выполняется"</formula>
    </cfRule>
    <cfRule type="containsText" dxfId="264" priority="791" operator="containsText" text="Верно">
      <formula>NOT(ISERROR(SEARCH("Верно",F281)))</formula>
    </cfRule>
    <cfRule type="containsText" dxfId="263" priority="792" operator="containsText" text="Не выполняется">
      <formula>NOT(ISERROR(SEARCH("Не выполняется",F281)))</formula>
    </cfRule>
  </conditionalFormatting>
  <conditionalFormatting sqref="G285:H286">
    <cfRule type="containsText" dxfId="262" priority="242" operator="containsText" text="Неверно">
      <formula>NOT(ISERROR(SEARCH("Неверно",G285)))</formula>
    </cfRule>
    <cfRule type="containsText" dxfId="261" priority="243" operator="containsText" text="Частично">
      <formula>NOT(ISERROR(SEARCH("Частично",G285)))</formula>
    </cfRule>
    <cfRule type="beginsWith" dxfId="260" priority="244" operator="beginsWith" text="Выполняется">
      <formula>LEFT(G285,LEN("Выполняется"))="Выполняется"</formula>
    </cfRule>
    <cfRule type="containsText" dxfId="259" priority="245" operator="containsText" text="Верно">
      <formula>NOT(ISERROR(SEARCH("Верно",G285)))</formula>
    </cfRule>
    <cfRule type="containsText" dxfId="258" priority="246" operator="containsText" text="Не выполняется">
      <formula>NOT(ISERROR(SEARCH("Не выполняется",G285)))</formula>
    </cfRule>
  </conditionalFormatting>
  <conditionalFormatting sqref="G288:H288">
    <cfRule type="containsText" dxfId="257" priority="1964" operator="containsText" text="Неверно">
      <formula>NOT(ISERROR(SEARCH("Неверно",G288)))</formula>
    </cfRule>
    <cfRule type="containsText" dxfId="256" priority="1965" operator="containsText" text="Частично">
      <formula>NOT(ISERROR(SEARCH("Частично",G288)))</formula>
    </cfRule>
    <cfRule type="beginsWith" dxfId="255" priority="1966" operator="beginsWith" text="Выполняется">
      <formula>LEFT(G288,LEN("Выполняется"))="Выполняется"</formula>
    </cfRule>
    <cfRule type="containsText" dxfId="254" priority="1967" operator="containsText" text="Верно">
      <formula>NOT(ISERROR(SEARCH("Верно",G288)))</formula>
    </cfRule>
    <cfRule type="containsText" dxfId="253" priority="1968" operator="containsText" text="Не выполняется">
      <formula>NOT(ISERROR(SEARCH("Не выполняется",G288)))</formula>
    </cfRule>
  </conditionalFormatting>
  <conditionalFormatting sqref="G292:H292">
    <cfRule type="containsText" dxfId="252" priority="1969" operator="containsText" text="Неверно">
      <formula>NOT(ISERROR(SEARCH("Неверно",G292)))</formula>
    </cfRule>
    <cfRule type="containsText" dxfId="251" priority="1970" operator="containsText" text="Частично">
      <formula>NOT(ISERROR(SEARCH("Частично",G292)))</formula>
    </cfRule>
    <cfRule type="beginsWith" dxfId="250" priority="1971" operator="beginsWith" text="Выполняется">
      <formula>LEFT(G292,LEN("Выполняется"))="Выполняется"</formula>
    </cfRule>
    <cfRule type="containsText" dxfId="249" priority="1972" operator="containsText" text="Верно">
      <formula>NOT(ISERROR(SEARCH("Верно",G292)))</formula>
    </cfRule>
    <cfRule type="containsText" dxfId="248" priority="1973" operator="containsText" text="Не выполняется">
      <formula>NOT(ISERROR(SEARCH("Не выполняется",G292)))</formula>
    </cfRule>
  </conditionalFormatting>
  <conditionalFormatting sqref="G294:H297">
    <cfRule type="containsText" dxfId="247" priority="237" operator="containsText" text="Неверно">
      <formula>NOT(ISERROR(SEARCH("Неверно",G294)))</formula>
    </cfRule>
    <cfRule type="containsText" dxfId="246" priority="238" operator="containsText" text="Частично">
      <formula>NOT(ISERROR(SEARCH("Частично",G294)))</formula>
    </cfRule>
    <cfRule type="beginsWith" dxfId="245" priority="239" operator="beginsWith" text="Выполняется">
      <formula>LEFT(G294,LEN("Выполняется"))="Выполняется"</formula>
    </cfRule>
    <cfRule type="containsText" dxfId="244" priority="240" operator="containsText" text="Верно">
      <formula>NOT(ISERROR(SEARCH("Верно",G294)))</formula>
    </cfRule>
    <cfRule type="containsText" dxfId="243" priority="241" operator="containsText" text="Не выполняется">
      <formula>NOT(ISERROR(SEARCH("Не выполняется",G294)))</formula>
    </cfRule>
  </conditionalFormatting>
  <conditionalFormatting sqref="G299:H299">
    <cfRule type="containsText" dxfId="242" priority="1989" operator="containsText" text="Неверно">
      <formula>NOT(ISERROR(SEARCH("Неверно",G299)))</formula>
    </cfRule>
    <cfRule type="containsText" dxfId="241" priority="1990" operator="containsText" text="Частично">
      <formula>NOT(ISERROR(SEARCH("Частично",G299)))</formula>
    </cfRule>
    <cfRule type="beginsWith" dxfId="240" priority="1991" operator="beginsWith" text="Выполняется">
      <formula>LEFT(G299,LEN("Выполняется"))="Выполняется"</formula>
    </cfRule>
    <cfRule type="containsText" dxfId="239" priority="1992" operator="containsText" text="Верно">
      <formula>NOT(ISERROR(SEARCH("Верно",G299)))</formula>
    </cfRule>
    <cfRule type="containsText" dxfId="238" priority="1993" operator="containsText" text="Не выполняется">
      <formula>NOT(ISERROR(SEARCH("Не выполняется",G299)))</formula>
    </cfRule>
  </conditionalFormatting>
  <conditionalFormatting sqref="G302:H302 F304:H304">
    <cfRule type="containsText" dxfId="237" priority="779" operator="containsText" text="Частично">
      <formula>NOT(ISERROR(SEARCH("Частично",F302)))</formula>
    </cfRule>
    <cfRule type="beginsWith" dxfId="236" priority="780" operator="beginsWith" text="Выполняется">
      <formula>LEFT(F302,LEN("Выполняется"))="Выполняется"</formula>
    </cfRule>
    <cfRule type="containsText" dxfId="235" priority="781" operator="containsText" text="Верно">
      <formula>NOT(ISERROR(SEARCH("Верно",F302)))</formula>
    </cfRule>
    <cfRule type="containsText" dxfId="234" priority="782" operator="containsText" text="Не выполняется">
      <formula>NOT(ISERROR(SEARCH("Не выполняется",F302)))</formula>
    </cfRule>
  </conditionalFormatting>
  <conditionalFormatting sqref="G306:H307">
    <cfRule type="containsText" dxfId="233" priority="307" operator="containsText" text="Неверно">
      <formula>NOT(ISERROR(SEARCH("Неверно",G306)))</formula>
    </cfRule>
    <cfRule type="containsText" dxfId="232" priority="308" operator="containsText" text="Частично">
      <formula>NOT(ISERROR(SEARCH("Частично",G306)))</formula>
    </cfRule>
    <cfRule type="beginsWith" dxfId="231" priority="309" operator="beginsWith" text="Выполняется">
      <formula>LEFT(G306,LEN("Выполняется"))="Выполняется"</formula>
    </cfRule>
    <cfRule type="containsText" dxfId="230" priority="310" operator="containsText" text="Верно">
      <formula>NOT(ISERROR(SEARCH("Верно",G306)))</formula>
    </cfRule>
    <cfRule type="containsText" dxfId="229" priority="311" operator="containsText" text="Не выполняется">
      <formula>NOT(ISERROR(SEARCH("Не выполняется",G306)))</formula>
    </cfRule>
  </conditionalFormatting>
  <conditionalFormatting sqref="G310:H310">
    <cfRule type="containsText" dxfId="228" priority="2029" operator="containsText" text="Неверно">
      <formula>NOT(ISERROR(SEARCH("Неверно",G310)))</formula>
    </cfRule>
    <cfRule type="containsText" dxfId="227" priority="2030" operator="containsText" text="Частично">
      <formula>NOT(ISERROR(SEARCH("Частично",G310)))</formula>
    </cfRule>
    <cfRule type="beginsWith" dxfId="226" priority="2031" operator="beginsWith" text="Выполняется">
      <formula>LEFT(G310,LEN("Выполняется"))="Выполняется"</formula>
    </cfRule>
    <cfRule type="containsText" dxfId="225" priority="2032" operator="containsText" text="Верно">
      <formula>NOT(ISERROR(SEARCH("Верно",G310)))</formula>
    </cfRule>
    <cfRule type="containsText" dxfId="224" priority="2033" operator="containsText" text="Не выполняется">
      <formula>NOT(ISERROR(SEARCH("Не выполняется",G310)))</formula>
    </cfRule>
  </conditionalFormatting>
  <conditionalFormatting sqref="G313:H313">
    <cfRule type="containsText" dxfId="223" priority="2024" operator="containsText" text="Неверно">
      <formula>NOT(ISERROR(SEARCH("Неверно",G313)))</formula>
    </cfRule>
    <cfRule type="containsText" dxfId="222" priority="2025" operator="containsText" text="Частично">
      <formula>NOT(ISERROR(SEARCH("Частично",G313)))</formula>
    </cfRule>
    <cfRule type="beginsWith" dxfId="221" priority="2026" operator="beginsWith" text="Выполняется">
      <formula>LEFT(G313,LEN("Выполняется"))="Выполняется"</formula>
    </cfRule>
    <cfRule type="containsText" dxfId="220" priority="2027" operator="containsText" text="Верно">
      <formula>NOT(ISERROR(SEARCH("Верно",G313)))</formula>
    </cfRule>
    <cfRule type="containsText" dxfId="219" priority="2028" operator="containsText" text="Не выполняется">
      <formula>NOT(ISERROR(SEARCH("Не выполняется",G313)))</formula>
    </cfRule>
  </conditionalFormatting>
  <conditionalFormatting sqref="G316:H318">
    <cfRule type="containsText" dxfId="218" priority="232" operator="containsText" text="Неверно">
      <formula>NOT(ISERROR(SEARCH("Неверно",G316)))</formula>
    </cfRule>
    <cfRule type="containsText" dxfId="217" priority="233" operator="containsText" text="Частично">
      <formula>NOT(ISERROR(SEARCH("Частично",G316)))</formula>
    </cfRule>
    <cfRule type="beginsWith" dxfId="216" priority="234" operator="beginsWith" text="Выполняется">
      <formula>LEFT(G316,LEN("Выполняется"))="Выполняется"</formula>
    </cfRule>
    <cfRule type="containsText" dxfId="215" priority="235" operator="containsText" text="Верно">
      <formula>NOT(ISERROR(SEARCH("Верно",G316)))</formula>
    </cfRule>
    <cfRule type="containsText" dxfId="214" priority="236" operator="containsText" text="Не выполняется">
      <formula>NOT(ISERROR(SEARCH("Не выполняется",G316)))</formula>
    </cfRule>
  </conditionalFormatting>
  <conditionalFormatting sqref="G320:H320">
    <cfRule type="containsText" dxfId="213" priority="2019" operator="containsText" text="Неверно">
      <formula>NOT(ISERROR(SEARCH("Неверно",G320)))</formula>
    </cfRule>
    <cfRule type="containsText" dxfId="212" priority="2020" operator="containsText" text="Частично">
      <formula>NOT(ISERROR(SEARCH("Частично",G320)))</formula>
    </cfRule>
    <cfRule type="beginsWith" dxfId="211" priority="2021" operator="beginsWith" text="Выполняется">
      <formula>LEFT(G320,LEN("Выполняется"))="Выполняется"</formula>
    </cfRule>
    <cfRule type="containsText" dxfId="210" priority="2022" operator="containsText" text="Верно">
      <formula>NOT(ISERROR(SEARCH("Верно",G320)))</formula>
    </cfRule>
    <cfRule type="containsText" dxfId="209" priority="2023" operator="containsText" text="Не выполняется">
      <formula>NOT(ISERROR(SEARCH("Не выполняется",G320)))</formula>
    </cfRule>
  </conditionalFormatting>
  <conditionalFormatting sqref="G323:H323">
    <cfRule type="containsText" dxfId="208" priority="2014" operator="containsText" text="Неверно">
      <formula>NOT(ISERROR(SEARCH("Неверно",G323)))</formula>
    </cfRule>
    <cfRule type="containsText" dxfId="207" priority="2015" operator="containsText" text="Частично">
      <formula>NOT(ISERROR(SEARCH("Частично",G323)))</formula>
    </cfRule>
    <cfRule type="beginsWith" dxfId="206" priority="2016" operator="beginsWith" text="Выполняется">
      <formula>LEFT(G323,LEN("Выполняется"))="Выполняется"</formula>
    </cfRule>
    <cfRule type="containsText" dxfId="205" priority="2017" operator="containsText" text="Верно">
      <formula>NOT(ISERROR(SEARCH("Верно",G323)))</formula>
    </cfRule>
    <cfRule type="containsText" dxfId="204" priority="2018" operator="containsText" text="Не выполняется">
      <formula>NOT(ISERROR(SEARCH("Не выполняется",G323)))</formula>
    </cfRule>
  </conditionalFormatting>
  <conditionalFormatting sqref="G327:H333">
    <cfRule type="containsText" dxfId="203" priority="222" operator="containsText" text="Неверно">
      <formula>NOT(ISERROR(SEARCH("Неверно",G327)))</formula>
    </cfRule>
    <cfRule type="containsText" dxfId="202" priority="223" operator="containsText" text="Частично">
      <formula>NOT(ISERROR(SEARCH("Частично",G327)))</formula>
    </cfRule>
    <cfRule type="beginsWith" dxfId="201" priority="224" operator="beginsWith" text="Выполняется">
      <formula>LEFT(G327,LEN("Выполняется"))="Выполняется"</formula>
    </cfRule>
    <cfRule type="containsText" dxfId="200" priority="225" operator="containsText" text="Верно">
      <formula>NOT(ISERROR(SEARCH("Верно",G327)))</formula>
    </cfRule>
    <cfRule type="containsText" dxfId="199" priority="226" operator="containsText" text="Не выполняется">
      <formula>NOT(ISERROR(SEARCH("Не выполняется",G327)))</formula>
    </cfRule>
  </conditionalFormatting>
  <conditionalFormatting sqref="G335:H336">
    <cfRule type="containsText" dxfId="198" priority="2049" operator="containsText" text="Неверно">
      <formula>NOT(ISERROR(SEARCH("Неверно",G335)))</formula>
    </cfRule>
    <cfRule type="containsText" dxfId="197" priority="2050" operator="containsText" text="Частично">
      <formula>NOT(ISERROR(SEARCH("Частично",G335)))</formula>
    </cfRule>
    <cfRule type="beginsWith" dxfId="196" priority="2051" operator="beginsWith" text="Выполняется">
      <formula>LEFT(G335,LEN("Выполняется"))="Выполняется"</formula>
    </cfRule>
    <cfRule type="containsText" dxfId="195" priority="2052" operator="containsText" text="Верно">
      <formula>NOT(ISERROR(SEARCH("Верно",G335)))</formula>
    </cfRule>
    <cfRule type="containsText" dxfId="194" priority="2053" operator="containsText" text="Не выполняется">
      <formula>NOT(ISERROR(SEARCH("Не выполняется",G335)))</formula>
    </cfRule>
  </conditionalFormatting>
  <conditionalFormatting sqref="G338:H340">
    <cfRule type="containsText" dxfId="193" priority="217" operator="containsText" text="Неверно">
      <formula>NOT(ISERROR(SEARCH("Неверно",G338)))</formula>
    </cfRule>
    <cfRule type="containsText" dxfId="192" priority="218" operator="containsText" text="Частично">
      <formula>NOT(ISERROR(SEARCH("Частично",G338)))</formula>
    </cfRule>
    <cfRule type="beginsWith" dxfId="191" priority="219" operator="beginsWith" text="Выполняется">
      <formula>LEFT(G338,LEN("Выполняется"))="Выполняется"</formula>
    </cfRule>
    <cfRule type="containsText" dxfId="190" priority="220" operator="containsText" text="Верно">
      <formula>NOT(ISERROR(SEARCH("Верно",G338)))</formula>
    </cfRule>
    <cfRule type="containsText" dxfId="189" priority="221" operator="containsText" text="Не выполняется">
      <formula>NOT(ISERROR(SEARCH("Не выполняется",G338)))</formula>
    </cfRule>
  </conditionalFormatting>
  <conditionalFormatting sqref="G342:H342">
    <cfRule type="containsText" dxfId="188" priority="2079" operator="containsText" text="Неверно">
      <formula>NOT(ISERROR(SEARCH("Неверно",G342)))</formula>
    </cfRule>
    <cfRule type="containsText" dxfId="187" priority="2080" operator="containsText" text="Частично">
      <formula>NOT(ISERROR(SEARCH("Частично",G342)))</formula>
    </cfRule>
    <cfRule type="beginsWith" dxfId="186" priority="2081" operator="beginsWith" text="Выполняется">
      <formula>LEFT(G342,LEN("Выполняется"))="Выполняется"</formula>
    </cfRule>
    <cfRule type="containsText" dxfId="185" priority="2082" operator="containsText" text="Верно">
      <formula>NOT(ISERROR(SEARCH("Верно",G342)))</formula>
    </cfRule>
    <cfRule type="containsText" dxfId="184" priority="2083" operator="containsText" text="Не выполняется">
      <formula>NOT(ISERROR(SEARCH("Не выполняется",G342)))</formula>
    </cfRule>
  </conditionalFormatting>
  <conditionalFormatting sqref="G344:H344">
    <cfRule type="containsText" dxfId="183" priority="2009" operator="containsText" text="Неверно">
      <formula>NOT(ISERROR(SEARCH("Неверно",G344)))</formula>
    </cfRule>
    <cfRule type="containsText" dxfId="182" priority="2010" operator="containsText" text="Частично">
      <formula>NOT(ISERROR(SEARCH("Частично",G344)))</formula>
    </cfRule>
    <cfRule type="beginsWith" dxfId="181" priority="2011" operator="beginsWith" text="Выполняется">
      <formula>LEFT(G344,LEN("Выполняется"))="Выполняется"</formula>
    </cfRule>
    <cfRule type="containsText" dxfId="180" priority="2012" operator="containsText" text="Верно">
      <formula>NOT(ISERROR(SEARCH("Верно",G344)))</formula>
    </cfRule>
    <cfRule type="containsText" dxfId="179" priority="2013" operator="containsText" text="Не выполняется">
      <formula>NOT(ISERROR(SEARCH("Не выполняется",G344)))</formula>
    </cfRule>
  </conditionalFormatting>
  <conditionalFormatting sqref="G347:H348">
    <cfRule type="containsText" dxfId="178" priority="768" operator="containsText" text="Неверно">
      <formula>NOT(ISERROR(SEARCH("Неверно",G347)))</formula>
    </cfRule>
    <cfRule type="containsText" dxfId="177" priority="769" operator="containsText" text="Частично">
      <formula>NOT(ISERROR(SEARCH("Частично",G347)))</formula>
    </cfRule>
    <cfRule type="beginsWith" dxfId="176" priority="770" operator="beginsWith" text="Выполняется">
      <formula>LEFT(G347,LEN("Выполняется"))="Выполняется"</formula>
    </cfRule>
    <cfRule type="containsText" dxfId="175" priority="771" operator="containsText" text="Верно">
      <formula>NOT(ISERROR(SEARCH("Верно",G347)))</formula>
    </cfRule>
    <cfRule type="containsText" dxfId="174" priority="772" operator="containsText" text="Не выполняется">
      <formula>NOT(ISERROR(SEARCH("Не выполняется",G347)))</formula>
    </cfRule>
  </conditionalFormatting>
  <conditionalFormatting sqref="G350:H352">
    <cfRule type="containsText" dxfId="173" priority="212" operator="containsText" text="Неверно">
      <formula>NOT(ISERROR(SEARCH("Неверно",G350)))</formula>
    </cfRule>
    <cfRule type="containsText" dxfId="172" priority="213" operator="containsText" text="Частично">
      <formula>NOT(ISERROR(SEARCH("Частично",G350)))</formula>
    </cfRule>
    <cfRule type="beginsWith" dxfId="171" priority="214" operator="beginsWith" text="Выполняется">
      <formula>LEFT(G350,LEN("Выполняется"))="Выполняется"</formula>
    </cfRule>
    <cfRule type="containsText" dxfId="170" priority="215" operator="containsText" text="Верно">
      <formula>NOT(ISERROR(SEARCH("Верно",G350)))</formula>
    </cfRule>
    <cfRule type="containsText" dxfId="169" priority="216" operator="containsText" text="Не выполняется">
      <formula>NOT(ISERROR(SEARCH("Не выполняется",G350)))</formula>
    </cfRule>
  </conditionalFormatting>
  <conditionalFormatting sqref="G354:H354">
    <cfRule type="containsText" dxfId="168" priority="2114" operator="containsText" text="Неверно">
      <formula>NOT(ISERROR(SEARCH("Неверно",G354)))</formula>
    </cfRule>
    <cfRule type="containsText" dxfId="167" priority="2115" operator="containsText" text="Частично">
      <formula>NOT(ISERROR(SEARCH("Частично",G354)))</formula>
    </cfRule>
    <cfRule type="beginsWith" dxfId="166" priority="2116" operator="beginsWith" text="Выполняется">
      <formula>LEFT(G354,LEN("Выполняется"))="Выполняется"</formula>
    </cfRule>
    <cfRule type="containsText" dxfId="165" priority="2117" operator="containsText" text="Верно">
      <formula>NOT(ISERROR(SEARCH("Верно",G354)))</formula>
    </cfRule>
    <cfRule type="containsText" dxfId="164" priority="2118" operator="containsText" text="Не выполняется">
      <formula>NOT(ISERROR(SEARCH("Не выполняется",G354)))</formula>
    </cfRule>
  </conditionalFormatting>
  <conditionalFormatting sqref="G357:H359">
    <cfRule type="containsText" dxfId="163" priority="207" operator="containsText" text="Неверно">
      <formula>NOT(ISERROR(SEARCH("Неверно",G357)))</formula>
    </cfRule>
    <cfRule type="containsText" dxfId="162" priority="208" operator="containsText" text="Частично">
      <formula>NOT(ISERROR(SEARCH("Частично",G357)))</formula>
    </cfRule>
    <cfRule type="beginsWith" dxfId="161" priority="209" operator="beginsWith" text="Выполняется">
      <formula>LEFT(G357,LEN("Выполняется"))="Выполняется"</formula>
    </cfRule>
    <cfRule type="containsText" dxfId="160" priority="210" operator="containsText" text="Верно">
      <formula>NOT(ISERROR(SEARCH("Верно",G357)))</formula>
    </cfRule>
    <cfRule type="containsText" dxfId="159" priority="211" operator="containsText" text="Не выполняется">
      <formula>NOT(ISERROR(SEARCH("Не выполняется",G357)))</formula>
    </cfRule>
  </conditionalFormatting>
  <conditionalFormatting sqref="G361:H362">
    <cfRule type="containsText" dxfId="158" priority="2109" operator="containsText" text="Неверно">
      <formula>NOT(ISERROR(SEARCH("Неверно",G361)))</formula>
    </cfRule>
    <cfRule type="containsText" dxfId="157" priority="2110" operator="containsText" text="Частично">
      <formula>NOT(ISERROR(SEARCH("Частично",G361)))</formula>
    </cfRule>
    <cfRule type="beginsWith" dxfId="156" priority="2111" operator="beginsWith" text="Выполняется">
      <formula>LEFT(G361,LEN("Выполняется"))="Выполняется"</formula>
    </cfRule>
    <cfRule type="containsText" dxfId="155" priority="2112" operator="containsText" text="Верно">
      <formula>NOT(ISERROR(SEARCH("Верно",G361)))</formula>
    </cfRule>
    <cfRule type="containsText" dxfId="154" priority="2113" operator="containsText" text="Не выполняется">
      <formula>NOT(ISERROR(SEARCH("Не выполняется",G361)))</formula>
    </cfRule>
  </conditionalFormatting>
  <conditionalFormatting sqref="G365:H366">
    <cfRule type="containsText" dxfId="153" priority="758" operator="containsText" text="Неверно">
      <formula>NOT(ISERROR(SEARCH("Неверно",G365)))</formula>
    </cfRule>
    <cfRule type="containsText" dxfId="152" priority="759" operator="containsText" text="Частично">
      <formula>NOT(ISERROR(SEARCH("Частично",G365)))</formula>
    </cfRule>
    <cfRule type="beginsWith" dxfId="151" priority="760" operator="beginsWith" text="Выполняется">
      <formula>LEFT(G365,LEN("Выполняется"))="Выполняется"</formula>
    </cfRule>
    <cfRule type="containsText" dxfId="150" priority="761" operator="containsText" text="Верно">
      <formula>NOT(ISERROR(SEARCH("Верно",G365)))</formula>
    </cfRule>
    <cfRule type="containsText" dxfId="149" priority="762" operator="containsText" text="Не выполняется">
      <formula>NOT(ISERROR(SEARCH("Не выполняется",G365)))</formula>
    </cfRule>
  </conditionalFormatting>
  <conditionalFormatting sqref="G368:H369">
    <cfRule type="containsText" dxfId="148" priority="202" operator="containsText" text="Неверно">
      <formula>NOT(ISERROR(SEARCH("Неверно",G368)))</formula>
    </cfRule>
    <cfRule type="containsText" dxfId="147" priority="203" operator="containsText" text="Частично">
      <formula>NOT(ISERROR(SEARCH("Частично",G368)))</formula>
    </cfRule>
    <cfRule type="beginsWith" dxfId="146" priority="204" operator="beginsWith" text="Выполняется">
      <formula>LEFT(G368,LEN("Выполняется"))="Выполняется"</formula>
    </cfRule>
    <cfRule type="containsText" dxfId="145" priority="205" operator="containsText" text="Верно">
      <formula>NOT(ISERROR(SEARCH("Верно",G368)))</formula>
    </cfRule>
    <cfRule type="containsText" dxfId="144" priority="206" operator="containsText" text="Не выполняется">
      <formula>NOT(ISERROR(SEARCH("Не выполняется",G368)))</formula>
    </cfRule>
  </conditionalFormatting>
  <conditionalFormatting sqref="G371:H371">
    <cfRule type="containsText" dxfId="143" priority="2169" operator="containsText" text="Неверно">
      <formula>NOT(ISERROR(SEARCH("Неверно",G371)))</formula>
    </cfRule>
    <cfRule type="containsText" dxfId="142" priority="2170" operator="containsText" text="Частично">
      <formula>NOT(ISERROR(SEARCH("Частично",G371)))</formula>
    </cfRule>
    <cfRule type="beginsWith" dxfId="141" priority="2171" operator="beginsWith" text="Выполняется">
      <formula>LEFT(G371,LEN("Выполняется"))="Выполняется"</formula>
    </cfRule>
    <cfRule type="containsText" dxfId="140" priority="2172" operator="containsText" text="Верно">
      <formula>NOT(ISERROR(SEARCH("Верно",G371)))</formula>
    </cfRule>
    <cfRule type="containsText" dxfId="139" priority="2173" operator="containsText" text="Не выполняется">
      <formula>NOT(ISERROR(SEARCH("Не выполняется",G371)))</formula>
    </cfRule>
  </conditionalFormatting>
  <conditionalFormatting sqref="G373:H374">
    <cfRule type="containsText" dxfId="138" priority="197" operator="containsText" text="Неверно">
      <formula>NOT(ISERROR(SEARCH("Неверно",G373)))</formula>
    </cfRule>
    <cfRule type="containsText" dxfId="137" priority="198" operator="containsText" text="Частично">
      <formula>NOT(ISERROR(SEARCH("Частично",G373)))</formula>
    </cfRule>
    <cfRule type="beginsWith" dxfId="136" priority="199" operator="beginsWith" text="Выполняется">
      <formula>LEFT(G373,LEN("Выполняется"))="Выполняется"</formula>
    </cfRule>
    <cfRule type="containsText" dxfId="135" priority="200" operator="containsText" text="Верно">
      <formula>NOT(ISERROR(SEARCH("Верно",G373)))</formula>
    </cfRule>
    <cfRule type="containsText" dxfId="134" priority="201" operator="containsText" text="Не выполняется">
      <formula>NOT(ISERROR(SEARCH("Не выполняется",G373)))</formula>
    </cfRule>
  </conditionalFormatting>
  <conditionalFormatting sqref="G376:H376">
    <cfRule type="containsText" dxfId="133" priority="2154" operator="containsText" text="Неверно">
      <formula>NOT(ISERROR(SEARCH("Неверно",G376)))</formula>
    </cfRule>
    <cfRule type="containsText" dxfId="132" priority="2155" operator="containsText" text="Частично">
      <formula>NOT(ISERROR(SEARCH("Частично",G376)))</formula>
    </cfRule>
    <cfRule type="beginsWith" dxfId="131" priority="2156" operator="beginsWith" text="Выполняется">
      <formula>LEFT(G376,LEN("Выполняется"))="Выполняется"</formula>
    </cfRule>
    <cfRule type="containsText" dxfId="130" priority="2157" operator="containsText" text="Верно">
      <formula>NOT(ISERROR(SEARCH("Верно",G376)))</formula>
    </cfRule>
    <cfRule type="containsText" dxfId="129" priority="2158" operator="containsText" text="Не выполняется">
      <formula>NOT(ISERROR(SEARCH("Не выполняется",G376)))</formula>
    </cfRule>
  </conditionalFormatting>
  <conditionalFormatting sqref="G379:H380">
    <cfRule type="containsText" dxfId="128" priority="748" operator="containsText" text="Неверно">
      <formula>NOT(ISERROR(SEARCH("Неверно",G379)))</formula>
    </cfRule>
    <cfRule type="containsText" dxfId="127" priority="749" operator="containsText" text="Частично">
      <formula>NOT(ISERROR(SEARCH("Частично",G379)))</formula>
    </cfRule>
    <cfRule type="beginsWith" dxfId="126" priority="750" operator="beginsWith" text="Выполняется">
      <formula>LEFT(G379,LEN("Выполняется"))="Выполняется"</formula>
    </cfRule>
    <cfRule type="containsText" dxfId="125" priority="751" operator="containsText" text="Верно">
      <formula>NOT(ISERROR(SEARCH("Верно",G379)))</formula>
    </cfRule>
    <cfRule type="containsText" dxfId="124" priority="752" operator="containsText" text="Не выполняется">
      <formula>NOT(ISERROR(SEARCH("Не выполняется",G379)))</formula>
    </cfRule>
  </conditionalFormatting>
  <conditionalFormatting sqref="G382:H384">
    <cfRule type="containsText" dxfId="123" priority="192" operator="containsText" text="Неверно">
      <formula>NOT(ISERROR(SEARCH("Неверно",G382)))</formula>
    </cfRule>
    <cfRule type="containsText" dxfId="122" priority="193" operator="containsText" text="Частично">
      <formula>NOT(ISERROR(SEARCH("Частично",G382)))</formula>
    </cfRule>
    <cfRule type="beginsWith" dxfId="121" priority="194" operator="beginsWith" text="Выполняется">
      <formula>LEFT(G382,LEN("Выполняется"))="Выполняется"</formula>
    </cfRule>
    <cfRule type="containsText" dxfId="120" priority="195" operator="containsText" text="Верно">
      <formula>NOT(ISERROR(SEARCH("Верно",G382)))</formula>
    </cfRule>
    <cfRule type="containsText" dxfId="119" priority="196" operator="containsText" text="Не выполняется">
      <formula>NOT(ISERROR(SEARCH("Не выполняется",G382)))</formula>
    </cfRule>
  </conditionalFormatting>
  <conditionalFormatting sqref="G386:H386">
    <cfRule type="containsText" dxfId="118" priority="2189" operator="containsText" text="Неверно">
      <formula>NOT(ISERROR(SEARCH("Неверно",G386)))</formula>
    </cfRule>
    <cfRule type="containsText" dxfId="117" priority="2190" operator="containsText" text="Частично">
      <formula>NOT(ISERROR(SEARCH("Частично",G386)))</formula>
    </cfRule>
    <cfRule type="beginsWith" dxfId="116" priority="2191" operator="beginsWith" text="Выполняется">
      <formula>LEFT(G386,LEN("Выполняется"))="Выполняется"</formula>
    </cfRule>
    <cfRule type="containsText" dxfId="115" priority="2192" operator="containsText" text="Верно">
      <formula>NOT(ISERROR(SEARCH("Верно",G386)))</formula>
    </cfRule>
    <cfRule type="containsText" dxfId="114" priority="2193" operator="containsText" text="Не выполняется">
      <formula>NOT(ISERROR(SEARCH("Не выполняется",G386)))</formula>
    </cfRule>
  </conditionalFormatting>
  <conditionalFormatting sqref="G390:H390">
    <cfRule type="containsText" dxfId="113" priority="2184" operator="containsText" text="Неверно">
      <formula>NOT(ISERROR(SEARCH("Неверно",G390)))</formula>
    </cfRule>
    <cfRule type="containsText" dxfId="112" priority="2185" operator="containsText" text="Частично">
      <formula>NOT(ISERROR(SEARCH("Частично",G390)))</formula>
    </cfRule>
    <cfRule type="beginsWith" dxfId="111" priority="2186" operator="beginsWith" text="Выполняется">
      <formula>LEFT(G390,LEN("Выполняется"))="Выполняется"</formula>
    </cfRule>
    <cfRule type="containsText" dxfId="110" priority="2187" operator="containsText" text="Верно">
      <formula>NOT(ISERROR(SEARCH("Верно",G390)))</formula>
    </cfRule>
    <cfRule type="containsText" dxfId="109" priority="2188" operator="containsText" text="Не выполняется">
      <formula>NOT(ISERROR(SEARCH("Не выполняется",G390)))</formula>
    </cfRule>
  </conditionalFormatting>
  <conditionalFormatting sqref="G394:H395">
    <cfRule type="containsText" dxfId="108" priority="187" operator="containsText" text="Неверно">
      <formula>NOT(ISERROR(SEARCH("Неверно",G394)))</formula>
    </cfRule>
    <cfRule type="containsText" dxfId="107" priority="188" operator="containsText" text="Частично">
      <formula>NOT(ISERROR(SEARCH("Частично",G394)))</formula>
    </cfRule>
    <cfRule type="beginsWith" dxfId="106" priority="189" operator="beginsWith" text="Выполняется">
      <formula>LEFT(G394,LEN("Выполняется"))="Выполняется"</formula>
    </cfRule>
    <cfRule type="containsText" dxfId="105" priority="190" operator="containsText" text="Верно">
      <formula>NOT(ISERROR(SEARCH("Верно",G394)))</formula>
    </cfRule>
    <cfRule type="containsText" dxfId="104" priority="191" operator="containsText" text="Не выполняется">
      <formula>NOT(ISERROR(SEARCH("Не выполняется",G394)))</formula>
    </cfRule>
  </conditionalFormatting>
  <conditionalFormatting sqref="G397:H397">
    <cfRule type="containsText" dxfId="103" priority="2194" operator="containsText" text="Неверно">
      <formula>NOT(ISERROR(SEARCH("Неверно",G397)))</formula>
    </cfRule>
    <cfRule type="containsText" dxfId="102" priority="2195" operator="containsText" text="Частично">
      <formula>NOT(ISERROR(SEARCH("Частично",G397)))</formula>
    </cfRule>
    <cfRule type="beginsWith" dxfId="101" priority="2196" operator="beginsWith" text="Выполняется">
      <formula>LEFT(G397,LEN("Выполняется"))="Выполняется"</formula>
    </cfRule>
    <cfRule type="containsText" dxfId="100" priority="2197" operator="containsText" text="Верно">
      <formula>NOT(ISERROR(SEARCH("Верно",G397)))</formula>
    </cfRule>
    <cfRule type="containsText" dxfId="99" priority="2198" operator="containsText" text="Не выполняется">
      <formula>NOT(ISERROR(SEARCH("Не выполняется",G397)))</formula>
    </cfRule>
  </conditionalFormatting>
  <conditionalFormatting sqref="G401:H401">
    <cfRule type="containsText" dxfId="98" priority="166" operator="containsText" text="Неверно">
      <formula>NOT(ISERROR(SEARCH("Неверно",G401)))</formula>
    </cfRule>
    <cfRule type="containsText" dxfId="97" priority="167" operator="containsText" text="Частично">
      <formula>NOT(ISERROR(SEARCH("Частично",G401)))</formula>
    </cfRule>
    <cfRule type="beginsWith" dxfId="96" priority="168" operator="beginsWith" text="Выполняется">
      <formula>LEFT(G401,LEN("Выполняется"))="Выполняется"</formula>
    </cfRule>
    <cfRule type="containsText" dxfId="95" priority="169" operator="containsText" text="Верно">
      <formula>NOT(ISERROR(SEARCH("Верно",G401)))</formula>
    </cfRule>
    <cfRule type="containsText" dxfId="94" priority="170" operator="containsText" text="Не выполняется">
      <formula>NOT(ISERROR(SEARCH("Не выполняется",G401)))</formula>
    </cfRule>
  </conditionalFormatting>
  <conditionalFormatting sqref="G3:I3">
    <cfRule type="containsText" dxfId="93" priority="377" operator="containsText" text="Неверно">
      <formula>NOT(ISERROR(SEARCH("Неверно",G3)))</formula>
    </cfRule>
    <cfRule type="containsText" dxfId="92" priority="378" operator="containsText" text="Частично">
      <formula>NOT(ISERROR(SEARCH("Частично",G3)))</formula>
    </cfRule>
    <cfRule type="beginsWith" dxfId="91" priority="379" operator="beginsWith" text="Выполняется">
      <formula>LEFT(G3,LEN("Выполняется"))="Выполняется"</formula>
    </cfRule>
    <cfRule type="containsText" dxfId="90" priority="380" operator="containsText" text="Верно">
      <formula>NOT(ISERROR(SEARCH("Верно",G3)))</formula>
    </cfRule>
    <cfRule type="containsText" dxfId="89" priority="381" operator="containsText" text="Не выполняется">
      <formula>NOT(ISERROR(SEARCH("Не выполняется",G3)))</formula>
    </cfRule>
  </conditionalFormatting>
  <conditionalFormatting sqref="G16:I16">
    <cfRule type="containsText" dxfId="88" priority="372" operator="containsText" text="Неверно">
      <formula>NOT(ISERROR(SEARCH("Неверно",G16)))</formula>
    </cfRule>
    <cfRule type="containsText" dxfId="87" priority="373" operator="containsText" text="Частично">
      <formula>NOT(ISERROR(SEARCH("Частично",G16)))</formula>
    </cfRule>
    <cfRule type="beginsWith" dxfId="86" priority="374" operator="beginsWith" text="Выполняется">
      <formula>LEFT(G16,LEN("Выполняется"))="Выполняется"</formula>
    </cfRule>
    <cfRule type="containsText" dxfId="85" priority="375" operator="containsText" text="Верно">
      <formula>NOT(ISERROR(SEARCH("Верно",G16)))</formula>
    </cfRule>
    <cfRule type="containsText" dxfId="84" priority="376" operator="containsText" text="Не выполняется">
      <formula>NOT(ISERROR(SEARCH("Не выполняется",G16)))</formula>
    </cfRule>
  </conditionalFormatting>
  <conditionalFormatting sqref="H24">
    <cfRule type="containsText" dxfId="83" priority="131" operator="containsText" text="Неверно">
      <formula>NOT(ISERROR(SEARCH("Неверно",H24)))</formula>
    </cfRule>
    <cfRule type="containsText" dxfId="82" priority="132" operator="containsText" text="Частично">
      <formula>NOT(ISERROR(SEARCH("Частично",H24)))</formula>
    </cfRule>
    <cfRule type="beginsWith" dxfId="81" priority="133" operator="beginsWith" text="Выполняется">
      <formula>LEFT(H24,LEN("Выполняется"))="Выполняется"</formula>
    </cfRule>
    <cfRule type="containsText" dxfId="80" priority="134" operator="containsText" text="Верно">
      <formula>NOT(ISERROR(SEARCH("Верно",H24)))</formula>
    </cfRule>
    <cfRule type="containsText" dxfId="79" priority="135" operator="containsText" text="Не выполняется">
      <formula>NOT(ISERROR(SEARCH("Не выполняется",H24)))</formula>
    </cfRule>
  </conditionalFormatting>
  <conditionalFormatting sqref="H32">
    <cfRule type="containsText" dxfId="78" priority="367" operator="containsText" text="Неверно">
      <formula>NOT(ISERROR(SEARCH("Неверно",H32)))</formula>
    </cfRule>
    <cfRule type="containsText" dxfId="77" priority="368" operator="containsText" text="Частично">
      <formula>NOT(ISERROR(SEARCH("Частично",H32)))</formula>
    </cfRule>
    <cfRule type="beginsWith" dxfId="76" priority="369" operator="beginsWith" text="Выполняется">
      <formula>LEFT(H32,LEN("Выполняется"))="Выполняется"</formula>
    </cfRule>
    <cfRule type="containsText" dxfId="75" priority="370" operator="containsText" text="Верно">
      <formula>NOT(ISERROR(SEARCH("Верно",H32)))</formula>
    </cfRule>
    <cfRule type="containsText" dxfId="74" priority="371" operator="containsText" text="Не выполняется">
      <formula>NOT(ISERROR(SEARCH("Не выполняется",H32)))</formula>
    </cfRule>
  </conditionalFormatting>
  <conditionalFormatting sqref="H192">
    <cfRule type="containsText" dxfId="73" priority="271" operator="containsText" text="Не выполняется">
      <formula>NOT(ISERROR(SEARCH("Не выполняется",H192)))</formula>
    </cfRule>
  </conditionalFormatting>
  <conditionalFormatting sqref="H197">
    <cfRule type="containsText" dxfId="72" priority="266" operator="containsText" text="Не выполняется">
      <formula>NOT(ISERROR(SEARCH("Не выполняется",H197)))</formula>
    </cfRule>
  </conditionalFormatting>
  <conditionalFormatting sqref="H209">
    <cfRule type="containsText" dxfId="71" priority="341" operator="containsText" text="Не выполняется">
      <formula>NOT(ISERROR(SEARCH("Не выполняется",H209)))</formula>
    </cfRule>
  </conditionalFormatting>
  <conditionalFormatting sqref="H225">
    <cfRule type="containsText" dxfId="70" priority="332" operator="containsText" text="Неверно">
      <formula>NOT(ISERROR(SEARCH("Неверно",H225)))</formula>
    </cfRule>
    <cfRule type="containsText" dxfId="69" priority="333" operator="containsText" text="Частично">
      <formula>NOT(ISERROR(SEARCH("Частично",H225)))</formula>
    </cfRule>
    <cfRule type="beginsWith" dxfId="68" priority="334" operator="beginsWith" text="Выполняется">
      <formula>LEFT(H225,LEN("Выполняется"))="Выполняется"</formula>
    </cfRule>
    <cfRule type="containsText" dxfId="67" priority="335" operator="containsText" text="Верно">
      <formula>NOT(ISERROR(SEARCH("Верно",H225)))</formula>
    </cfRule>
    <cfRule type="containsText" dxfId="66" priority="336" operator="containsText" text="Не выполняется">
      <formula>NOT(ISERROR(SEARCH("Не выполняется",H225)))</formula>
    </cfRule>
  </conditionalFormatting>
  <conditionalFormatting sqref="H231">
    <cfRule type="containsText" dxfId="65" priority="619" operator="containsText" text="Неверно">
      <formula>NOT(ISERROR(SEARCH("Неверно",H231)))</formula>
    </cfRule>
    <cfRule type="containsText" dxfId="64" priority="620" operator="containsText" text="Частично">
      <formula>NOT(ISERROR(SEARCH("Частично",H231)))</formula>
    </cfRule>
    <cfRule type="beginsWith" dxfId="63" priority="621" operator="beginsWith" text="Выполняется">
      <formula>LEFT(H231,LEN("Выполняется"))="Выполняется"</formula>
    </cfRule>
    <cfRule type="containsText" dxfId="62" priority="622" operator="containsText" text="Верно">
      <formula>NOT(ISERROR(SEARCH("Верно",H231)))</formula>
    </cfRule>
    <cfRule type="containsText" dxfId="61" priority="623" operator="containsText" text="Не выполняется">
      <formula>NOT(ISERROR(SEARCH("Не выполняется",H231)))</formula>
    </cfRule>
  </conditionalFormatting>
  <conditionalFormatting sqref="H248">
    <cfRule type="containsText" dxfId="60" priority="252" operator="containsText" text="Неверно">
      <formula>NOT(ISERROR(SEARCH("Неверно",H248)))</formula>
    </cfRule>
    <cfRule type="containsText" dxfId="59" priority="253" operator="containsText" text="Частично">
      <formula>NOT(ISERROR(SEARCH("Частично",H248)))</formula>
    </cfRule>
    <cfRule type="beginsWith" dxfId="58" priority="254" operator="beginsWith" text="Выполняется">
      <formula>LEFT(H248,LEN("Выполняется"))="Выполняется"</formula>
    </cfRule>
    <cfRule type="containsText" dxfId="57" priority="255" operator="containsText" text="Верно">
      <formula>NOT(ISERROR(SEARCH("Верно",H248)))</formula>
    </cfRule>
    <cfRule type="containsText" dxfId="56" priority="256" operator="containsText" text="Не выполняется">
      <formula>NOT(ISERROR(SEARCH("Не выполняется",H248)))</formula>
    </cfRule>
  </conditionalFormatting>
  <conditionalFormatting sqref="H264:H265">
    <cfRule type="containsText" dxfId="55" priority="317" operator="containsText" text="Неверно">
      <formula>NOT(ISERROR(SEARCH("Неверно",H264)))</formula>
    </cfRule>
    <cfRule type="containsText" dxfId="54" priority="318" operator="containsText" text="Частично">
      <formula>NOT(ISERROR(SEARCH("Частично",H264)))</formula>
    </cfRule>
    <cfRule type="beginsWith" dxfId="53" priority="319" operator="beginsWith" text="Выполняется">
      <formula>LEFT(H264,LEN("Выполняется"))="Выполняется"</formula>
    </cfRule>
    <cfRule type="containsText" dxfId="52" priority="320" operator="containsText" text="Верно">
      <formula>NOT(ISERROR(SEARCH("Верно",H264)))</formula>
    </cfRule>
    <cfRule type="containsText" dxfId="51" priority="321" operator="containsText" text="Не выполняется">
      <formula>NOT(ISERROR(SEARCH("Не выполняется",H264)))</formula>
    </cfRule>
  </conditionalFormatting>
  <conditionalFormatting sqref="H280">
    <cfRule type="containsText" dxfId="50" priority="247" operator="containsText" text="Неверно">
      <formula>NOT(ISERROR(SEARCH("Неверно",H280)))</formula>
    </cfRule>
    <cfRule type="containsText" dxfId="49" priority="248" operator="containsText" text="Частично">
      <formula>NOT(ISERROR(SEARCH("Частично",H280)))</formula>
    </cfRule>
    <cfRule type="beginsWith" dxfId="48" priority="249" operator="beginsWith" text="Выполняется">
      <formula>LEFT(H280,LEN("Выполняется"))="Выполняется"</formula>
    </cfRule>
    <cfRule type="containsText" dxfId="47" priority="250" operator="containsText" text="Верно">
      <formula>NOT(ISERROR(SEARCH("Верно",H280)))</formula>
    </cfRule>
    <cfRule type="containsText" dxfId="46" priority="251" operator="containsText" text="Не выполняется">
      <formula>NOT(ISERROR(SEARCH("Не выполняется",H280)))</formula>
    </cfRule>
  </conditionalFormatting>
  <conditionalFormatting sqref="H326">
    <cfRule type="containsText" dxfId="45" priority="161" operator="containsText" text="Неверно">
      <formula>NOT(ISERROR(SEARCH("Неверно",H326)))</formula>
    </cfRule>
    <cfRule type="containsText" dxfId="44" priority="162" operator="containsText" text="Частично">
      <formula>NOT(ISERROR(SEARCH("Частично",H326)))</formula>
    </cfRule>
    <cfRule type="beginsWith" dxfId="43" priority="163" operator="beginsWith" text="Выполняется">
      <formula>LEFT(H326,LEN("Выполняется"))="Выполняется"</formula>
    </cfRule>
    <cfRule type="containsText" dxfId="42" priority="164" operator="containsText" text="Верно">
      <formula>NOT(ISERROR(SEARCH("Верно",H326)))</formula>
    </cfRule>
    <cfRule type="containsText" dxfId="41" priority="165" operator="containsText" text="Не выполняется">
      <formula>NOT(ISERROR(SEARCH("Не выполняется",H326)))</formula>
    </cfRule>
  </conditionalFormatting>
  <conditionalFormatting sqref="H36:I36">
    <cfRule type="containsText" dxfId="40" priority="182" operator="containsText" text="Неверно">
      <formula>NOT(ISERROR(SEARCH("Неверно",H36)))</formula>
    </cfRule>
    <cfRule type="containsText" dxfId="39" priority="183" operator="containsText" text="Частично">
      <formula>NOT(ISERROR(SEARCH("Частично",H36)))</formula>
    </cfRule>
    <cfRule type="beginsWith" dxfId="38" priority="184" operator="beginsWith" text="Выполняется">
      <formula>LEFT(H36,LEN("Выполняется"))="Выполняется"</formula>
    </cfRule>
    <cfRule type="containsText" dxfId="37" priority="185" operator="containsText" text="Верно">
      <formula>NOT(ISERROR(SEARCH("Верно",H36)))</formula>
    </cfRule>
    <cfRule type="containsText" dxfId="36" priority="186" operator="containsText" text="Не выполняется">
      <formula>NOT(ISERROR(SEARCH("Не выполняется",H36)))</formula>
    </cfRule>
  </conditionalFormatting>
  <conditionalFormatting sqref="I44 I54 I75 I94">
    <cfRule type="containsText" dxfId="35" priority="2780" operator="containsText" text="Неверно">
      <formula>NOT(ISERROR(SEARCH("Неверно",I44)))</formula>
    </cfRule>
    <cfRule type="containsText" dxfId="34" priority="2781" operator="containsText" text="Частично">
      <formula>NOT(ISERROR(SEARCH("Частично",I44)))</formula>
    </cfRule>
    <cfRule type="beginsWith" dxfId="33" priority="2782" operator="beginsWith" text="Выполняется">
      <formula>LEFT(I44,LEN("Выполняется"))="Выполняется"</formula>
    </cfRule>
    <cfRule type="containsText" dxfId="32" priority="2783" operator="containsText" text="Верно">
      <formula>NOT(ISERROR(SEARCH("Верно",I44)))</formula>
    </cfRule>
    <cfRule type="containsText" dxfId="31" priority="2784" operator="containsText" text="Не выполняется">
      <formula>NOT(ISERROR(SEARCH("Не выполняется",I44)))</formula>
    </cfRule>
  </conditionalFormatting>
  <conditionalFormatting sqref="I106">
    <cfRule type="containsText" dxfId="30" priority="382" operator="containsText" text="Неверно">
      <formula>NOT(ISERROR(SEARCH("Неверно",I106)))</formula>
    </cfRule>
    <cfRule type="containsText" dxfId="29" priority="383" operator="containsText" text="Частично">
      <formula>NOT(ISERROR(SEARCH("Частично",I106)))</formula>
    </cfRule>
    <cfRule type="beginsWith" dxfId="28" priority="384" operator="beginsWith" text="Выполняется">
      <formula>LEFT(I106,LEN("Выполняется"))="Выполняется"</formula>
    </cfRule>
    <cfRule type="containsText" dxfId="27" priority="385" operator="containsText" text="Верно">
      <formula>NOT(ISERROR(SEARCH("Верно",I106)))</formula>
    </cfRule>
    <cfRule type="containsText" dxfId="26" priority="386" operator="containsText" text="Не выполняется">
      <formula>NOT(ISERROR(SEARCH("Не выполняется",I106)))</formula>
    </cfRule>
  </conditionalFormatting>
  <conditionalFormatting sqref="J14:J15">
    <cfRule type="containsText" dxfId="25" priority="151" operator="containsText" text="Неверно">
      <formula>NOT(ISERROR(SEARCH("Неверно",J14)))</formula>
    </cfRule>
    <cfRule type="containsText" dxfId="24" priority="152" operator="containsText" text="Частично">
      <formula>NOT(ISERROR(SEARCH("Частично",J14)))</formula>
    </cfRule>
    <cfRule type="beginsWith" dxfId="23" priority="153" operator="beginsWith" text="Выполняется">
      <formula>LEFT(J14,LEN("Выполняется"))="Выполняется"</formula>
    </cfRule>
    <cfRule type="containsText" dxfId="22" priority="154" operator="containsText" text="Верно">
      <formula>NOT(ISERROR(SEARCH("Верно",J14)))</formula>
    </cfRule>
    <cfRule type="containsText" dxfId="21" priority="155" operator="containsText" text="Не выполняется">
      <formula>NOT(ISERROR(SEARCH("Не выполняется",J14)))</formula>
    </cfRule>
  </conditionalFormatting>
  <conditionalFormatting sqref="J27:J29">
    <cfRule type="containsText" dxfId="20" priority="121" operator="containsText" text="Неверно">
      <formula>NOT(ISERROR(SEARCH("Неверно",J27)))</formula>
    </cfRule>
    <cfRule type="containsText" dxfId="19" priority="122" operator="containsText" text="Частично">
      <formula>NOT(ISERROR(SEARCH("Частично",J27)))</formula>
    </cfRule>
    <cfRule type="beginsWith" dxfId="18" priority="123" operator="beginsWith" text="Выполняется">
      <formula>LEFT(J27,LEN("Выполняется"))="Выполняется"</formula>
    </cfRule>
    <cfRule type="containsText" dxfId="17" priority="124" operator="containsText" text="Верно">
      <formula>NOT(ISERROR(SEARCH("Верно",J27)))</formula>
    </cfRule>
    <cfRule type="containsText" dxfId="16" priority="125" operator="containsText" text="Не выполняется">
      <formula>NOT(ISERROR(SEARCH("Не выполняется",J27)))</formula>
    </cfRule>
  </conditionalFormatting>
  <conditionalFormatting sqref="J53">
    <cfRule type="containsText" dxfId="15" priority="604" operator="containsText" text="Неверно">
      <formula>NOT(ISERROR(SEARCH("Неверно",J53)))</formula>
    </cfRule>
    <cfRule type="containsText" dxfId="14" priority="605" operator="containsText" text="Частично">
      <formula>NOT(ISERROR(SEARCH("Частично",J53)))</formula>
    </cfRule>
    <cfRule type="beginsWith" dxfId="13" priority="606" operator="beginsWith" text="Выполняется">
      <formula>LEFT(J53,LEN("Выполняется"))="Выполняется"</formula>
    </cfRule>
    <cfRule type="containsText" dxfId="12" priority="607" operator="containsText" text="Верно">
      <formula>NOT(ISERROR(SEARCH("Верно",J53)))</formula>
    </cfRule>
    <cfRule type="containsText" dxfId="11" priority="608" operator="containsText" text="Не выполняется">
      <formula>NOT(ISERROR(SEARCH("Не выполняется",J53)))</formula>
    </cfRule>
  </conditionalFormatting>
  <dataValidations count="4">
    <dataValidation type="list" allowBlank="1" showInputMessage="1" showErrorMessage="1" sqref="F403" xr:uid="{00000000-0002-0000-0500-000000000000}">
      <formula1>$G$407:$G$410</formula1>
    </dataValidation>
    <dataValidation type="list" allowBlank="1" showInputMessage="1" showErrorMessage="1" sqref="F286:F402 F3:F284" xr:uid="{00000000-0002-0000-0500-000001000000}">
      <formula1>$G$406:$G$410</formula1>
    </dataValidation>
    <dataValidation type="list" allowBlank="1" showInputMessage="1" showErrorMessage="1" sqref="F285" xr:uid="{00000000-0002-0000-0500-000002000000}">
      <formula1>$F$406:$F$408</formula1>
    </dataValidation>
    <dataValidation type="list" allowBlank="1" showInputMessage="1" showErrorMessage="1" sqref="E382:E402 E285:E304 E3:E30 E106:E170 E172:E212 E214:E283 E32:E104 E306:E348 E368:E380 E350:E366" xr:uid="{00000000-0002-0000-0500-000003000000}">
      <formula1>$H$406:$H$409</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9">
    <tabColor rgb="FF92D050"/>
  </sheetPr>
  <dimension ref="A1:M86"/>
  <sheetViews>
    <sheetView zoomScale="70" zoomScaleNormal="70" workbookViewId="0">
      <pane xSplit="1" ySplit="1" topLeftCell="B2" activePane="bottomRight" state="frozen"/>
      <selection pane="topRight" activeCell="B1" sqref="B1"/>
      <selection pane="bottomLeft" activeCell="A2" sqref="A2"/>
      <selection pane="bottomRight" activeCell="K7" sqref="K7"/>
    </sheetView>
  </sheetViews>
  <sheetFormatPr defaultColWidth="8.5546875" defaultRowHeight="16.8" x14ac:dyDescent="0.4"/>
  <cols>
    <col min="1" max="1" width="20.109375" style="216" customWidth="1"/>
    <col min="2" max="2" width="22.5546875" style="288" customWidth="1"/>
    <col min="3" max="3" width="22.5546875" style="216" customWidth="1"/>
    <col min="4" max="9" width="22.5546875" style="133" customWidth="1"/>
    <col min="10" max="10" width="19.109375" style="133" customWidth="1"/>
    <col min="11" max="14" width="16.109375" style="133" customWidth="1"/>
    <col min="15" max="38" width="11" style="133" customWidth="1"/>
    <col min="39" max="75" width="5.109375" style="133" customWidth="1"/>
    <col min="76" max="76" width="8.5546875" style="133" customWidth="1"/>
    <col min="77" max="16384" width="8.5546875" style="133"/>
  </cols>
  <sheetData>
    <row r="1" spans="1:9" ht="25.2" thickBot="1" x14ac:dyDescent="0.45">
      <c r="A1" s="387" t="s">
        <v>3119</v>
      </c>
      <c r="B1" s="388"/>
      <c r="C1" s="388"/>
      <c r="D1" s="388"/>
      <c r="E1" s="388"/>
      <c r="F1" s="388"/>
      <c r="G1" s="388"/>
      <c r="H1" s="388"/>
      <c r="I1" s="389"/>
    </row>
    <row r="2" spans="1:9" x14ac:dyDescent="0.4">
      <c r="A2" s="265"/>
      <c r="B2" s="271" t="s">
        <v>1049</v>
      </c>
      <c r="C2" s="277" t="s">
        <v>1027</v>
      </c>
      <c r="D2" s="103" t="s">
        <v>1002</v>
      </c>
      <c r="E2" s="278" t="s">
        <v>973</v>
      </c>
      <c r="F2" s="279" t="s">
        <v>952</v>
      </c>
      <c r="G2" s="280" t="s">
        <v>940</v>
      </c>
      <c r="H2" s="281" t="s">
        <v>1359</v>
      </c>
      <c r="I2" s="282" t="s">
        <v>923</v>
      </c>
    </row>
    <row r="3" spans="1:9" x14ac:dyDescent="0.4">
      <c r="A3" s="283" t="str">
        <f>'Результаты аудита'!E3</f>
        <v>T-ADI-DEP</v>
      </c>
      <c r="B3" s="265" t="s">
        <v>1050</v>
      </c>
      <c r="C3" s="265"/>
      <c r="D3" s="265" t="s">
        <v>1003</v>
      </c>
      <c r="E3" s="265" t="s">
        <v>974</v>
      </c>
      <c r="F3" s="265" t="s">
        <v>953</v>
      </c>
      <c r="G3" s="265"/>
      <c r="H3" s="265" t="s">
        <v>1087</v>
      </c>
      <c r="I3" s="265"/>
    </row>
    <row r="4" spans="1:9" x14ac:dyDescent="0.4">
      <c r="A4" s="283" t="str">
        <f>'Результаты аудита'!E4</f>
        <v>T-ADI-ART</v>
      </c>
      <c r="B4" s="265" t="s">
        <v>1051</v>
      </c>
      <c r="C4" s="265" t="s">
        <v>1028</v>
      </c>
      <c r="D4" s="265"/>
      <c r="E4" s="265" t="s">
        <v>975</v>
      </c>
      <c r="F4" s="265" t="s">
        <v>954</v>
      </c>
      <c r="G4" s="265" t="s">
        <v>1088</v>
      </c>
      <c r="H4" s="265"/>
      <c r="I4" s="265"/>
    </row>
    <row r="5" spans="1:9" x14ac:dyDescent="0.4">
      <c r="A5" s="283" t="str">
        <f>'Результаты аудита'!E5</f>
        <v>T-DEV-COMP</v>
      </c>
      <c r="B5" s="265" t="s">
        <v>1052</v>
      </c>
      <c r="C5" s="265" t="s">
        <v>1029</v>
      </c>
      <c r="D5" s="265"/>
      <c r="E5" s="265" t="s">
        <v>1004</v>
      </c>
      <c r="F5" s="265"/>
      <c r="G5" s="265"/>
      <c r="H5" s="265"/>
      <c r="I5" s="265"/>
    </row>
    <row r="6" spans="1:9" x14ac:dyDescent="0.4">
      <c r="A6" s="283" t="str">
        <f>'Результаты аудита'!E6</f>
        <v>T-DEV-SM</v>
      </c>
      <c r="B6" s="265" t="s">
        <v>1053</v>
      </c>
      <c r="C6" s="265" t="s">
        <v>1030</v>
      </c>
      <c r="D6" s="265" t="s">
        <v>1005</v>
      </c>
      <c r="E6" s="265" t="s">
        <v>976</v>
      </c>
      <c r="F6" s="265"/>
      <c r="G6" s="265"/>
      <c r="H6" s="265" t="s">
        <v>930</v>
      </c>
      <c r="I6" s="265"/>
    </row>
    <row r="7" spans="1:9" x14ac:dyDescent="0.4">
      <c r="A7" s="283" t="str">
        <f>'Результаты аудита'!E7</f>
        <v>T-DEV-BLD</v>
      </c>
      <c r="B7" s="265" t="s">
        <v>1054</v>
      </c>
      <c r="C7" s="265"/>
      <c r="D7" s="265" t="s">
        <v>1006</v>
      </c>
      <c r="E7" s="265" t="s">
        <v>977</v>
      </c>
      <c r="F7" s="265"/>
      <c r="G7" s="265" t="s">
        <v>941</v>
      </c>
      <c r="H7" s="265" t="s">
        <v>1089</v>
      </c>
      <c r="I7" s="265"/>
    </row>
    <row r="8" spans="1:9" x14ac:dyDescent="0.4">
      <c r="A8" s="283" t="str">
        <f>'Результаты аудита'!E8</f>
        <v>T-DEV-SCM</v>
      </c>
      <c r="B8" s="265" t="s">
        <v>1055</v>
      </c>
      <c r="C8" s="265"/>
      <c r="D8" s="265" t="s">
        <v>1007</v>
      </c>
      <c r="E8" s="265" t="s">
        <v>978</v>
      </c>
      <c r="F8" s="265" t="s">
        <v>955</v>
      </c>
      <c r="G8" s="265"/>
      <c r="H8" s="265" t="s">
        <v>931</v>
      </c>
      <c r="I8" s="265"/>
    </row>
    <row r="9" spans="1:9" x14ac:dyDescent="0.4">
      <c r="A9" s="283" t="str">
        <f>'Результаты аудита'!E9</f>
        <v>T-DEV-SRC</v>
      </c>
      <c r="B9" s="265" t="s">
        <v>1056</v>
      </c>
      <c r="C9" s="265" t="s">
        <v>1031</v>
      </c>
      <c r="D9" s="265"/>
      <c r="E9" s="265" t="s">
        <v>979</v>
      </c>
      <c r="F9" s="265" t="s">
        <v>956</v>
      </c>
      <c r="G9" s="265"/>
      <c r="H9" s="265" t="s">
        <v>932</v>
      </c>
      <c r="I9" s="265"/>
    </row>
    <row r="10" spans="1:9" x14ac:dyDescent="0.4">
      <c r="A10" s="283" t="str">
        <f>'Результаты аудита'!E10</f>
        <v>T-DEV-CICD</v>
      </c>
      <c r="B10" s="265" t="s">
        <v>1057</v>
      </c>
      <c r="C10" s="265" t="s">
        <v>1032</v>
      </c>
      <c r="D10" s="265"/>
      <c r="E10" s="265" t="s">
        <v>980</v>
      </c>
      <c r="F10" s="265" t="s">
        <v>957</v>
      </c>
      <c r="G10" s="265" t="s">
        <v>942</v>
      </c>
      <c r="H10" s="265"/>
      <c r="I10" s="265"/>
    </row>
    <row r="11" spans="1:9" x14ac:dyDescent="0.4">
      <c r="A11" s="283" t="str">
        <f>'Результаты аудита'!E11</f>
        <v>T-CODE-SPC</v>
      </c>
      <c r="B11" s="265" t="s">
        <v>1971</v>
      </c>
      <c r="C11" s="265"/>
      <c r="D11" s="265" t="s">
        <v>1970</v>
      </c>
      <c r="E11" s="265"/>
      <c r="F11" s="265" t="s">
        <v>1972</v>
      </c>
      <c r="G11" s="265" t="s">
        <v>1973</v>
      </c>
      <c r="H11" s="265"/>
      <c r="I11" s="265" t="s">
        <v>1974</v>
      </c>
    </row>
    <row r="12" spans="1:9" x14ac:dyDescent="0.4">
      <c r="A12" s="283" t="str">
        <f>'Результаты аудита'!E12</f>
        <v>T-CODE-SST</v>
      </c>
      <c r="B12" s="265" t="s">
        <v>1058</v>
      </c>
      <c r="C12" s="265"/>
      <c r="D12" s="265" t="s">
        <v>1008</v>
      </c>
      <c r="E12" s="265" t="s">
        <v>981</v>
      </c>
      <c r="F12" s="265" t="s">
        <v>958</v>
      </c>
      <c r="G12" s="265"/>
      <c r="H12" s="265"/>
      <c r="I12" s="265" t="s">
        <v>924</v>
      </c>
    </row>
    <row r="13" spans="1:9" x14ac:dyDescent="0.4">
      <c r="A13" s="283" t="str">
        <f>'Результаты аудита'!E13</f>
        <v>T-CODE-SC</v>
      </c>
      <c r="B13" s="265" t="s">
        <v>1059</v>
      </c>
      <c r="C13" s="265" t="s">
        <v>1033</v>
      </c>
      <c r="D13" s="265" t="s">
        <v>1009</v>
      </c>
      <c r="E13" s="265"/>
      <c r="F13" s="265" t="s">
        <v>959</v>
      </c>
      <c r="G13" s="265"/>
      <c r="H13" s="265" t="s">
        <v>933</v>
      </c>
      <c r="I13" s="265"/>
    </row>
    <row r="14" spans="1:9" x14ac:dyDescent="0.4">
      <c r="A14" s="283" t="str">
        <f>'Результаты аудита'!E14</f>
        <v>T-CODE-IMG</v>
      </c>
      <c r="B14" s="265" t="s">
        <v>1060</v>
      </c>
      <c r="C14" s="265" t="s">
        <v>1034</v>
      </c>
      <c r="D14" s="265" t="s">
        <v>1010</v>
      </c>
      <c r="E14" s="265" t="s">
        <v>982</v>
      </c>
      <c r="F14" s="265" t="s">
        <v>960</v>
      </c>
      <c r="G14" s="265"/>
      <c r="H14" s="265"/>
      <c r="I14" s="265"/>
    </row>
    <row r="15" spans="1:9" x14ac:dyDescent="0.4">
      <c r="A15" s="283" t="str">
        <f>'Результаты аудита'!E15</f>
        <v>T-CODE-SECDN</v>
      </c>
      <c r="B15" s="265" t="s">
        <v>1061</v>
      </c>
      <c r="C15" s="265" t="s">
        <v>1035</v>
      </c>
      <c r="D15" s="265" t="s">
        <v>1011</v>
      </c>
      <c r="E15" s="265" t="s">
        <v>983</v>
      </c>
      <c r="F15" s="265"/>
      <c r="G15" s="265" t="s">
        <v>943</v>
      </c>
      <c r="H15" s="265"/>
      <c r="I15" s="265"/>
    </row>
    <row r="16" spans="1:9" x14ac:dyDescent="0.4">
      <c r="A16" s="283" t="str">
        <f>'Результаты аудита'!E16</f>
        <v>T-CODE-DOCKERFS</v>
      </c>
      <c r="B16" s="265" t="s">
        <v>1062</v>
      </c>
      <c r="C16" s="265" t="s">
        <v>1036</v>
      </c>
      <c r="D16" s="265" t="s">
        <v>1012</v>
      </c>
      <c r="E16" s="265"/>
      <c r="F16" s="265"/>
      <c r="G16" s="265"/>
      <c r="H16" s="265"/>
      <c r="I16" s="265"/>
    </row>
    <row r="17" spans="1:9" x14ac:dyDescent="0.4">
      <c r="A17" s="283" t="str">
        <f>'Результаты аудита'!E17</f>
        <v>T-PREPROD-DAST</v>
      </c>
      <c r="B17" s="265" t="s">
        <v>1063</v>
      </c>
      <c r="C17" s="265"/>
      <c r="D17" s="265"/>
      <c r="E17" s="265" t="s">
        <v>984</v>
      </c>
      <c r="F17" s="265" t="s">
        <v>961</v>
      </c>
      <c r="G17" s="265" t="s">
        <v>934</v>
      </c>
      <c r="H17" s="265" t="s">
        <v>925</v>
      </c>
      <c r="I17" s="284"/>
    </row>
    <row r="18" spans="1:9" ht="33.6" x14ac:dyDescent="0.4">
      <c r="A18" s="283" t="str">
        <f>'Результаты аудита'!E18</f>
        <v>T-PREPROD-PENTEST</v>
      </c>
      <c r="B18" s="265" t="s">
        <v>1064</v>
      </c>
      <c r="C18" s="265" t="s">
        <v>1037</v>
      </c>
      <c r="D18" s="265" t="s">
        <v>1013</v>
      </c>
      <c r="E18" s="265"/>
      <c r="F18" s="265"/>
      <c r="H18" s="265" t="s">
        <v>1090</v>
      </c>
      <c r="I18" s="265"/>
    </row>
    <row r="19" spans="1:9" x14ac:dyDescent="0.4">
      <c r="A19" s="283" t="str">
        <f>'Результаты аудита'!E21</f>
        <v>T-PREPROD-VULN</v>
      </c>
      <c r="B19" s="265" t="s">
        <v>1091</v>
      </c>
      <c r="C19" s="265"/>
      <c r="D19" s="265" t="s">
        <v>1092</v>
      </c>
      <c r="F19" s="265" t="s">
        <v>1093</v>
      </c>
      <c r="G19" s="265" t="s">
        <v>1094</v>
      </c>
      <c r="H19" s="265"/>
      <c r="I19" s="265" t="s">
        <v>1095</v>
      </c>
    </row>
    <row r="20" spans="1:9" ht="33.6" x14ac:dyDescent="0.4">
      <c r="A20" s="283" t="str">
        <f>'Результаты аудита'!E19</f>
        <v>T-PREPROD-SECTEST</v>
      </c>
      <c r="B20" s="265" t="s">
        <v>1065</v>
      </c>
      <c r="C20" s="265" t="s">
        <v>1038</v>
      </c>
      <c r="D20" s="265" t="s">
        <v>1014</v>
      </c>
      <c r="E20" s="265"/>
      <c r="F20" s="265"/>
      <c r="G20" s="265"/>
      <c r="H20" s="265" t="s">
        <v>935</v>
      </c>
      <c r="I20" s="265"/>
    </row>
    <row r="21" spans="1:9" ht="33.6" x14ac:dyDescent="0.4">
      <c r="A21" s="283" t="str">
        <f>'Результаты аудита'!E20</f>
        <v>T-PREPROD-MANSEC</v>
      </c>
      <c r="B21" s="265" t="s">
        <v>1066</v>
      </c>
      <c r="C21" s="265"/>
      <c r="D21" s="265" t="s">
        <v>1015</v>
      </c>
      <c r="E21" s="265" t="s">
        <v>985</v>
      </c>
      <c r="F21" s="265"/>
      <c r="G21" s="265"/>
      <c r="H21" s="265"/>
      <c r="I21" s="265"/>
    </row>
    <row r="22" spans="1:9" x14ac:dyDescent="0.4">
      <c r="A22" s="283" t="str">
        <f>'Результаты аудита'!E22</f>
        <v>T-PROD-SM</v>
      </c>
      <c r="B22" s="265" t="s">
        <v>1067</v>
      </c>
      <c r="C22" s="265" t="s">
        <v>1039</v>
      </c>
      <c r="D22" s="265" t="s">
        <v>1016</v>
      </c>
      <c r="E22" s="265" t="s">
        <v>986</v>
      </c>
      <c r="F22" s="265"/>
      <c r="G22" s="265" t="s">
        <v>944</v>
      </c>
      <c r="H22" s="265"/>
      <c r="I22" s="265"/>
    </row>
    <row r="23" spans="1:9" x14ac:dyDescent="0.4">
      <c r="A23" s="283" t="str">
        <f>'Результаты аудита'!E23</f>
        <v>T-PROD-DAST</v>
      </c>
      <c r="B23" s="265" t="s">
        <v>1096</v>
      </c>
      <c r="C23" s="265"/>
      <c r="D23" s="265"/>
      <c r="E23" s="284"/>
      <c r="F23" s="265" t="s">
        <v>1097</v>
      </c>
      <c r="G23" s="265" t="s">
        <v>1098</v>
      </c>
      <c r="H23" s="265" t="s">
        <v>1099</v>
      </c>
      <c r="I23" s="265" t="s">
        <v>1100</v>
      </c>
    </row>
    <row r="24" spans="1:9" x14ac:dyDescent="0.4">
      <c r="A24" s="283" t="str">
        <f>'Результаты аудита'!E24</f>
        <v>T-PROD-PENTEST</v>
      </c>
      <c r="B24" s="265" t="s">
        <v>1068</v>
      </c>
      <c r="C24" s="265"/>
      <c r="D24" s="265" t="s">
        <v>1017</v>
      </c>
      <c r="E24" s="265" t="s">
        <v>987</v>
      </c>
      <c r="F24" s="265" t="s">
        <v>1101</v>
      </c>
      <c r="G24" s="265"/>
      <c r="I24" s="265" t="s">
        <v>1102</v>
      </c>
    </row>
    <row r="25" spans="1:9" x14ac:dyDescent="0.4">
      <c r="A25" s="283" t="str">
        <f>'Результаты аудита'!E25</f>
        <v>T-PROD-ACCESS</v>
      </c>
      <c r="B25" s="265" t="s">
        <v>1069</v>
      </c>
      <c r="C25" s="265" t="s">
        <v>1040</v>
      </c>
      <c r="D25" s="265"/>
      <c r="E25" s="265" t="s">
        <v>988</v>
      </c>
      <c r="F25" s="265" t="s">
        <v>962</v>
      </c>
      <c r="G25" s="265"/>
      <c r="H25" s="265"/>
      <c r="I25" s="265" t="s">
        <v>926</v>
      </c>
    </row>
    <row r="26" spans="1:9" x14ac:dyDescent="0.4">
      <c r="A26" s="283" t="str">
        <f>'Результаты аудита'!E26</f>
        <v>T-PROD-NETWORK</v>
      </c>
      <c r="B26" s="265" t="s">
        <v>1070</v>
      </c>
      <c r="C26" s="265" t="s">
        <v>1041</v>
      </c>
      <c r="D26" s="265" t="s">
        <v>1018</v>
      </c>
      <c r="E26" s="265" t="s">
        <v>989</v>
      </c>
      <c r="F26" s="265"/>
      <c r="G26" s="265"/>
      <c r="H26" s="265"/>
      <c r="I26" s="265"/>
    </row>
    <row r="27" spans="1:9" x14ac:dyDescent="0.4">
      <c r="A27" s="283" t="str">
        <f>'Результаты аудита'!E27</f>
        <v>T-PROD-RUN</v>
      </c>
      <c r="B27" s="265" t="s">
        <v>1071</v>
      </c>
      <c r="C27" s="265"/>
      <c r="D27" s="265" t="s">
        <v>1103</v>
      </c>
      <c r="E27" s="265" t="s">
        <v>1019</v>
      </c>
      <c r="F27" s="284"/>
      <c r="G27" s="265" t="s">
        <v>963</v>
      </c>
      <c r="H27" s="265"/>
      <c r="I27" s="265"/>
    </row>
    <row r="28" spans="1:9" x14ac:dyDescent="0.4">
      <c r="A28" s="283" t="str">
        <f>'Результаты аудита'!E28</f>
        <v>T-PROD-VULN</v>
      </c>
      <c r="B28" s="265" t="s">
        <v>1072</v>
      </c>
      <c r="C28" s="265" t="s">
        <v>1020</v>
      </c>
      <c r="D28" s="265" t="s">
        <v>990</v>
      </c>
      <c r="E28" s="265" t="s">
        <v>945</v>
      </c>
      <c r="F28" s="265"/>
      <c r="G28" s="265" t="s">
        <v>927</v>
      </c>
      <c r="H28" s="265"/>
      <c r="I28" s="284"/>
    </row>
    <row r="29" spans="1:9" x14ac:dyDescent="0.4">
      <c r="A29" s="283" t="str">
        <f>'Результаты аудита'!E29</f>
        <v>T-PROD-EVENTS</v>
      </c>
      <c r="B29" s="265" t="s">
        <v>1073</v>
      </c>
      <c r="C29" s="265"/>
      <c r="D29" s="265" t="s">
        <v>1021</v>
      </c>
      <c r="E29" s="265" t="s">
        <v>991</v>
      </c>
      <c r="F29" s="265"/>
      <c r="G29" s="265"/>
      <c r="H29" s="265"/>
      <c r="I29" s="265"/>
    </row>
    <row r="30" spans="1:9" x14ac:dyDescent="0.4">
      <c r="A30" s="285" t="str">
        <f>'Результаты аудита'!E30</f>
        <v>P-EDU-AWR</v>
      </c>
      <c r="B30" s="265" t="s">
        <v>1074</v>
      </c>
      <c r="C30" s="265" t="s">
        <v>1042</v>
      </c>
      <c r="D30" s="265"/>
      <c r="E30" s="265" t="s">
        <v>992</v>
      </c>
      <c r="F30" s="265"/>
      <c r="G30" s="265" t="s">
        <v>946</v>
      </c>
      <c r="H30" s="265" t="s">
        <v>936</v>
      </c>
      <c r="I30" s="265"/>
    </row>
    <row r="31" spans="1:9" x14ac:dyDescent="0.4">
      <c r="A31" s="285" t="str">
        <f>'Результаты аудита'!E31</f>
        <v>P-EDU-KB</v>
      </c>
      <c r="B31" s="265" t="s">
        <v>1075</v>
      </c>
      <c r="C31" s="265" t="s">
        <v>1043</v>
      </c>
      <c r="D31" s="265"/>
      <c r="E31" s="265" t="s">
        <v>993</v>
      </c>
      <c r="F31" s="265" t="s">
        <v>964</v>
      </c>
      <c r="G31" s="265" t="s">
        <v>947</v>
      </c>
      <c r="H31" s="265"/>
      <c r="I31" s="265"/>
    </row>
    <row r="32" spans="1:9" x14ac:dyDescent="0.4">
      <c r="A32" s="285" t="str">
        <f>'Результаты аудита'!E32</f>
        <v>P-REQ-TM</v>
      </c>
      <c r="B32" s="265" t="s">
        <v>1076</v>
      </c>
      <c r="C32" s="265"/>
      <c r="D32" s="265" t="s">
        <v>1022</v>
      </c>
      <c r="E32" s="265" t="s">
        <v>994</v>
      </c>
      <c r="F32" s="265" t="s">
        <v>965</v>
      </c>
      <c r="G32" s="265" t="s">
        <v>948</v>
      </c>
      <c r="H32" s="265"/>
      <c r="I32" s="265"/>
    </row>
    <row r="33" spans="1:13" x14ac:dyDescent="0.4">
      <c r="A33" s="285" t="str">
        <f>'Результаты аудита'!E33</f>
        <v>P-REQ-RD</v>
      </c>
      <c r="B33" s="265" t="s">
        <v>1077</v>
      </c>
      <c r="C33" s="265" t="s">
        <v>1044</v>
      </c>
      <c r="D33" s="265" t="s">
        <v>1023</v>
      </c>
      <c r="E33" s="265"/>
      <c r="F33" s="265" t="s">
        <v>966</v>
      </c>
      <c r="G33" s="265"/>
      <c r="H33" s="265" t="s">
        <v>3109</v>
      </c>
      <c r="I33" s="265"/>
    </row>
    <row r="34" spans="1:13" x14ac:dyDescent="0.4">
      <c r="A34" s="285" t="str">
        <f>'Результаты аудита'!E34</f>
        <v>P-REQ-CR</v>
      </c>
      <c r="B34" s="265" t="s">
        <v>1078</v>
      </c>
      <c r="C34" s="265" t="s">
        <v>1045</v>
      </c>
      <c r="D34" s="265" t="s">
        <v>1024</v>
      </c>
      <c r="E34" s="265"/>
      <c r="F34" s="265"/>
      <c r="G34" s="265" t="s">
        <v>949</v>
      </c>
      <c r="H34" s="265" t="s">
        <v>937</v>
      </c>
      <c r="I34" s="265"/>
    </row>
    <row r="35" spans="1:13" x14ac:dyDescent="0.4">
      <c r="A35" s="285" t="str">
        <f>'Результаты аудита'!E35</f>
        <v>P-REQ-STDR-App</v>
      </c>
      <c r="B35" s="265" t="s">
        <v>1079</v>
      </c>
      <c r="C35" s="217"/>
      <c r="D35" s="284"/>
      <c r="E35" s="265" t="s">
        <v>1104</v>
      </c>
      <c r="F35" s="265" t="s">
        <v>1105</v>
      </c>
      <c r="G35" s="265" t="s">
        <v>1106</v>
      </c>
      <c r="H35" s="265" t="s">
        <v>1107</v>
      </c>
      <c r="I35" s="284"/>
    </row>
    <row r="36" spans="1:13" x14ac:dyDescent="0.4">
      <c r="A36" s="285" t="str">
        <f>'Результаты аудита'!E36</f>
        <v>P-REQ-STDR-Infr</v>
      </c>
      <c r="B36" s="265" t="s">
        <v>1080</v>
      </c>
      <c r="C36" s="265" t="s">
        <v>1046</v>
      </c>
      <c r="D36" s="265" t="s">
        <v>1025</v>
      </c>
      <c r="E36" s="265" t="s">
        <v>995</v>
      </c>
      <c r="F36" s="265"/>
      <c r="G36" s="265" t="s">
        <v>950</v>
      </c>
      <c r="H36" s="265"/>
      <c r="I36" s="265"/>
    </row>
    <row r="37" spans="1:13" x14ac:dyDescent="0.4">
      <c r="A37" s="285" t="str">
        <f>'Результаты аудита'!E37</f>
        <v>P-DEFECT-MNG</v>
      </c>
      <c r="B37" s="265" t="s">
        <v>1081</v>
      </c>
      <c r="C37" s="265" t="s">
        <v>1026</v>
      </c>
      <c r="D37" s="265" t="s">
        <v>996</v>
      </c>
      <c r="E37" s="265" t="s">
        <v>967</v>
      </c>
      <c r="F37" s="284"/>
      <c r="G37" s="265"/>
      <c r="H37" s="265"/>
      <c r="I37" s="265" t="s">
        <v>928</v>
      </c>
      <c r="M37" s="286"/>
    </row>
    <row r="38" spans="1:13" x14ac:dyDescent="0.4">
      <c r="A38" s="285" t="str">
        <f>'Результаты аудита'!E38</f>
        <v>P-DEFECT-CNS</v>
      </c>
      <c r="B38" s="265" t="s">
        <v>1082</v>
      </c>
      <c r="C38" s="265"/>
      <c r="D38" s="265"/>
      <c r="E38" s="265" t="s">
        <v>997</v>
      </c>
      <c r="F38" s="265" t="s">
        <v>968</v>
      </c>
      <c r="G38" s="265" t="s">
        <v>951</v>
      </c>
      <c r="H38" s="265" t="s">
        <v>938</v>
      </c>
      <c r="I38" s="265"/>
      <c r="M38" s="286"/>
    </row>
    <row r="39" spans="1:13" x14ac:dyDescent="0.4">
      <c r="A39" s="285" t="str">
        <f>'Результаты аудита'!E39</f>
        <v>P-MET-SET</v>
      </c>
      <c r="B39" s="265" t="s">
        <v>1083</v>
      </c>
      <c r="C39" s="265"/>
      <c r="D39" s="265"/>
      <c r="E39" s="265" t="s">
        <v>998</v>
      </c>
      <c r="F39" s="265" t="s">
        <v>969</v>
      </c>
      <c r="G39" s="265"/>
      <c r="H39" s="265"/>
      <c r="I39" s="265"/>
      <c r="M39" s="286"/>
    </row>
    <row r="40" spans="1:13" x14ac:dyDescent="0.4">
      <c r="A40" s="285" t="str">
        <f>'Результаты аудита'!E40</f>
        <v>P-MET-EX</v>
      </c>
      <c r="B40" s="265" t="s">
        <v>1084</v>
      </c>
      <c r="C40" s="265"/>
      <c r="D40" s="265"/>
      <c r="E40" s="265" t="s">
        <v>999</v>
      </c>
      <c r="F40" s="265" t="s">
        <v>970</v>
      </c>
      <c r="G40" s="265"/>
      <c r="H40" s="265" t="s">
        <v>939</v>
      </c>
      <c r="I40" s="265"/>
      <c r="M40" s="286"/>
    </row>
    <row r="41" spans="1:13" x14ac:dyDescent="0.4">
      <c r="A41" s="285" t="str">
        <f>'Результаты аудита'!E41</f>
        <v>P-ROLE-SC</v>
      </c>
      <c r="B41" s="265" t="s">
        <v>1085</v>
      </c>
      <c r="C41" s="265" t="s">
        <v>1047</v>
      </c>
      <c r="D41" s="265"/>
      <c r="E41" s="265" t="s">
        <v>1000</v>
      </c>
      <c r="F41" s="265" t="s">
        <v>971</v>
      </c>
      <c r="G41" s="265"/>
      <c r="H41" s="265"/>
      <c r="I41" s="265" t="s">
        <v>929</v>
      </c>
      <c r="M41" s="286"/>
    </row>
    <row r="42" spans="1:13" x14ac:dyDescent="0.4">
      <c r="A42" s="285" t="str">
        <f>'Результаты аудита'!E42</f>
        <v>P-ROLE-RESP</v>
      </c>
      <c r="B42" s="265" t="s">
        <v>1086</v>
      </c>
      <c r="C42" s="265" t="s">
        <v>1048</v>
      </c>
      <c r="D42" s="265"/>
      <c r="E42" s="265" t="s">
        <v>1001</v>
      </c>
      <c r="F42" s="265" t="s">
        <v>972</v>
      </c>
      <c r="G42" s="265"/>
      <c r="H42" s="265"/>
      <c r="I42" s="265"/>
      <c r="M42" s="286"/>
    </row>
    <row r="43" spans="1:13" ht="17.399999999999999" thickBot="1" x14ac:dyDescent="0.45"/>
    <row r="44" spans="1:13" ht="25.2" thickBot="1" x14ac:dyDescent="0.45">
      <c r="A44" s="387" t="s">
        <v>3120</v>
      </c>
      <c r="B44" s="388"/>
      <c r="C44" s="388"/>
      <c r="D44" s="388"/>
      <c r="E44" s="388"/>
      <c r="F44" s="388"/>
      <c r="G44" s="388"/>
      <c r="H44" s="388"/>
      <c r="I44" s="389"/>
    </row>
    <row r="45" spans="1:13" x14ac:dyDescent="0.4">
      <c r="A45" s="265"/>
      <c r="B45" s="271" t="s">
        <v>1049</v>
      </c>
      <c r="C45" s="277" t="s">
        <v>1027</v>
      </c>
      <c r="D45" s="103" t="s">
        <v>1002</v>
      </c>
      <c r="E45" s="278" t="s">
        <v>973</v>
      </c>
      <c r="F45" s="279" t="s">
        <v>952</v>
      </c>
      <c r="G45" s="280" t="s">
        <v>940</v>
      </c>
      <c r="H45" s="281" t="s">
        <v>1359</v>
      </c>
      <c r="I45" s="282" t="s">
        <v>923</v>
      </c>
    </row>
    <row r="46" spans="1:13" x14ac:dyDescent="0.4">
      <c r="A46" s="283" t="str">
        <f>'Результаты аудита'!E3</f>
        <v>T-ADI-DEP</v>
      </c>
      <c r="B46" s="287">
        <f>Практики!H3</f>
        <v>0</v>
      </c>
      <c r="C46" s="265"/>
      <c r="D46" s="287">
        <f>Практики!H4</f>
        <v>0</v>
      </c>
      <c r="E46" s="287">
        <f>Практики!H9</f>
        <v>0</v>
      </c>
      <c r="F46" s="287">
        <f>Практики!H11</f>
        <v>0</v>
      </c>
      <c r="G46" s="265"/>
      <c r="H46" s="287">
        <f>Практики!H14</f>
        <v>0</v>
      </c>
      <c r="I46" s="265"/>
    </row>
    <row r="47" spans="1:13" x14ac:dyDescent="0.4">
      <c r="A47" s="283" t="str">
        <f>'Результаты аудита'!E4</f>
        <v>T-ADI-ART</v>
      </c>
      <c r="B47" s="287">
        <f>Практики!H16</f>
        <v>0</v>
      </c>
      <c r="C47" s="287">
        <f>Практики!H17</f>
        <v>0</v>
      </c>
      <c r="D47" s="265"/>
      <c r="E47" s="287">
        <f>Практики!H22</f>
        <v>0</v>
      </c>
      <c r="F47" s="287">
        <f>Практики!H24</f>
        <v>0</v>
      </c>
      <c r="G47" s="287">
        <f>Практики!H26</f>
        <v>0</v>
      </c>
      <c r="H47" s="265"/>
      <c r="I47" s="265"/>
    </row>
    <row r="48" spans="1:13" x14ac:dyDescent="0.4">
      <c r="A48" s="283" t="str">
        <f>'Результаты аудита'!E5</f>
        <v>T-DEV-COMP</v>
      </c>
      <c r="B48" s="287">
        <f>Практики!H32</f>
        <v>0</v>
      </c>
      <c r="C48" s="287">
        <f>Практики!H33</f>
        <v>0</v>
      </c>
      <c r="D48" s="265"/>
      <c r="E48" s="287">
        <f>Практики!H35</f>
        <v>0</v>
      </c>
      <c r="F48" s="265"/>
      <c r="G48" s="265"/>
      <c r="H48" s="265"/>
      <c r="I48" s="265"/>
    </row>
    <row r="49" spans="1:9" x14ac:dyDescent="0.4">
      <c r="A49" s="283" t="str">
        <f>'Результаты аудита'!E6</f>
        <v>T-DEV-SM</v>
      </c>
      <c r="B49" s="287">
        <f>Практики!H36</f>
        <v>0</v>
      </c>
      <c r="C49" s="287">
        <f>Практики!H37</f>
        <v>0</v>
      </c>
      <c r="D49" s="287">
        <f>Практики!H39</f>
        <v>0</v>
      </c>
      <c r="E49" s="287">
        <f>Практики!H41</f>
        <v>0</v>
      </c>
      <c r="F49" s="265"/>
      <c r="G49" s="265"/>
      <c r="H49" s="287">
        <f>Практики!H43</f>
        <v>0</v>
      </c>
      <c r="I49" s="265"/>
    </row>
    <row r="50" spans="1:9" x14ac:dyDescent="0.4">
      <c r="A50" s="283" t="str">
        <f>'Результаты аудита'!E7</f>
        <v>T-DEV-BLD</v>
      </c>
      <c r="B50" s="287">
        <f>Практики!H44</f>
        <v>0</v>
      </c>
      <c r="C50" s="265"/>
      <c r="D50" s="287">
        <f>Практики!H45</f>
        <v>0</v>
      </c>
      <c r="E50" s="287">
        <f>Практики!H49</f>
        <v>0</v>
      </c>
      <c r="F50" s="265"/>
      <c r="G50" s="287">
        <f>Практики!H50</f>
        <v>0</v>
      </c>
      <c r="H50" s="287">
        <f>Практики!H53</f>
        <v>0</v>
      </c>
      <c r="I50" s="265"/>
    </row>
    <row r="51" spans="1:9" x14ac:dyDescent="0.4">
      <c r="A51" s="283" t="str">
        <f>'Результаты аудита'!E8</f>
        <v>T-DEV-SCM</v>
      </c>
      <c r="B51" s="287">
        <f>Практики!H54</f>
        <v>0</v>
      </c>
      <c r="C51" s="265"/>
      <c r="D51" s="287">
        <f>Практики!H55</f>
        <v>0</v>
      </c>
      <c r="E51" s="287">
        <f>Практики!H62</f>
        <v>0</v>
      </c>
      <c r="F51" s="287">
        <f>Практики!H68</f>
        <v>0</v>
      </c>
      <c r="G51" s="265"/>
      <c r="H51" s="287">
        <f>Практики!H72</f>
        <v>0</v>
      </c>
      <c r="I51" s="265"/>
    </row>
    <row r="52" spans="1:9" x14ac:dyDescent="0.4">
      <c r="A52" s="283" t="str">
        <f>'Результаты аудита'!E9</f>
        <v>T-DEV-SRC</v>
      </c>
      <c r="B52" s="287">
        <f>Практики!H75</f>
        <v>0</v>
      </c>
      <c r="C52" s="287">
        <f>Практики!H76</f>
        <v>0</v>
      </c>
      <c r="D52" s="265"/>
      <c r="E52" s="287">
        <f>Практики!H81</f>
        <v>0</v>
      </c>
      <c r="F52" s="287">
        <f>Практики!H87</f>
        <v>0</v>
      </c>
      <c r="G52" s="265"/>
      <c r="H52" s="287">
        <f>Практики!H93</f>
        <v>0</v>
      </c>
      <c r="I52" s="265"/>
    </row>
    <row r="53" spans="1:9" x14ac:dyDescent="0.4">
      <c r="A53" s="283" t="str">
        <f>'Результаты аудита'!E10</f>
        <v>T-DEV-CICD</v>
      </c>
      <c r="B53" s="287">
        <f>Практики!H94</f>
        <v>0</v>
      </c>
      <c r="C53" s="287">
        <f>Практики!H95</f>
        <v>0</v>
      </c>
      <c r="D53" s="265"/>
      <c r="E53" s="287">
        <f>Практики!H100</f>
        <v>0</v>
      </c>
      <c r="F53" s="287">
        <f>Практики!H102</f>
        <v>0</v>
      </c>
      <c r="G53" s="287">
        <f>Практики!H103</f>
        <v>0</v>
      </c>
      <c r="H53" s="265"/>
      <c r="I53" s="265"/>
    </row>
    <row r="54" spans="1:9" x14ac:dyDescent="0.4">
      <c r="A54" s="283" t="str">
        <f>'Результаты аудита'!E11</f>
        <v>T-CODE-SPC</v>
      </c>
      <c r="B54" s="287">
        <f>Практики!H106</f>
        <v>0</v>
      </c>
      <c r="C54" s="265"/>
      <c r="D54" s="287">
        <f>Практики!H107</f>
        <v>0</v>
      </c>
      <c r="E54" s="265"/>
      <c r="F54" s="287">
        <f>Практики!H109</f>
        <v>0</v>
      </c>
      <c r="G54" s="287">
        <f>Практики!H113</f>
        <v>0</v>
      </c>
      <c r="H54" s="265"/>
      <c r="I54" s="287">
        <f>Практики!H118</f>
        <v>0</v>
      </c>
    </row>
    <row r="55" spans="1:9" x14ac:dyDescent="0.4">
      <c r="A55" s="283" t="str">
        <f>'Результаты аудита'!E12</f>
        <v>T-CODE-SST</v>
      </c>
      <c r="B55" s="287">
        <f>Практики!H119</f>
        <v>0</v>
      </c>
      <c r="C55" s="265"/>
      <c r="D55" s="287">
        <f>Практики!H120</f>
        <v>0</v>
      </c>
      <c r="E55" s="287">
        <f>Практики!H122</f>
        <v>0</v>
      </c>
      <c r="F55" s="287">
        <f>Практики!H126</f>
        <v>0</v>
      </c>
      <c r="G55" s="265"/>
      <c r="H55" s="265"/>
      <c r="I55" s="287">
        <f>Практики!H129</f>
        <v>0</v>
      </c>
    </row>
    <row r="56" spans="1:9" x14ac:dyDescent="0.4">
      <c r="A56" s="283" t="str">
        <f>'Результаты аудита'!E13</f>
        <v>T-CODE-SC</v>
      </c>
      <c r="B56" s="287">
        <f>Практики!H130</f>
        <v>0</v>
      </c>
      <c r="C56" s="287">
        <f>Практики!H131</f>
        <v>0</v>
      </c>
      <c r="D56" s="287">
        <f>Практики!H134</f>
        <v>0</v>
      </c>
      <c r="E56" s="265"/>
      <c r="F56" s="287">
        <f>Практики!H139</f>
        <v>0</v>
      </c>
      <c r="G56" s="265"/>
      <c r="H56" s="287">
        <f>Практики!H143</f>
        <v>0</v>
      </c>
      <c r="I56" s="265"/>
    </row>
    <row r="57" spans="1:9" x14ac:dyDescent="0.4">
      <c r="A57" s="283" t="str">
        <f>'Результаты аудита'!E14</f>
        <v>T-CODE-IMG</v>
      </c>
      <c r="B57" s="287">
        <f>Практики!H144</f>
        <v>0</v>
      </c>
      <c r="C57" s="287">
        <f>Практики!H145</f>
        <v>0</v>
      </c>
      <c r="D57" s="287">
        <f>Практики!H148</f>
        <v>0</v>
      </c>
      <c r="E57" s="287">
        <f>Практики!H151</f>
        <v>0</v>
      </c>
      <c r="F57" s="287" cm="1">
        <f t="array" ref="F57:F58">Практики!H152:H153</f>
        <v>0</v>
      </c>
      <c r="G57" s="265"/>
      <c r="H57" s="265"/>
      <c r="I57" s="265"/>
    </row>
    <row r="58" spans="1:9" x14ac:dyDescent="0.4">
      <c r="A58" s="283" t="str">
        <f>'Результаты аудита'!E15</f>
        <v>T-CODE-SECDN</v>
      </c>
      <c r="B58" s="287">
        <f>Практики!H154</f>
        <v>0</v>
      </c>
      <c r="C58" s="287">
        <f>Практики!H155</f>
        <v>0</v>
      </c>
      <c r="D58" s="287">
        <f>Практики!H159</f>
        <v>0</v>
      </c>
      <c r="E58" s="287">
        <f>Практики!H162</f>
        <v>0</v>
      </c>
      <c r="F58" s="265">
        <v>0</v>
      </c>
      <c r="G58" s="287">
        <f>Практики!H165</f>
        <v>0</v>
      </c>
      <c r="H58" s="265"/>
      <c r="I58" s="265"/>
    </row>
    <row r="59" spans="1:9" x14ac:dyDescent="0.4">
      <c r="A59" s="283" t="str">
        <f>'Результаты аудита'!E16</f>
        <v>T-CODE-DOCKERFS</v>
      </c>
      <c r="B59" s="287">
        <f>Практики!H166</f>
        <v>0</v>
      </c>
      <c r="C59" s="287">
        <f>Практики!H167</f>
        <v>0</v>
      </c>
      <c r="D59" s="287">
        <f>Практики!H169</f>
        <v>0</v>
      </c>
      <c r="E59" s="265"/>
      <c r="F59" s="265"/>
      <c r="G59" s="265"/>
      <c r="H59" s="265"/>
      <c r="I59" s="265"/>
    </row>
    <row r="60" spans="1:9" x14ac:dyDescent="0.4">
      <c r="A60" s="283" t="str">
        <f>'Результаты аудита'!E17</f>
        <v>T-PREPROD-DAST</v>
      </c>
      <c r="B60" s="287">
        <f>Практики!H172</f>
        <v>0</v>
      </c>
      <c r="C60" s="265"/>
      <c r="D60" s="265"/>
      <c r="E60" s="287">
        <f>Практики!H173</f>
        <v>0</v>
      </c>
      <c r="F60" s="287">
        <f>Практики!H175</f>
        <v>0</v>
      </c>
      <c r="G60" s="287">
        <f>Практики!H179</f>
        <v>0</v>
      </c>
      <c r="H60" s="287">
        <f>Практики!H183</f>
        <v>0</v>
      </c>
      <c r="I60" s="284"/>
    </row>
    <row r="61" spans="1:9" x14ac:dyDescent="0.4">
      <c r="A61" s="283" t="str">
        <f>'Результаты аудита'!E18</f>
        <v>T-PREPROD-PENTEST</v>
      </c>
      <c r="B61" s="287">
        <f>Практики!H186</f>
        <v>0</v>
      </c>
      <c r="C61" s="287">
        <f>Практики!H187</f>
        <v>0</v>
      </c>
      <c r="D61" s="287">
        <f>Практики!H190</f>
        <v>0</v>
      </c>
      <c r="E61" s="265"/>
      <c r="F61" s="265"/>
      <c r="H61" s="287">
        <f>Практики!H191</f>
        <v>0</v>
      </c>
      <c r="I61" s="265"/>
    </row>
    <row r="62" spans="1:9" x14ac:dyDescent="0.4">
      <c r="A62" s="283" t="str">
        <f>'Результаты аудита'!E19</f>
        <v>T-PREPROD-SECTEST</v>
      </c>
      <c r="B62" s="287">
        <f>Практики!H192</f>
        <v>0</v>
      </c>
      <c r="C62" s="265"/>
      <c r="D62" s="287">
        <f>Практики!H198</f>
        <v>0</v>
      </c>
      <c r="F62" s="287">
        <f>Практики!H200</f>
        <v>0</v>
      </c>
      <c r="G62" s="287">
        <f>Практики!H203</f>
        <v>0</v>
      </c>
      <c r="H62" s="265"/>
      <c r="I62" s="287">
        <f>Практики!H207</f>
        <v>0</v>
      </c>
    </row>
    <row r="63" spans="1:9" ht="33.6" x14ac:dyDescent="0.4">
      <c r="A63" s="283" t="str">
        <f>'Результаты аудита'!E20</f>
        <v>T-PREPROD-MANSEC</v>
      </c>
      <c r="B63" s="287">
        <f>Практики!H209</f>
        <v>0</v>
      </c>
      <c r="C63" s="287">
        <f>Практики!H193</f>
        <v>0</v>
      </c>
      <c r="D63" s="287">
        <f>Практики!H194</f>
        <v>0</v>
      </c>
      <c r="E63" s="265"/>
      <c r="F63" s="265"/>
      <c r="G63" s="265"/>
      <c r="H63" s="287">
        <f>Практики!H196</f>
        <v>0</v>
      </c>
      <c r="I63" s="265"/>
    </row>
    <row r="64" spans="1:9" x14ac:dyDescent="0.4">
      <c r="A64" s="283" t="str">
        <f>'Результаты аудита'!E21</f>
        <v>T-PREPROD-VULN</v>
      </c>
      <c r="B64" s="287">
        <f>Практики!H197</f>
        <v>0</v>
      </c>
      <c r="C64" s="265"/>
      <c r="D64" s="287">
        <f>Практики!H210</f>
        <v>0</v>
      </c>
      <c r="E64" s="287">
        <f>Практики!H211</f>
        <v>0</v>
      </c>
      <c r="F64" s="265"/>
      <c r="G64" s="265"/>
      <c r="H64" s="265"/>
      <c r="I64" s="265"/>
    </row>
    <row r="65" spans="1:13" x14ac:dyDescent="0.4">
      <c r="A65" s="283" t="str">
        <f>'Результаты аудита'!E22</f>
        <v>T-PROD-SM</v>
      </c>
      <c r="B65" s="287">
        <f>Практики!H214</f>
        <v>0</v>
      </c>
      <c r="C65" s="287">
        <f>Практики!H215</f>
        <v>0</v>
      </c>
      <c r="D65" s="287">
        <f>Практики!H217</f>
        <v>0</v>
      </c>
      <c r="E65" s="287">
        <f>Практики!H219</f>
        <v>0</v>
      </c>
      <c r="F65" s="265"/>
      <c r="G65" s="287">
        <f>Практики!H222</f>
        <v>0</v>
      </c>
      <c r="H65" s="265"/>
      <c r="I65" s="265"/>
    </row>
    <row r="66" spans="1:13" x14ac:dyDescent="0.4">
      <c r="A66" s="283" t="str">
        <f>'Результаты аудита'!E23</f>
        <v>T-PROD-DAST</v>
      </c>
      <c r="B66" s="287">
        <f>Практики!H233</f>
        <v>0</v>
      </c>
      <c r="C66" s="265"/>
      <c r="D66" s="265"/>
      <c r="E66" s="284"/>
      <c r="F66" s="287">
        <f>Практики!H234</f>
        <v>0</v>
      </c>
      <c r="G66" s="287">
        <f>Практики!H237</f>
        <v>0</v>
      </c>
      <c r="H66" s="287">
        <f>Практики!H241</f>
        <v>0</v>
      </c>
      <c r="I66" s="287">
        <f>Практики!H245</f>
        <v>0</v>
      </c>
    </row>
    <row r="67" spans="1:13" x14ac:dyDescent="0.4">
      <c r="A67" s="283" t="str">
        <f>'Результаты аудита'!E24</f>
        <v>T-PROD-PENTEST</v>
      </c>
      <c r="B67" s="287">
        <f>Практики!H225</f>
        <v>0</v>
      </c>
      <c r="C67" s="265"/>
      <c r="D67" s="287">
        <f>Практики!H226</f>
        <v>0</v>
      </c>
      <c r="E67" s="287">
        <f>Практики!H229</f>
        <v>0</v>
      </c>
      <c r="F67" s="287">
        <f>Практики!H230</f>
        <v>0</v>
      </c>
      <c r="G67" s="265"/>
      <c r="I67" s="287">
        <f>Практики!H231</f>
        <v>0</v>
      </c>
    </row>
    <row r="68" spans="1:13" x14ac:dyDescent="0.4">
      <c r="A68" s="283" t="str">
        <f>'Результаты аудита'!E25</f>
        <v>T-PROD-ACCESS</v>
      </c>
      <c r="B68" s="287">
        <f>Практики!H248</f>
        <v>0</v>
      </c>
      <c r="C68" s="287">
        <f>Практики!H249</f>
        <v>0</v>
      </c>
      <c r="D68" s="265"/>
      <c r="E68" s="287">
        <f>Практики!H254</f>
        <v>0</v>
      </c>
      <c r="F68" s="287">
        <f>Практики!H256</f>
        <v>0</v>
      </c>
      <c r="G68" s="265"/>
      <c r="H68" s="265"/>
      <c r="I68" s="287">
        <f>Практики!H257</f>
        <v>0</v>
      </c>
    </row>
    <row r="69" spans="1:13" x14ac:dyDescent="0.4">
      <c r="A69" s="283" t="str">
        <f>'Результаты аудита'!E26</f>
        <v>T-PROD-NETWORK</v>
      </c>
      <c r="B69" s="287">
        <f>Практики!H258</f>
        <v>0</v>
      </c>
      <c r="C69" s="287">
        <f>Практики!H259</f>
        <v>0</v>
      </c>
      <c r="D69" s="287">
        <f>Практики!H261</f>
        <v>0</v>
      </c>
      <c r="E69" s="287">
        <f>Практики!H263</f>
        <v>0</v>
      </c>
      <c r="F69" s="265"/>
      <c r="G69" s="265"/>
      <c r="H69" s="265"/>
      <c r="I69" s="265"/>
    </row>
    <row r="70" spans="1:13" x14ac:dyDescent="0.4">
      <c r="A70" s="283" t="str">
        <f>'Результаты аудита'!E27</f>
        <v>T-PROD-RUN</v>
      </c>
      <c r="B70" s="287">
        <f>Практики!H264</f>
        <v>0</v>
      </c>
      <c r="C70" s="265"/>
      <c r="D70" s="287">
        <f>Практики!H265</f>
        <v>0</v>
      </c>
      <c r="E70" s="287">
        <f>Практики!H266</f>
        <v>0</v>
      </c>
      <c r="F70" s="284"/>
      <c r="G70" s="287">
        <f>Практики!H267</f>
        <v>0</v>
      </c>
      <c r="H70" s="265"/>
      <c r="I70" s="265"/>
    </row>
    <row r="71" spans="1:13" x14ac:dyDescent="0.4">
      <c r="A71" s="283" t="str">
        <f>'Результаты аудита'!E28</f>
        <v>T-PROD-VULN</v>
      </c>
      <c r="B71" s="287">
        <f>Практики!H268</f>
        <v>0</v>
      </c>
      <c r="C71" s="287">
        <f>Практики!H269</f>
        <v>0</v>
      </c>
      <c r="D71" s="287">
        <f>Практики!H271</f>
        <v>0</v>
      </c>
      <c r="E71" s="287">
        <f>Практики!H274</f>
        <v>0</v>
      </c>
      <c r="F71" s="265"/>
      <c r="G71" s="287">
        <f>Практики!H278</f>
        <v>0</v>
      </c>
      <c r="H71" s="265"/>
      <c r="I71" s="284"/>
    </row>
    <row r="72" spans="1:13" x14ac:dyDescent="0.4">
      <c r="A72" s="283" t="str">
        <f>'Результаты аудита'!E29</f>
        <v>T-PROD-EVENTS</v>
      </c>
      <c r="B72" s="287">
        <f>Практики!H280</f>
        <v>0</v>
      </c>
      <c r="C72" s="265"/>
      <c r="D72" s="287">
        <f>Практики!H281</f>
        <v>0</v>
      </c>
      <c r="E72" s="287">
        <f>Практики!H282</f>
        <v>0</v>
      </c>
      <c r="F72" s="265"/>
      <c r="G72" s="265"/>
      <c r="H72" s="265"/>
      <c r="I72" s="265"/>
    </row>
    <row r="73" spans="1:13" x14ac:dyDescent="0.4">
      <c r="A73" s="285" t="str">
        <f>'Результаты аудита'!E30</f>
        <v>P-EDU-AWR</v>
      </c>
      <c r="B73" s="287">
        <f>Практики!H285</f>
        <v>0</v>
      </c>
      <c r="C73" s="287">
        <f>Практики!H286</f>
        <v>0</v>
      </c>
      <c r="D73" s="265"/>
      <c r="E73" s="287">
        <f>Практики!H288</f>
        <v>0</v>
      </c>
      <c r="F73" s="265"/>
      <c r="G73" s="287">
        <f>Практики!H292</f>
        <v>0</v>
      </c>
      <c r="H73" s="287">
        <f>Практики!H294</f>
        <v>0</v>
      </c>
      <c r="I73" s="265"/>
    </row>
    <row r="74" spans="1:13" x14ac:dyDescent="0.4">
      <c r="A74" s="285" t="str">
        <f>'Результаты аудита'!E31</f>
        <v>P-EDU-KB</v>
      </c>
      <c r="B74" s="287">
        <f>Практики!H295</f>
        <v>0</v>
      </c>
      <c r="C74" s="287">
        <f>Практики!H296</f>
        <v>0</v>
      </c>
      <c r="D74" s="265"/>
      <c r="E74" s="287">
        <f>Практики!H297</f>
        <v>0</v>
      </c>
      <c r="F74" s="287">
        <f>Практики!H299</f>
        <v>0</v>
      </c>
      <c r="G74" s="287">
        <f>Практики!H302</f>
        <v>0</v>
      </c>
      <c r="H74" s="265"/>
      <c r="I74" s="265"/>
    </row>
    <row r="75" spans="1:13" x14ac:dyDescent="0.4">
      <c r="A75" s="285" t="str">
        <f>'Результаты аудита'!E32</f>
        <v>P-REQ-TM</v>
      </c>
      <c r="B75" s="287">
        <f>Практики!H306</f>
        <v>0</v>
      </c>
      <c r="C75" s="265"/>
      <c r="D75" s="287">
        <f>Практики!H307</f>
        <v>0</v>
      </c>
      <c r="E75" s="287">
        <f>Практики!H310</f>
        <v>0</v>
      </c>
      <c r="F75" s="287">
        <f>Практики!H313</f>
        <v>0</v>
      </c>
      <c r="G75" s="287">
        <f>Практики!H316</f>
        <v>0</v>
      </c>
      <c r="H75" s="265"/>
      <c r="I75" s="265"/>
    </row>
    <row r="76" spans="1:13" x14ac:dyDescent="0.4">
      <c r="A76" s="285" t="str">
        <f>'Результаты аудита'!E33</f>
        <v>P-REQ-RD</v>
      </c>
      <c r="B76" s="287">
        <f>Практики!H317</f>
        <v>0</v>
      </c>
      <c r="C76" s="287">
        <f>Практики!H318</f>
        <v>0</v>
      </c>
      <c r="D76" s="287">
        <f>Практики!H320</f>
        <v>0</v>
      </c>
      <c r="E76" s="265"/>
      <c r="F76" s="287">
        <f>Практики!H323</f>
        <v>0</v>
      </c>
      <c r="G76" s="265"/>
      <c r="H76" s="287">
        <f>Практики!H326</f>
        <v>0</v>
      </c>
      <c r="I76" s="265"/>
    </row>
    <row r="77" spans="1:13" x14ac:dyDescent="0.4">
      <c r="A77" s="285" t="str">
        <f>'Результаты аудита'!E34</f>
        <v>P-REQ-CR</v>
      </c>
      <c r="B77" s="287">
        <f>Практики!H327</f>
        <v>0</v>
      </c>
      <c r="C77" s="287">
        <f>Практики!H328</f>
        <v>0</v>
      </c>
      <c r="D77" s="287">
        <f>Практики!H329</f>
        <v>0</v>
      </c>
      <c r="E77" s="265"/>
      <c r="F77" s="265"/>
      <c r="G77" s="287">
        <f>Практики!H330</f>
        <v>0</v>
      </c>
      <c r="H77" s="287">
        <f>Практики!H331</f>
        <v>0</v>
      </c>
      <c r="I77" s="265"/>
    </row>
    <row r="78" spans="1:13" x14ac:dyDescent="0.4">
      <c r="A78" s="285" t="str">
        <f>'Результаты аудита'!E35</f>
        <v>P-REQ-STDR-App</v>
      </c>
      <c r="B78" s="287">
        <f>Практики!H332</f>
        <v>0</v>
      </c>
      <c r="C78" s="217"/>
      <c r="D78" s="284"/>
      <c r="E78" s="287">
        <f>Практики!H333</f>
        <v>0</v>
      </c>
      <c r="F78" s="287">
        <f>Практики!H335</f>
        <v>0</v>
      </c>
      <c r="G78" s="287">
        <f>Практики!H336</f>
        <v>0</v>
      </c>
      <c r="H78" s="287">
        <f>Практики!H338</f>
        <v>0</v>
      </c>
      <c r="I78" s="284"/>
    </row>
    <row r="79" spans="1:13" x14ac:dyDescent="0.4">
      <c r="A79" s="285" t="str">
        <f>'Результаты аудита'!E36</f>
        <v>P-REQ-STDR-Infr</v>
      </c>
      <c r="B79" s="287">
        <f>Практики!H339</f>
        <v>0</v>
      </c>
      <c r="C79" s="287">
        <f>Практики!H340</f>
        <v>0</v>
      </c>
      <c r="D79" s="287">
        <f>Практики!H342</f>
        <v>0</v>
      </c>
      <c r="E79" s="287">
        <f>Практики!H344</f>
        <v>0</v>
      </c>
      <c r="F79" s="265"/>
      <c r="G79" s="287">
        <f>Практики!H347</f>
        <v>0</v>
      </c>
      <c r="H79" s="265"/>
      <c r="I79" s="265"/>
    </row>
    <row r="80" spans="1:13" x14ac:dyDescent="0.4">
      <c r="A80" s="285" t="str">
        <f>'Результаты аудита'!E37</f>
        <v>P-DEFECT-MNG</v>
      </c>
      <c r="B80" s="287">
        <f>Практики!H350</f>
        <v>0</v>
      </c>
      <c r="C80" s="287">
        <f>Практики!H351</f>
        <v>0</v>
      </c>
      <c r="D80" s="287">
        <f>Практики!H352</f>
        <v>0</v>
      </c>
      <c r="E80" s="287">
        <f>Практики!H354</f>
        <v>0</v>
      </c>
      <c r="F80" s="284"/>
      <c r="G80" s="265"/>
      <c r="H80" s="265"/>
      <c r="I80" s="287">
        <f>Практики!H357</f>
        <v>0</v>
      </c>
      <c r="M80" s="286"/>
    </row>
    <row r="81" spans="1:13" x14ac:dyDescent="0.4">
      <c r="A81" s="285" t="str">
        <f>'Результаты аудита'!E38</f>
        <v>P-DEFECT-CNS</v>
      </c>
      <c r="B81" s="287">
        <f>Практики!H358</f>
        <v>0</v>
      </c>
      <c r="C81" s="265"/>
      <c r="D81" s="265"/>
      <c r="E81" s="287">
        <f>Практики!H359</f>
        <v>0</v>
      </c>
      <c r="F81" s="287">
        <f>Практики!H361</f>
        <v>0</v>
      </c>
      <c r="G81" s="287">
        <f>Практики!H362</f>
        <v>0</v>
      </c>
      <c r="H81" s="287">
        <f>Практики!H365</f>
        <v>0</v>
      </c>
      <c r="I81" s="265"/>
      <c r="M81" s="286"/>
    </row>
    <row r="82" spans="1:13" x14ac:dyDescent="0.4">
      <c r="A82" s="285" t="str">
        <f>'Результаты аудита'!E39</f>
        <v>P-MET-SET</v>
      </c>
      <c r="B82" s="287">
        <f>Практики!H368</f>
        <v>0</v>
      </c>
      <c r="C82" s="265"/>
      <c r="D82" s="265"/>
      <c r="E82" s="287">
        <f>Практики!H369</f>
        <v>0</v>
      </c>
      <c r="F82" s="287">
        <f>Практики!H371</f>
        <v>0</v>
      </c>
      <c r="G82" s="265"/>
      <c r="H82" s="265"/>
      <c r="I82" s="265"/>
      <c r="M82" s="286"/>
    </row>
    <row r="83" spans="1:13" x14ac:dyDescent="0.4">
      <c r="A83" s="285" t="str">
        <f>'Результаты аудита'!E40</f>
        <v>P-MET-EX</v>
      </c>
      <c r="B83" s="287">
        <f>Практики!H373</f>
        <v>0</v>
      </c>
      <c r="C83" s="265"/>
      <c r="D83" s="265"/>
      <c r="E83" s="287">
        <f>Практики!H374</f>
        <v>0</v>
      </c>
      <c r="F83" s="287">
        <f>Практики!H376</f>
        <v>0</v>
      </c>
      <c r="G83" s="265"/>
      <c r="H83" s="287">
        <f>Практики!H379</f>
        <v>0</v>
      </c>
      <c r="I83" s="265"/>
      <c r="M83" s="286"/>
    </row>
    <row r="84" spans="1:13" x14ac:dyDescent="0.4">
      <c r="A84" s="285" t="str">
        <f>'Результаты аудита'!E41</f>
        <v>P-ROLE-SC</v>
      </c>
      <c r="B84" s="287">
        <f>Практики!H382</f>
        <v>0</v>
      </c>
      <c r="C84" s="287">
        <f>Практики!H383</f>
        <v>0</v>
      </c>
      <c r="D84" s="265"/>
      <c r="E84" s="287">
        <f>Практики!H384</f>
        <v>0</v>
      </c>
      <c r="F84" s="287">
        <f>Практики!H386</f>
        <v>0</v>
      </c>
      <c r="G84" s="265"/>
      <c r="H84" s="265"/>
      <c r="I84" s="287">
        <f>Практики!H390</f>
        <v>0</v>
      </c>
      <c r="M84" s="286"/>
    </row>
    <row r="85" spans="1:13" x14ac:dyDescent="0.4">
      <c r="A85" s="285" t="str">
        <f>'Результаты аудита'!E42</f>
        <v>P-ROLE-RESP</v>
      </c>
      <c r="B85" s="287">
        <f>Практики!H394</f>
        <v>0</v>
      </c>
      <c r="C85" s="287">
        <f>Практики!H395</f>
        <v>0</v>
      </c>
      <c r="D85" s="265"/>
      <c r="E85" s="287">
        <f>Практики!H397</f>
        <v>0</v>
      </c>
      <c r="F85" s="287">
        <f>Практики!H401</f>
        <v>0</v>
      </c>
      <c r="G85" s="265"/>
      <c r="H85" s="265"/>
      <c r="I85" s="265"/>
      <c r="M85" s="286"/>
    </row>
    <row r="86" spans="1:13" x14ac:dyDescent="0.4">
      <c r="A86" s="289" t="s">
        <v>1108</v>
      </c>
      <c r="B86" s="290">
        <f>AVERAGE(B46:B85)</f>
        <v>0</v>
      </c>
      <c r="C86" s="290">
        <f>AVERAGE(C46:C85)</f>
        <v>0</v>
      </c>
      <c r="D86" s="290">
        <f t="shared" ref="D86:I86" si="0">AVERAGE(D46:D85)</f>
        <v>0</v>
      </c>
      <c r="E86" s="290">
        <f t="shared" si="0"/>
        <v>0</v>
      </c>
      <c r="F86" s="290">
        <f t="shared" si="0"/>
        <v>0</v>
      </c>
      <c r="G86" s="290">
        <f t="shared" si="0"/>
        <v>0</v>
      </c>
      <c r="H86" s="290">
        <f t="shared" si="0"/>
        <v>0</v>
      </c>
      <c r="I86" s="290">
        <f t="shared" si="0"/>
        <v>0</v>
      </c>
    </row>
  </sheetData>
  <mergeCells count="2">
    <mergeCell ref="A1:I1"/>
    <mergeCell ref="A44:I44"/>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3">
    <tabColor rgb="FF92D050"/>
  </sheetPr>
  <dimension ref="A1:N42"/>
  <sheetViews>
    <sheetView zoomScale="70" zoomScaleNormal="70" workbookViewId="0">
      <selection sqref="A1:A2"/>
    </sheetView>
  </sheetViews>
  <sheetFormatPr defaultColWidth="8.88671875" defaultRowHeight="16.8" x14ac:dyDescent="0.4"/>
  <cols>
    <col min="1" max="1" width="8.88671875" style="272"/>
    <col min="2" max="2" width="52.109375" style="276" bestFit="1" customWidth="1"/>
    <col min="3" max="14" width="21.5546875" style="272" customWidth="1"/>
    <col min="15" max="16384" width="8.88671875" style="272"/>
  </cols>
  <sheetData>
    <row r="1" spans="1:14" ht="19.2" x14ac:dyDescent="0.4">
      <c r="A1" s="394" t="s">
        <v>3919</v>
      </c>
      <c r="B1" s="396" t="s">
        <v>3921</v>
      </c>
      <c r="C1" s="391" t="s">
        <v>2130</v>
      </c>
      <c r="D1" s="391"/>
      <c r="E1" s="391"/>
      <c r="F1" s="391"/>
      <c r="G1" s="391" t="s">
        <v>2131</v>
      </c>
      <c r="H1" s="391"/>
      <c r="I1" s="391"/>
      <c r="J1" s="391"/>
      <c r="K1" s="391" t="s">
        <v>2132</v>
      </c>
      <c r="L1" s="391"/>
      <c r="M1" s="391"/>
      <c r="N1" s="392"/>
    </row>
    <row r="2" spans="1:14" ht="17.399999999999999" thickBot="1" x14ac:dyDescent="0.45">
      <c r="A2" s="395"/>
      <c r="B2" s="397"/>
      <c r="C2" s="137" t="s">
        <v>1110</v>
      </c>
      <c r="D2" s="137" t="s">
        <v>1111</v>
      </c>
      <c r="E2" s="137" t="s">
        <v>1112</v>
      </c>
      <c r="F2" s="137" t="s">
        <v>1113</v>
      </c>
      <c r="G2" s="137" t="s">
        <v>3920</v>
      </c>
      <c r="H2" s="137" t="s">
        <v>1111</v>
      </c>
      <c r="I2" s="137" t="s">
        <v>1112</v>
      </c>
      <c r="J2" s="137" t="s">
        <v>1113</v>
      </c>
      <c r="K2" s="137" t="s">
        <v>1110</v>
      </c>
      <c r="L2" s="137" t="s">
        <v>1111</v>
      </c>
      <c r="M2" s="137" t="s">
        <v>1112</v>
      </c>
      <c r="N2" s="138" t="s">
        <v>1113</v>
      </c>
    </row>
    <row r="3" spans="1:14" ht="14.4" customHeight="1" x14ac:dyDescent="0.4">
      <c r="A3" s="406" t="s">
        <v>835</v>
      </c>
      <c r="B3" s="273" t="str">
        <f>'Результаты аудита'!D3</f>
        <v>Контроль использования сторонних компонентов</v>
      </c>
      <c r="C3" s="274"/>
      <c r="D3" s="274"/>
      <c r="E3" s="393" t="s">
        <v>1114</v>
      </c>
      <c r="F3" s="393"/>
      <c r="G3" s="211"/>
      <c r="H3" s="211"/>
      <c r="I3" s="211"/>
      <c r="J3" s="211"/>
      <c r="K3" s="211"/>
      <c r="L3" s="275"/>
      <c r="M3" s="275"/>
      <c r="N3" s="275"/>
    </row>
    <row r="4" spans="1:14" x14ac:dyDescent="0.4">
      <c r="A4" s="406"/>
      <c r="B4" s="273" t="str">
        <f>'Результаты аудита'!D4</f>
        <v>Управление артефактами</v>
      </c>
      <c r="C4" s="274"/>
      <c r="D4" s="274"/>
      <c r="E4" s="393"/>
      <c r="F4" s="393"/>
      <c r="G4" s="211"/>
      <c r="H4" s="211"/>
      <c r="I4" s="211"/>
      <c r="J4" s="211"/>
      <c r="K4" s="211"/>
      <c r="L4" s="275"/>
      <c r="M4" s="275"/>
      <c r="N4" s="275"/>
    </row>
    <row r="5" spans="1:14" x14ac:dyDescent="0.4">
      <c r="A5" s="406"/>
      <c r="B5" s="273" t="str">
        <f>'Результаты аудита'!D5</f>
        <v>Защита рабочих мест разработчика</v>
      </c>
      <c r="C5" s="211"/>
      <c r="D5" s="211"/>
      <c r="E5" s="274"/>
      <c r="F5" s="274"/>
      <c r="G5" s="211"/>
      <c r="H5" s="211"/>
      <c r="I5" s="393" t="s">
        <v>1115</v>
      </c>
      <c r="J5" s="393"/>
      <c r="K5" s="393"/>
      <c r="L5" s="275"/>
      <c r="M5" s="275"/>
      <c r="N5" s="275"/>
    </row>
    <row r="6" spans="1:14" ht="29.25" customHeight="1" x14ac:dyDescent="0.4">
      <c r="A6" s="406"/>
      <c r="B6" s="273" t="str">
        <f>'Результаты аудита'!D6</f>
        <v>Защита секретов</v>
      </c>
      <c r="C6" s="211"/>
      <c r="D6" s="211"/>
      <c r="E6" s="211"/>
      <c r="F6" s="274"/>
      <c r="G6" s="393" t="s">
        <v>3953</v>
      </c>
      <c r="H6" s="393"/>
      <c r="I6" s="211"/>
      <c r="J6" s="211"/>
      <c r="K6" s="211"/>
      <c r="L6" s="275"/>
      <c r="M6" s="275"/>
      <c r="N6" s="275"/>
    </row>
    <row r="7" spans="1:14" ht="43.65" customHeight="1" x14ac:dyDescent="0.4">
      <c r="A7" s="406"/>
      <c r="B7" s="273" t="str">
        <f>'Результаты аудита'!D7</f>
        <v>Защита Build-среды</v>
      </c>
      <c r="C7" s="393" t="s">
        <v>3954</v>
      </c>
      <c r="D7" s="393"/>
      <c r="E7" s="211"/>
      <c r="F7" s="211"/>
      <c r="G7" s="211"/>
      <c r="H7" s="211"/>
      <c r="I7" s="211"/>
      <c r="J7" s="211"/>
      <c r="K7" s="211"/>
      <c r="L7" s="275"/>
      <c r="M7" s="275"/>
      <c r="N7" s="275"/>
    </row>
    <row r="8" spans="1:14" x14ac:dyDescent="0.4">
      <c r="A8" s="406"/>
      <c r="B8" s="273" t="str">
        <f>'Результаты аудита'!D8</f>
        <v>Защита source code management (SCM)</v>
      </c>
      <c r="C8" s="393" t="s">
        <v>1116</v>
      </c>
      <c r="D8" s="393"/>
      <c r="E8" s="211"/>
      <c r="F8" s="211"/>
      <c r="G8" s="211"/>
      <c r="H8" s="211"/>
      <c r="I8" s="211"/>
      <c r="J8" s="211"/>
      <c r="K8" s="211"/>
      <c r="L8" s="275"/>
      <c r="M8" s="275"/>
      <c r="N8" s="275"/>
    </row>
    <row r="9" spans="1:14" x14ac:dyDescent="0.4">
      <c r="A9" s="406"/>
      <c r="B9" s="273" t="str">
        <f>'Результаты аудита'!D9</f>
        <v>Контроль внесения изменений в исходный код</v>
      </c>
      <c r="C9" s="393" t="s">
        <v>3955</v>
      </c>
      <c r="D9" s="393"/>
      <c r="E9" s="211"/>
      <c r="F9" s="211"/>
      <c r="G9" s="211"/>
      <c r="H9" s="211"/>
      <c r="I9" s="211"/>
      <c r="J9" s="211"/>
      <c r="K9" s="211"/>
      <c r="L9" s="275"/>
      <c r="M9" s="275"/>
      <c r="N9" s="275"/>
    </row>
    <row r="10" spans="1:14" ht="29.4" customHeight="1" x14ac:dyDescent="0.4">
      <c r="A10" s="406"/>
      <c r="B10" s="273" t="str">
        <f>'Результаты аудита'!D10</f>
        <v>Защита конвейера сборки</v>
      </c>
      <c r="C10" s="393" t="s">
        <v>3956</v>
      </c>
      <c r="D10" s="393"/>
      <c r="E10" s="211"/>
      <c r="F10" s="211"/>
      <c r="G10" s="211"/>
      <c r="H10" s="211"/>
      <c r="I10" s="211"/>
      <c r="J10" s="211"/>
      <c r="K10" s="211"/>
      <c r="L10" s="275"/>
      <c r="M10" s="275"/>
      <c r="N10" s="275"/>
    </row>
    <row r="11" spans="1:14" ht="43.5" customHeight="1" x14ac:dyDescent="0.4">
      <c r="A11" s="406"/>
      <c r="B11" s="273" t="str">
        <f>'Результаты аудита'!D11</f>
        <v>Безопасность заказной разработки</v>
      </c>
      <c r="C11" s="211"/>
      <c r="D11" s="211"/>
      <c r="E11" s="398" t="s">
        <v>3110</v>
      </c>
      <c r="F11" s="399"/>
      <c r="G11" s="211"/>
      <c r="H11" s="211"/>
      <c r="I11" s="211"/>
      <c r="J11" s="211"/>
      <c r="K11" s="211"/>
      <c r="L11" s="275"/>
      <c r="M11" s="275"/>
      <c r="N11" s="275"/>
    </row>
    <row r="12" spans="1:14" x14ac:dyDescent="0.4">
      <c r="A12" s="406"/>
      <c r="B12" s="273" t="str">
        <f>'Результаты аудита'!D12</f>
        <v>Статический анализ (SAST)</v>
      </c>
      <c r="C12" s="211"/>
      <c r="D12" s="274"/>
      <c r="E12" s="393" t="s">
        <v>1117</v>
      </c>
      <c r="F12" s="393"/>
      <c r="G12" s="211"/>
      <c r="H12" s="211"/>
      <c r="I12" s="211"/>
      <c r="J12" s="211"/>
      <c r="K12" s="211"/>
      <c r="L12" s="275"/>
      <c r="M12" s="275"/>
      <c r="N12" s="275"/>
    </row>
    <row r="13" spans="1:14" x14ac:dyDescent="0.4">
      <c r="A13" s="406"/>
      <c r="B13" s="273" t="str">
        <f>'Результаты аудита'!D13</f>
        <v>Композиционный анализ (SCA)</v>
      </c>
      <c r="C13" s="211"/>
      <c r="D13" s="274"/>
      <c r="E13" s="393" t="s">
        <v>3957</v>
      </c>
      <c r="F13" s="393"/>
      <c r="G13" s="211"/>
      <c r="H13" s="211"/>
      <c r="I13" s="211"/>
      <c r="J13" s="211"/>
      <c r="K13" s="211"/>
      <c r="L13" s="275"/>
      <c r="M13" s="275"/>
      <c r="N13" s="275"/>
    </row>
    <row r="14" spans="1:14" ht="40.65" customHeight="1" x14ac:dyDescent="0.4">
      <c r="A14" s="406"/>
      <c r="B14" s="273" t="str">
        <f>'Результаты аудита'!D14</f>
        <v>Анализ образов контейнеров</v>
      </c>
      <c r="C14" s="211"/>
      <c r="D14" s="393" t="s">
        <v>3958</v>
      </c>
      <c r="E14" s="393"/>
      <c r="F14" s="211"/>
      <c r="G14" s="211"/>
      <c r="H14" s="211"/>
      <c r="I14" s="211"/>
      <c r="J14" s="211"/>
      <c r="K14" s="211"/>
      <c r="L14" s="275"/>
      <c r="M14" s="275"/>
      <c r="N14" s="275"/>
    </row>
    <row r="15" spans="1:14" ht="33.6" x14ac:dyDescent="0.4">
      <c r="A15" s="406"/>
      <c r="B15" s="273" t="str">
        <f>'Результаты аудита'!D15</f>
        <v>Идентификация секретов</v>
      </c>
      <c r="C15" s="211"/>
      <c r="D15" s="211"/>
      <c r="E15" s="274" t="s">
        <v>1128</v>
      </c>
      <c r="F15" s="211"/>
      <c r="G15" s="211"/>
      <c r="H15" s="211"/>
      <c r="I15" s="211"/>
      <c r="J15" s="211"/>
      <c r="K15" s="211"/>
      <c r="L15" s="275"/>
      <c r="M15" s="275"/>
      <c r="N15" s="275"/>
    </row>
    <row r="16" spans="1:14" ht="24" customHeight="1" x14ac:dyDescent="0.4">
      <c r="A16" s="406"/>
      <c r="B16" s="273" t="str">
        <f>'Результаты аудита'!D16</f>
        <v>Контроль безопасности Dockerfile’ов</v>
      </c>
      <c r="C16" s="211"/>
      <c r="D16" s="393" t="s">
        <v>3111</v>
      </c>
      <c r="E16" s="393"/>
      <c r="F16" s="211"/>
      <c r="G16" s="211"/>
      <c r="H16" s="211"/>
      <c r="I16" s="211"/>
      <c r="J16" s="211"/>
      <c r="K16" s="211"/>
      <c r="L16" s="275"/>
      <c r="M16" s="275"/>
      <c r="N16" s="275"/>
    </row>
    <row r="17" spans="1:14" ht="33.6" x14ac:dyDescent="0.4">
      <c r="A17" s="406"/>
      <c r="B17" s="273" t="str">
        <f>'Результаты аудита'!D17</f>
        <v>Динамический анализ приложений (DAST) в PREPROD среде</v>
      </c>
      <c r="C17" s="211"/>
      <c r="D17" s="211"/>
      <c r="E17" s="211"/>
      <c r="F17" s="211"/>
      <c r="G17" s="393" t="s">
        <v>3959</v>
      </c>
      <c r="H17" s="393"/>
      <c r="I17" s="211"/>
      <c r="J17" s="211"/>
      <c r="K17" s="211"/>
      <c r="L17" s="275"/>
      <c r="M17" s="275"/>
      <c r="N17" s="275"/>
    </row>
    <row r="18" spans="1:14" ht="33.6" x14ac:dyDescent="0.4">
      <c r="A18" s="406"/>
      <c r="B18" s="273" t="str">
        <f>'Результаты аудита'!D18</f>
        <v>Тестирование на проникновение перед внедрением приложений в продуктив</v>
      </c>
      <c r="C18" s="211"/>
      <c r="D18" s="211"/>
      <c r="E18" s="211"/>
      <c r="F18" s="211"/>
      <c r="G18" s="393" t="s">
        <v>1118</v>
      </c>
      <c r="H18" s="393"/>
      <c r="I18" s="211"/>
      <c r="J18" s="211"/>
      <c r="K18" s="211"/>
      <c r="L18" s="275"/>
      <c r="M18" s="275"/>
      <c r="N18" s="275"/>
    </row>
    <row r="19" spans="1:14" ht="28.5" customHeight="1" x14ac:dyDescent="0.4">
      <c r="A19" s="406"/>
      <c r="B19" s="273" t="str">
        <f>'Результаты аудита'!D19</f>
        <v>Функциональное ИБ-тестирование</v>
      </c>
      <c r="C19" s="211"/>
      <c r="D19" s="211"/>
      <c r="E19" s="393" t="s">
        <v>1119</v>
      </c>
      <c r="F19" s="393"/>
      <c r="G19" s="211"/>
      <c r="H19" s="211"/>
      <c r="I19" s="211"/>
      <c r="J19" s="211"/>
      <c r="K19" s="211"/>
      <c r="L19" s="275"/>
      <c r="M19" s="275"/>
      <c r="N19" s="275"/>
    </row>
    <row r="20" spans="1:14" ht="31.65" customHeight="1" x14ac:dyDescent="0.4">
      <c r="A20" s="406"/>
      <c r="B20" s="273" t="str">
        <f>'Результаты аудита'!D20</f>
        <v>Контроль безопасности манифестов (k8s, terraform и т.д.)</v>
      </c>
      <c r="C20" s="211"/>
      <c r="D20" s="393" t="s">
        <v>3960</v>
      </c>
      <c r="E20" s="393"/>
      <c r="F20" s="211"/>
      <c r="G20" s="211"/>
      <c r="H20" s="211"/>
      <c r="I20" s="211"/>
      <c r="J20" s="211"/>
      <c r="K20" s="211"/>
      <c r="L20" s="275"/>
      <c r="M20" s="275"/>
      <c r="N20" s="275"/>
    </row>
    <row r="21" spans="1:14" ht="33.6" x14ac:dyDescent="0.4">
      <c r="A21" s="406"/>
      <c r="B21" s="273" t="str">
        <f>'Результаты аудита'!D21</f>
        <v>Анализ инфраструктуры PREPROD среды на уязвимости</v>
      </c>
      <c r="C21" s="211"/>
      <c r="D21" s="211"/>
      <c r="E21" s="211"/>
      <c r="F21" s="211"/>
      <c r="G21" s="211"/>
      <c r="H21" s="211"/>
      <c r="I21" s="211"/>
      <c r="J21" s="211"/>
      <c r="K21" s="211"/>
      <c r="L21" s="275"/>
      <c r="M21" s="275"/>
      <c r="N21" s="275"/>
    </row>
    <row r="22" spans="1:14" ht="29.25" customHeight="1" x14ac:dyDescent="0.4">
      <c r="A22" s="406"/>
      <c r="B22" s="273" t="str">
        <f>'Результаты аудита'!D22</f>
        <v>Управление секретами</v>
      </c>
      <c r="C22" s="211"/>
      <c r="D22" s="211"/>
      <c r="E22" s="211"/>
      <c r="F22" s="274"/>
      <c r="G22" s="393" t="s">
        <v>3961</v>
      </c>
      <c r="H22" s="393"/>
      <c r="I22" s="211"/>
      <c r="J22" s="211"/>
      <c r="K22" s="211"/>
      <c r="L22" s="275"/>
      <c r="M22" s="275"/>
      <c r="N22" s="275"/>
    </row>
    <row r="23" spans="1:14" ht="29.25" customHeight="1" x14ac:dyDescent="0.4">
      <c r="A23" s="406"/>
      <c r="B23" s="273" t="str">
        <f>'Результаты аудита'!D23</f>
        <v>Динамический анализ приложений (DAST) в продуктивной среде</v>
      </c>
      <c r="C23" s="211"/>
      <c r="D23" s="211"/>
      <c r="E23" s="211"/>
      <c r="F23" s="274"/>
      <c r="G23" s="274"/>
      <c r="H23" s="274"/>
      <c r="I23" s="211"/>
      <c r="J23" s="211"/>
      <c r="K23" s="211"/>
      <c r="L23" s="275"/>
      <c r="M23" s="275"/>
      <c r="N23" s="275"/>
    </row>
    <row r="24" spans="1:14" ht="42" customHeight="1" x14ac:dyDescent="0.4">
      <c r="A24" s="406"/>
      <c r="B24" s="273" t="str">
        <f>'Результаты аудита'!D24</f>
        <v>Тестирование на проникновение продуктивной среды</v>
      </c>
      <c r="C24" s="393" t="s">
        <v>1120</v>
      </c>
      <c r="D24" s="393"/>
      <c r="E24" s="211"/>
      <c r="F24" s="211"/>
      <c r="G24" s="211"/>
      <c r="H24" s="211"/>
      <c r="I24" s="211"/>
      <c r="J24" s="211"/>
      <c r="K24" s="211"/>
      <c r="L24" s="275"/>
      <c r="M24" s="275"/>
      <c r="N24" s="275"/>
    </row>
    <row r="25" spans="1:14" ht="42" customHeight="1" x14ac:dyDescent="0.4">
      <c r="A25" s="406"/>
      <c r="B25" s="273" t="str">
        <f>'Результаты аудита'!D25</f>
        <v>Управление изменениями инфраструктуры и доступом к ней</v>
      </c>
      <c r="C25" s="393" t="s">
        <v>1120</v>
      </c>
      <c r="D25" s="393"/>
      <c r="E25" s="393" t="s">
        <v>1121</v>
      </c>
      <c r="F25" s="393"/>
      <c r="G25" s="393"/>
      <c r="H25" s="211"/>
      <c r="I25" s="211"/>
      <c r="J25" s="393" t="s">
        <v>3962</v>
      </c>
      <c r="K25" s="393"/>
      <c r="L25" s="275"/>
      <c r="M25" s="275"/>
      <c r="N25" s="275"/>
    </row>
    <row r="26" spans="1:14" x14ac:dyDescent="0.4">
      <c r="A26" s="406"/>
      <c r="B26" s="273" t="str">
        <f>'Результаты аудита'!D26</f>
        <v>Контроль сетевого трафика (L4-L7)</v>
      </c>
      <c r="C26" s="211"/>
      <c r="D26" s="211"/>
      <c r="E26" s="393" t="s">
        <v>1121</v>
      </c>
      <c r="F26" s="393"/>
      <c r="G26" s="393"/>
      <c r="H26" s="211"/>
      <c r="I26" s="211"/>
      <c r="J26" s="393" t="s">
        <v>1122</v>
      </c>
      <c r="K26" s="393"/>
      <c r="L26" s="275"/>
      <c r="M26" s="275"/>
      <c r="N26" s="275"/>
    </row>
    <row r="27" spans="1:14" ht="33.6" x14ac:dyDescent="0.4">
      <c r="A27" s="406"/>
      <c r="B27" s="273" t="str">
        <f>'Результаты аудита'!D27</f>
        <v>Контроль выполняемых и процессов и их прав доступа</v>
      </c>
      <c r="C27" s="211"/>
      <c r="D27" s="211"/>
      <c r="E27" s="393" t="s">
        <v>1121</v>
      </c>
      <c r="F27" s="393"/>
      <c r="G27" s="393"/>
      <c r="H27" s="211"/>
      <c r="I27" s="211"/>
      <c r="J27" s="211"/>
      <c r="K27" s="211"/>
      <c r="L27" s="275"/>
      <c r="M27" s="275"/>
      <c r="N27" s="275"/>
    </row>
    <row r="28" spans="1:14" ht="43.5" customHeight="1" x14ac:dyDescent="0.4">
      <c r="A28" s="406"/>
      <c r="B28" s="273" t="str">
        <f>'Результаты аудита'!D28</f>
        <v>Анализ инфраструктуры PROD среды на уязвимости</v>
      </c>
      <c r="C28" s="211"/>
      <c r="D28" s="211"/>
      <c r="E28" s="211"/>
      <c r="F28" s="275"/>
      <c r="G28" s="275"/>
      <c r="H28" s="211"/>
      <c r="I28" s="211"/>
      <c r="J28" s="211"/>
      <c r="K28" s="211"/>
      <c r="L28" s="275"/>
      <c r="M28" s="275"/>
      <c r="N28" s="275"/>
    </row>
    <row r="29" spans="1:14" ht="42.75" customHeight="1" x14ac:dyDescent="0.4">
      <c r="A29" s="406"/>
      <c r="B29" s="273" t="str">
        <f>'Результаты аудита'!D29</f>
        <v>Анализ событий информационной безопасности</v>
      </c>
      <c r="C29" s="211"/>
      <c r="D29" s="211"/>
      <c r="E29" s="211"/>
      <c r="F29" s="393" t="s">
        <v>3963</v>
      </c>
      <c r="G29" s="393"/>
      <c r="H29" s="211"/>
      <c r="I29" s="211"/>
      <c r="J29" s="211"/>
      <c r="K29" s="211"/>
      <c r="L29" s="275"/>
      <c r="M29" s="275"/>
      <c r="N29" s="275"/>
    </row>
    <row r="30" spans="1:14" ht="43.5" customHeight="1" x14ac:dyDescent="0.4">
      <c r="A30" s="400" t="s">
        <v>892</v>
      </c>
      <c r="B30" s="273" t="str">
        <f>'Результаты аудита'!D30</f>
        <v>Обучение специалистов</v>
      </c>
      <c r="C30" s="211"/>
      <c r="D30" s="211"/>
      <c r="E30" s="393" t="s">
        <v>3964</v>
      </c>
      <c r="F30" s="393"/>
      <c r="G30" s="211"/>
      <c r="H30" s="211"/>
      <c r="I30" s="211"/>
      <c r="J30" s="211"/>
      <c r="K30" s="211"/>
      <c r="L30" s="275"/>
      <c r="M30" s="275"/>
      <c r="N30" s="275"/>
    </row>
    <row r="31" spans="1:14" ht="42.75" customHeight="1" x14ac:dyDescent="0.4">
      <c r="A31" s="401"/>
      <c r="B31" s="273" t="str">
        <f>'Результаты аудита'!D31</f>
        <v>Управление базой знаний DSO</v>
      </c>
      <c r="C31" s="211"/>
      <c r="D31" s="211"/>
      <c r="E31" s="398" t="s">
        <v>3112</v>
      </c>
      <c r="F31" s="399"/>
      <c r="G31" s="211"/>
      <c r="H31" s="211"/>
      <c r="I31" s="211"/>
      <c r="J31" s="211"/>
      <c r="K31" s="211"/>
      <c r="L31" s="275"/>
      <c r="M31" s="275"/>
      <c r="N31" s="275"/>
    </row>
    <row r="32" spans="1:14" ht="32.25" customHeight="1" x14ac:dyDescent="0.4">
      <c r="A32" s="401"/>
      <c r="B32" s="273" t="str">
        <f>'Результаты аудита'!D32</f>
        <v>Оценка критичности приложений и моделирование угроз</v>
      </c>
      <c r="C32" s="211"/>
      <c r="D32" s="274"/>
      <c r="E32" s="274"/>
      <c r="F32" s="211"/>
      <c r="G32" s="211"/>
      <c r="H32" s="211"/>
      <c r="I32" s="393" t="s">
        <v>1123</v>
      </c>
      <c r="J32" s="393"/>
      <c r="K32" s="211"/>
      <c r="L32" s="275"/>
      <c r="M32" s="275"/>
      <c r="N32" s="275"/>
    </row>
    <row r="33" spans="1:14" ht="57" customHeight="1" x14ac:dyDescent="0.4">
      <c r="A33" s="401"/>
      <c r="B33" s="273" t="str">
        <f>'Результаты аудита'!D33</f>
        <v>Определение требований ИБ, предъявляемых к ПО</v>
      </c>
      <c r="C33" s="275"/>
      <c r="D33" s="275"/>
      <c r="E33" s="275"/>
      <c r="F33" s="403" t="s">
        <v>1124</v>
      </c>
      <c r="G33" s="403"/>
      <c r="H33" s="275"/>
      <c r="I33" s="275"/>
      <c r="J33" s="275"/>
      <c r="K33" s="275"/>
      <c r="L33" s="275"/>
      <c r="M33" s="275"/>
      <c r="N33" s="275"/>
    </row>
    <row r="34" spans="1:14" x14ac:dyDescent="0.4">
      <c r="A34" s="401"/>
      <c r="B34" s="273" t="str">
        <f>'Результаты аудита'!D34</f>
        <v>Контроль выполнения требований ИБ</v>
      </c>
      <c r="C34" s="275"/>
      <c r="D34" s="275"/>
      <c r="E34" s="275"/>
      <c r="F34" s="275"/>
      <c r="G34" s="275"/>
      <c r="H34" s="275"/>
      <c r="I34" s="275"/>
      <c r="J34" s="275"/>
      <c r="K34" s="275"/>
      <c r="L34" s="275"/>
      <c r="M34" s="275"/>
      <c r="N34" s="275"/>
    </row>
    <row r="35" spans="1:14" ht="33.6" x14ac:dyDescent="0.4">
      <c r="A35" s="401"/>
      <c r="B35" s="273" t="str">
        <f>'Результаты аудита'!D35</f>
        <v>Разработка стандартов конфигураций разрабатываемого ПО</v>
      </c>
      <c r="C35" s="211"/>
      <c r="D35" s="211"/>
      <c r="E35" s="211"/>
      <c r="F35" s="211"/>
      <c r="G35" s="211"/>
      <c r="H35" s="211"/>
      <c r="I35" s="211" t="s">
        <v>3113</v>
      </c>
      <c r="J35" s="211"/>
      <c r="K35" s="211"/>
      <c r="L35" s="275"/>
      <c r="M35" s="275"/>
      <c r="N35" s="275"/>
    </row>
    <row r="36" spans="1:14" ht="33.6" x14ac:dyDescent="0.4">
      <c r="A36" s="401"/>
      <c r="B36" s="273" t="str">
        <f>'Результаты аудита'!D36</f>
        <v>Разработка стандартов конфигураций для компонентов инфраструктуры</v>
      </c>
      <c r="C36" s="211"/>
      <c r="D36" s="275"/>
      <c r="E36" s="275"/>
      <c r="F36" s="275"/>
      <c r="G36" s="211"/>
      <c r="H36" s="211" t="s">
        <v>3113</v>
      </c>
      <c r="I36" s="211"/>
      <c r="J36" s="211"/>
      <c r="K36" s="211"/>
      <c r="L36" s="275"/>
      <c r="M36" s="275"/>
      <c r="N36" s="275"/>
    </row>
    <row r="37" spans="1:14" x14ac:dyDescent="0.4">
      <c r="A37" s="401"/>
      <c r="B37" s="273" t="str">
        <f>'Результаты аудита'!D37</f>
        <v>Обработка дефектов ИБ</v>
      </c>
      <c r="C37" s="211"/>
      <c r="D37" s="393" t="s">
        <v>1125</v>
      </c>
      <c r="E37" s="393"/>
      <c r="F37" s="393"/>
      <c r="G37" s="275"/>
      <c r="H37" s="275"/>
      <c r="I37" s="211"/>
      <c r="J37" s="211"/>
      <c r="K37" s="211"/>
      <c r="L37" s="275"/>
      <c r="M37" s="275"/>
      <c r="N37" s="275"/>
    </row>
    <row r="38" spans="1:14" ht="30" customHeight="1" x14ac:dyDescent="0.4">
      <c r="A38" s="401"/>
      <c r="B38" s="273" t="str">
        <f>'Результаты аудита'!D38</f>
        <v>Консолидация дефектов ИБ</v>
      </c>
      <c r="C38" s="211"/>
      <c r="D38" s="393" t="s">
        <v>1125</v>
      </c>
      <c r="E38" s="393"/>
      <c r="F38" s="393"/>
      <c r="G38" s="393" t="s">
        <v>1126</v>
      </c>
      <c r="H38" s="393"/>
      <c r="I38" s="211"/>
      <c r="J38" s="211"/>
      <c r="K38" s="211"/>
      <c r="L38" s="275"/>
      <c r="M38" s="275"/>
      <c r="N38" s="275"/>
    </row>
    <row r="39" spans="1:14" x14ac:dyDescent="0.4">
      <c r="A39" s="401"/>
      <c r="B39" s="273" t="str">
        <f>'Результаты аудита'!D39</f>
        <v>Управление набором метрик ИБ</v>
      </c>
      <c r="C39" s="211"/>
      <c r="D39" s="211"/>
      <c r="E39" s="211"/>
      <c r="F39" s="211"/>
      <c r="G39" s="211"/>
      <c r="H39" s="211"/>
      <c r="I39" s="211"/>
      <c r="J39" s="211"/>
      <c r="K39" s="211"/>
      <c r="L39" s="275"/>
      <c r="M39" s="275"/>
      <c r="N39" s="275"/>
    </row>
    <row r="40" spans="1:14" ht="30" customHeight="1" x14ac:dyDescent="0.4">
      <c r="A40" s="401"/>
      <c r="B40" s="273" t="str">
        <f>'Результаты аудита'!D40</f>
        <v>Контроль исполнения метрик</v>
      </c>
      <c r="C40" s="211"/>
      <c r="D40" s="211"/>
      <c r="E40" s="211"/>
      <c r="F40" s="211"/>
      <c r="G40" s="275"/>
      <c r="H40" s="275"/>
      <c r="I40" s="275"/>
      <c r="J40" s="211"/>
      <c r="K40" s="211"/>
      <c r="L40" s="275"/>
      <c r="M40" s="275"/>
      <c r="N40" s="275"/>
    </row>
    <row r="41" spans="1:14" ht="25.5" customHeight="1" x14ac:dyDescent="0.4">
      <c r="A41" s="401"/>
      <c r="B41" s="273" t="str">
        <f>'Результаты аудита'!D41</f>
        <v>Security Champions</v>
      </c>
      <c r="C41" s="211"/>
      <c r="D41" s="211"/>
      <c r="E41" s="211"/>
      <c r="F41" s="211"/>
      <c r="G41" s="393" t="s">
        <v>1127</v>
      </c>
      <c r="H41" s="393"/>
      <c r="I41" s="393"/>
      <c r="J41" s="211"/>
      <c r="K41" s="211"/>
      <c r="L41" s="275"/>
      <c r="M41" s="275"/>
      <c r="N41" s="275"/>
    </row>
    <row r="42" spans="1:14" ht="27" customHeight="1" x14ac:dyDescent="0.4">
      <c r="A42" s="402"/>
      <c r="B42" s="273" t="str">
        <f>'Результаты аудита'!D42</f>
        <v>Разграничение ролей процесса DSO</v>
      </c>
      <c r="C42" s="275"/>
      <c r="D42" s="275"/>
      <c r="E42" s="275"/>
      <c r="F42" s="404" t="s">
        <v>3114</v>
      </c>
      <c r="G42" s="405"/>
      <c r="H42" s="275"/>
      <c r="I42" s="275"/>
      <c r="J42" s="275"/>
      <c r="K42" s="275"/>
      <c r="L42" s="275"/>
      <c r="M42" s="275"/>
      <c r="N42" s="275"/>
    </row>
  </sheetData>
  <mergeCells count="41">
    <mergeCell ref="F29:G29"/>
    <mergeCell ref="A30:A42"/>
    <mergeCell ref="E30:F30"/>
    <mergeCell ref="E31:F31"/>
    <mergeCell ref="I32:J32"/>
    <mergeCell ref="F33:G33"/>
    <mergeCell ref="D37:F37"/>
    <mergeCell ref="D38:F38"/>
    <mergeCell ref="G38:H38"/>
    <mergeCell ref="G41:I41"/>
    <mergeCell ref="F42:G42"/>
    <mergeCell ref="A3:A29"/>
    <mergeCell ref="E3:F4"/>
    <mergeCell ref="I5:K5"/>
    <mergeCell ref="G6:H6"/>
    <mergeCell ref="C7:D7"/>
    <mergeCell ref="A1:A2"/>
    <mergeCell ref="B1:B2"/>
    <mergeCell ref="C1:F1"/>
    <mergeCell ref="G1:J1"/>
    <mergeCell ref="E13:F13"/>
    <mergeCell ref="C8:D8"/>
    <mergeCell ref="C9:D9"/>
    <mergeCell ref="C10:D10"/>
    <mergeCell ref="E11:F11"/>
    <mergeCell ref="E12:F12"/>
    <mergeCell ref="K1:N1"/>
    <mergeCell ref="J25:K25"/>
    <mergeCell ref="E26:G26"/>
    <mergeCell ref="J26:K26"/>
    <mergeCell ref="E27:G27"/>
    <mergeCell ref="E19:F19"/>
    <mergeCell ref="D14:E14"/>
    <mergeCell ref="D16:E16"/>
    <mergeCell ref="G17:H17"/>
    <mergeCell ref="G18:H18"/>
    <mergeCell ref="D20:E20"/>
    <mergeCell ref="G22:H22"/>
    <mergeCell ref="C24:D24"/>
    <mergeCell ref="C25:D25"/>
    <mergeCell ref="E25:G2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7">
    <tabColor rgb="FF92D050"/>
  </sheetPr>
  <dimension ref="A1:C372"/>
  <sheetViews>
    <sheetView zoomScale="70" zoomScaleNormal="70" workbookViewId="0">
      <selection sqref="A1:C1"/>
    </sheetView>
  </sheetViews>
  <sheetFormatPr defaultColWidth="8.5546875" defaultRowHeight="16.8" outlineLevelRow="1" x14ac:dyDescent="0.4"/>
  <cols>
    <col min="1" max="1" width="89.88671875" style="133" customWidth="1"/>
    <col min="2" max="2" width="120.44140625" style="133" customWidth="1"/>
    <col min="3" max="3" width="90" style="133" bestFit="1" customWidth="1"/>
    <col min="4" max="16384" width="8.5546875" style="133"/>
  </cols>
  <sheetData>
    <row r="1" spans="1:3" ht="29.4" x14ac:dyDescent="0.4">
      <c r="A1" s="417" t="s">
        <v>2894</v>
      </c>
      <c r="B1" s="418"/>
      <c r="C1" s="419"/>
    </row>
    <row r="2" spans="1:3" ht="24.6" x14ac:dyDescent="0.55000000000000004">
      <c r="A2" s="139" t="s">
        <v>1129</v>
      </c>
      <c r="B2" s="140" t="s">
        <v>1130</v>
      </c>
      <c r="C2" s="141" t="s">
        <v>0</v>
      </c>
    </row>
    <row r="3" spans="1:3" ht="38.4" x14ac:dyDescent="0.4">
      <c r="A3" s="142" t="s">
        <v>1131</v>
      </c>
      <c r="C3" s="143"/>
    </row>
    <row r="4" spans="1:3" ht="15.75" hidden="1" customHeight="1" outlineLevel="1" x14ac:dyDescent="0.4">
      <c r="A4" s="144"/>
      <c r="B4" s="145" t="s">
        <v>1132</v>
      </c>
      <c r="C4" s="143"/>
    </row>
    <row r="5" spans="1:3" ht="15.75" hidden="1" customHeight="1" outlineLevel="1" x14ac:dyDescent="0.4">
      <c r="A5" s="144"/>
      <c r="B5" s="145" t="s">
        <v>1133</v>
      </c>
      <c r="C5" s="143"/>
    </row>
    <row r="6" spans="1:3" ht="15.75" hidden="1" customHeight="1" outlineLevel="1" x14ac:dyDescent="0.4">
      <c r="A6" s="144"/>
      <c r="B6" s="145" t="s">
        <v>1134</v>
      </c>
      <c r="C6" s="143"/>
    </row>
    <row r="7" spans="1:3" ht="38.4" collapsed="1" x14ac:dyDescent="0.4">
      <c r="A7" s="142" t="s">
        <v>1135</v>
      </c>
      <c r="C7" s="143"/>
    </row>
    <row r="8" spans="1:3" ht="15.75" hidden="1" customHeight="1" outlineLevel="1" x14ac:dyDescent="0.4">
      <c r="A8" s="144"/>
      <c r="B8" s="145" t="s">
        <v>1136</v>
      </c>
      <c r="C8" s="143"/>
    </row>
    <row r="9" spans="1:3" ht="15.75" hidden="1" customHeight="1" outlineLevel="1" x14ac:dyDescent="0.4">
      <c r="A9" s="144"/>
      <c r="B9" s="145" t="s">
        <v>1137</v>
      </c>
      <c r="C9" s="143"/>
    </row>
    <row r="10" spans="1:3" ht="15.75" hidden="1" customHeight="1" outlineLevel="1" x14ac:dyDescent="0.4">
      <c r="A10" s="144"/>
      <c r="B10" s="145" t="s">
        <v>1138</v>
      </c>
      <c r="C10" s="143"/>
    </row>
    <row r="11" spans="1:3" ht="15.75" hidden="1" customHeight="1" outlineLevel="1" x14ac:dyDescent="0.4">
      <c r="A11" s="144"/>
      <c r="B11" s="145" t="s">
        <v>1139</v>
      </c>
      <c r="C11" s="143"/>
    </row>
    <row r="12" spans="1:3" ht="15.75" hidden="1" customHeight="1" outlineLevel="1" x14ac:dyDescent="0.4">
      <c r="A12" s="144"/>
      <c r="B12" s="145" t="s">
        <v>1140</v>
      </c>
      <c r="C12" s="143"/>
    </row>
    <row r="13" spans="1:3" ht="15.75" hidden="1" customHeight="1" outlineLevel="1" x14ac:dyDescent="0.4">
      <c r="A13" s="144"/>
      <c r="B13" s="145" t="s">
        <v>1141</v>
      </c>
      <c r="C13" s="143"/>
    </row>
    <row r="14" spans="1:3" ht="15.75" hidden="1" customHeight="1" outlineLevel="1" x14ac:dyDescent="0.4">
      <c r="A14" s="144"/>
      <c r="B14" s="145" t="s">
        <v>1142</v>
      </c>
      <c r="C14" s="143"/>
    </row>
    <row r="15" spans="1:3" ht="15.75" hidden="1" customHeight="1" outlineLevel="1" x14ac:dyDescent="0.4">
      <c r="A15" s="144"/>
      <c r="B15" s="145" t="s">
        <v>1143</v>
      </c>
      <c r="C15" s="143"/>
    </row>
    <row r="16" spans="1:3" ht="15.75" hidden="1" customHeight="1" outlineLevel="1" x14ac:dyDescent="0.4">
      <c r="A16" s="144"/>
      <c r="B16" s="145" t="s">
        <v>1144</v>
      </c>
      <c r="C16" s="143"/>
    </row>
    <row r="17" spans="1:3" ht="15.75" hidden="1" customHeight="1" outlineLevel="1" x14ac:dyDescent="0.4">
      <c r="A17" s="144"/>
      <c r="B17" s="145" t="s">
        <v>1145</v>
      </c>
      <c r="C17" s="143"/>
    </row>
    <row r="18" spans="1:3" ht="15.75" hidden="1" customHeight="1" outlineLevel="1" x14ac:dyDescent="0.4">
      <c r="A18" s="144"/>
      <c r="B18" s="145" t="s">
        <v>1146</v>
      </c>
      <c r="C18" s="143"/>
    </row>
    <row r="19" spans="1:3" ht="15.75" hidden="1" customHeight="1" outlineLevel="1" x14ac:dyDescent="0.4">
      <c r="A19" s="144"/>
      <c r="B19" s="145" t="s">
        <v>1147</v>
      </c>
      <c r="C19" s="143"/>
    </row>
    <row r="20" spans="1:3" ht="15.75" hidden="1" customHeight="1" outlineLevel="1" x14ac:dyDescent="0.4">
      <c r="A20" s="144"/>
      <c r="B20" s="145" t="s">
        <v>1148</v>
      </c>
      <c r="C20" s="143"/>
    </row>
    <row r="21" spans="1:3" ht="15.75" hidden="1" customHeight="1" outlineLevel="1" x14ac:dyDescent="0.4">
      <c r="A21" s="144"/>
      <c r="B21" s="145" t="s">
        <v>1149</v>
      </c>
      <c r="C21" s="143"/>
    </row>
    <row r="22" spans="1:3" ht="15.75" hidden="1" customHeight="1" outlineLevel="1" x14ac:dyDescent="0.4">
      <c r="A22" s="144"/>
      <c r="B22" s="145" t="s">
        <v>1150</v>
      </c>
      <c r="C22" s="143"/>
    </row>
    <row r="23" spans="1:3" ht="15.75" hidden="1" customHeight="1" outlineLevel="1" x14ac:dyDescent="0.4">
      <c r="A23" s="144"/>
      <c r="B23" s="145" t="s">
        <v>1151</v>
      </c>
      <c r="C23" s="143"/>
    </row>
    <row r="24" spans="1:3" ht="15.75" hidden="1" customHeight="1" outlineLevel="1" x14ac:dyDescent="0.4">
      <c r="A24" s="144"/>
      <c r="B24" s="145" t="s">
        <v>1152</v>
      </c>
      <c r="C24" s="143"/>
    </row>
    <row r="25" spans="1:3" ht="15.75" hidden="1" customHeight="1" outlineLevel="1" x14ac:dyDescent="0.4">
      <c r="A25" s="144"/>
      <c r="B25" s="145" t="s">
        <v>1153</v>
      </c>
      <c r="C25" s="143"/>
    </row>
    <row r="26" spans="1:3" ht="31.2" customHeight="1" collapsed="1" x14ac:dyDescent="0.4">
      <c r="A26" s="142" t="s">
        <v>1154</v>
      </c>
      <c r="C26" s="143"/>
    </row>
    <row r="27" spans="1:3" ht="15.75" hidden="1" customHeight="1" outlineLevel="1" x14ac:dyDescent="0.4">
      <c r="A27" s="144"/>
      <c r="B27" s="145" t="s">
        <v>1136</v>
      </c>
      <c r="C27" s="143"/>
    </row>
    <row r="28" spans="1:3" ht="15.75" hidden="1" customHeight="1" outlineLevel="1" x14ac:dyDescent="0.4">
      <c r="A28" s="144"/>
      <c r="B28" s="145" t="s">
        <v>1137</v>
      </c>
      <c r="C28" s="143"/>
    </row>
    <row r="29" spans="1:3" ht="15.75" hidden="1" customHeight="1" outlineLevel="1" x14ac:dyDescent="0.4">
      <c r="A29" s="144"/>
      <c r="B29" s="145" t="s">
        <v>1138</v>
      </c>
      <c r="C29" s="143"/>
    </row>
    <row r="30" spans="1:3" ht="15.75" hidden="1" customHeight="1" outlineLevel="1" x14ac:dyDescent="0.4">
      <c r="A30" s="144"/>
      <c r="B30" s="145" t="s">
        <v>1155</v>
      </c>
      <c r="C30" s="143"/>
    </row>
    <row r="31" spans="1:3" ht="15.75" hidden="1" customHeight="1" outlineLevel="1" x14ac:dyDescent="0.4">
      <c r="A31" s="144"/>
      <c r="B31" s="145" t="s">
        <v>1156</v>
      </c>
      <c r="C31" s="143"/>
    </row>
    <row r="32" spans="1:3" ht="15.75" hidden="1" customHeight="1" outlineLevel="1" x14ac:dyDescent="0.4">
      <c r="A32" s="144"/>
      <c r="B32" s="145" t="s">
        <v>1157</v>
      </c>
      <c r="C32" s="143"/>
    </row>
    <row r="33" spans="1:3" ht="15.75" hidden="1" customHeight="1" outlineLevel="1" x14ac:dyDescent="0.4">
      <c r="A33" s="144"/>
      <c r="B33" s="145" t="s">
        <v>1158</v>
      </c>
      <c r="C33" s="143"/>
    </row>
    <row r="34" spans="1:3" ht="15.75" hidden="1" customHeight="1" outlineLevel="1" x14ac:dyDescent="0.4">
      <c r="A34" s="144"/>
      <c r="B34" s="145" t="s">
        <v>1159</v>
      </c>
      <c r="C34" s="143"/>
    </row>
    <row r="35" spans="1:3" ht="15.75" hidden="1" customHeight="1" outlineLevel="1" x14ac:dyDescent="0.4">
      <c r="A35" s="144"/>
      <c r="B35" s="145" t="s">
        <v>1160</v>
      </c>
      <c r="C35" s="143"/>
    </row>
    <row r="36" spans="1:3" ht="15.75" hidden="1" customHeight="1" outlineLevel="1" x14ac:dyDescent="0.4">
      <c r="A36" s="144"/>
      <c r="B36" s="145" t="s">
        <v>1161</v>
      </c>
      <c r="C36" s="143"/>
    </row>
    <row r="37" spans="1:3" ht="15.75" hidden="1" customHeight="1" outlineLevel="1" x14ac:dyDescent="0.4">
      <c r="A37" s="144"/>
      <c r="B37" s="145" t="s">
        <v>1162</v>
      </c>
      <c r="C37" s="143"/>
    </row>
    <row r="38" spans="1:3" ht="15.75" hidden="1" customHeight="1" outlineLevel="1" x14ac:dyDescent="0.4">
      <c r="A38" s="144"/>
      <c r="B38" s="145" t="s">
        <v>1163</v>
      </c>
      <c r="C38" s="143"/>
    </row>
    <row r="39" spans="1:3" ht="15.75" hidden="1" customHeight="1" outlineLevel="1" x14ac:dyDescent="0.4">
      <c r="A39" s="144"/>
      <c r="B39" s="145" t="s">
        <v>1164</v>
      </c>
      <c r="C39" s="143"/>
    </row>
    <row r="40" spans="1:3" ht="15.75" hidden="1" customHeight="1" outlineLevel="1" x14ac:dyDescent="0.4">
      <c r="A40" s="144"/>
      <c r="B40" s="145" t="s">
        <v>1165</v>
      </c>
      <c r="C40" s="143"/>
    </row>
    <row r="41" spans="1:3" ht="15.75" hidden="1" customHeight="1" outlineLevel="1" x14ac:dyDescent="0.4">
      <c r="A41" s="144"/>
      <c r="B41" s="145" t="s">
        <v>1166</v>
      </c>
      <c r="C41" s="143"/>
    </row>
    <row r="42" spans="1:3" ht="15.75" hidden="1" customHeight="1" outlineLevel="1" x14ac:dyDescent="0.4">
      <c r="A42" s="144"/>
      <c r="B42" s="145" t="s">
        <v>1167</v>
      </c>
      <c r="C42" s="143"/>
    </row>
    <row r="43" spans="1:3" ht="15.75" hidden="1" customHeight="1" outlineLevel="1" x14ac:dyDescent="0.4">
      <c r="A43" s="144"/>
      <c r="B43" s="145" t="s">
        <v>1168</v>
      </c>
      <c r="C43" s="143"/>
    </row>
    <row r="44" spans="1:3" ht="15.75" hidden="1" customHeight="1" outlineLevel="1" x14ac:dyDescent="0.4">
      <c r="A44" s="144"/>
      <c r="B44" s="145" t="s">
        <v>1169</v>
      </c>
      <c r="C44" s="143"/>
    </row>
    <row r="45" spans="1:3" ht="15.75" hidden="1" customHeight="1" outlineLevel="1" x14ac:dyDescent="0.4">
      <c r="A45" s="144"/>
      <c r="B45" s="145" t="s">
        <v>1170</v>
      </c>
      <c r="C45" s="143"/>
    </row>
    <row r="46" spans="1:3" ht="15.75" hidden="1" customHeight="1" outlineLevel="1" x14ac:dyDescent="0.4">
      <c r="A46" s="144"/>
      <c r="B46" s="145" t="s">
        <v>1171</v>
      </c>
      <c r="C46" s="143"/>
    </row>
    <row r="47" spans="1:3" ht="15.75" hidden="1" customHeight="1" outlineLevel="1" x14ac:dyDescent="0.4">
      <c r="A47" s="144"/>
      <c r="B47" s="145" t="s">
        <v>1172</v>
      </c>
      <c r="C47" s="143"/>
    </row>
    <row r="48" spans="1:3" ht="15.75" hidden="1" customHeight="1" outlineLevel="1" x14ac:dyDescent="0.4">
      <c r="A48" s="144"/>
      <c r="B48" s="145" t="s">
        <v>1173</v>
      </c>
      <c r="C48" s="143"/>
    </row>
    <row r="49" spans="1:3" ht="15.75" hidden="1" customHeight="1" outlineLevel="1" x14ac:dyDescent="0.4">
      <c r="A49" s="144"/>
      <c r="B49" s="145" t="s">
        <v>1174</v>
      </c>
      <c r="C49" s="143"/>
    </row>
    <row r="50" spans="1:3" ht="15.75" hidden="1" customHeight="1" outlineLevel="1" x14ac:dyDescent="0.4">
      <c r="A50" s="144"/>
      <c r="B50" s="145" t="s">
        <v>1175</v>
      </c>
      <c r="C50" s="143"/>
    </row>
    <row r="51" spans="1:3" ht="15.75" hidden="1" customHeight="1" outlineLevel="1" x14ac:dyDescent="0.4">
      <c r="A51" s="144"/>
      <c r="B51" s="145" t="s">
        <v>1176</v>
      </c>
      <c r="C51" s="143"/>
    </row>
    <row r="52" spans="1:3" ht="15.75" hidden="1" customHeight="1" outlineLevel="1" x14ac:dyDescent="0.4">
      <c r="A52" s="144"/>
      <c r="B52" s="145" t="s">
        <v>1177</v>
      </c>
      <c r="C52" s="143"/>
    </row>
    <row r="53" spans="1:3" ht="15.75" hidden="1" customHeight="1" outlineLevel="1" x14ac:dyDescent="0.4">
      <c r="A53" s="144"/>
      <c r="B53" s="145" t="s">
        <v>1178</v>
      </c>
      <c r="C53" s="143"/>
    </row>
    <row r="54" spans="1:3" ht="15.75" hidden="1" customHeight="1" outlineLevel="1" x14ac:dyDescent="0.4">
      <c r="A54" s="144"/>
      <c r="B54" s="145" t="s">
        <v>1179</v>
      </c>
      <c r="C54" s="143"/>
    </row>
    <row r="55" spans="1:3" ht="38.4" collapsed="1" x14ac:dyDescent="0.4">
      <c r="A55" s="142" t="s">
        <v>1180</v>
      </c>
      <c r="C55" s="143"/>
    </row>
    <row r="56" spans="1:3" ht="15.75" hidden="1" customHeight="1" outlineLevel="1" x14ac:dyDescent="0.4">
      <c r="A56" s="144"/>
      <c r="B56" s="145" t="s">
        <v>1136</v>
      </c>
      <c r="C56" s="143"/>
    </row>
    <row r="57" spans="1:3" ht="15.75" hidden="1" customHeight="1" outlineLevel="1" x14ac:dyDescent="0.4">
      <c r="A57" s="144"/>
      <c r="B57" s="145" t="s">
        <v>1137</v>
      </c>
      <c r="C57" s="143"/>
    </row>
    <row r="58" spans="1:3" ht="15.75" hidden="1" customHeight="1" outlineLevel="1" x14ac:dyDescent="0.4">
      <c r="A58" s="144"/>
      <c r="B58" s="145" t="s">
        <v>1138</v>
      </c>
      <c r="C58" s="143"/>
    </row>
    <row r="59" spans="1:3" ht="15.75" hidden="1" customHeight="1" outlineLevel="1" x14ac:dyDescent="0.4">
      <c r="A59" s="144"/>
      <c r="B59" s="145" t="s">
        <v>1181</v>
      </c>
      <c r="C59" s="143"/>
    </row>
    <row r="60" spans="1:3" ht="15.75" hidden="1" customHeight="1" outlineLevel="1" x14ac:dyDescent="0.4">
      <c r="A60" s="144"/>
      <c r="B60" s="145" t="s">
        <v>1182</v>
      </c>
      <c r="C60" s="143"/>
    </row>
    <row r="61" spans="1:3" ht="31.2" hidden="1" customHeight="1" outlineLevel="1" x14ac:dyDescent="0.4">
      <c r="A61" s="144"/>
      <c r="B61" s="145" t="s">
        <v>1183</v>
      </c>
      <c r="C61" s="143"/>
    </row>
    <row r="62" spans="1:3" ht="15.75" hidden="1" customHeight="1" outlineLevel="1" x14ac:dyDescent="0.4">
      <c r="A62" s="144"/>
      <c r="B62" s="145" t="s">
        <v>1184</v>
      </c>
      <c r="C62" s="143"/>
    </row>
    <row r="63" spans="1:3" ht="31.2" hidden="1" customHeight="1" outlineLevel="1" x14ac:dyDescent="0.4">
      <c r="A63" s="144"/>
      <c r="B63" s="145" t="s">
        <v>1185</v>
      </c>
      <c r="C63" s="143"/>
    </row>
    <row r="64" spans="1:3" ht="46.8" customHeight="1" collapsed="1" x14ac:dyDescent="0.4">
      <c r="A64" s="142" t="s">
        <v>1186</v>
      </c>
      <c r="C64" s="143"/>
    </row>
    <row r="65" spans="1:3" ht="15.75" hidden="1" customHeight="1" outlineLevel="1" x14ac:dyDescent="0.4">
      <c r="A65" s="144"/>
      <c r="B65" s="145" t="s">
        <v>1187</v>
      </c>
      <c r="C65" s="143"/>
    </row>
    <row r="66" spans="1:3" ht="15.75" hidden="1" customHeight="1" outlineLevel="1" x14ac:dyDescent="0.4">
      <c r="A66" s="144"/>
      <c r="B66" s="145" t="s">
        <v>1188</v>
      </c>
      <c r="C66" s="143"/>
    </row>
    <row r="67" spans="1:3" ht="15.75" hidden="1" customHeight="1" outlineLevel="1" x14ac:dyDescent="0.4">
      <c r="A67" s="144"/>
      <c r="B67" s="145" t="s">
        <v>1189</v>
      </c>
      <c r="C67" s="143"/>
    </row>
    <row r="68" spans="1:3" ht="15.75" hidden="1" customHeight="1" outlineLevel="1" x14ac:dyDescent="0.4">
      <c r="A68" s="144"/>
      <c r="B68" s="145" t="s">
        <v>1190</v>
      </c>
      <c r="C68" s="143"/>
    </row>
    <row r="69" spans="1:3" ht="15.75" hidden="1" customHeight="1" outlineLevel="1" x14ac:dyDescent="0.4">
      <c r="A69" s="144"/>
      <c r="B69" s="145" t="s">
        <v>1191</v>
      </c>
      <c r="C69" s="143"/>
    </row>
    <row r="70" spans="1:3" ht="15.75" hidden="1" customHeight="1" outlineLevel="1" x14ac:dyDescent="0.4">
      <c r="A70" s="144"/>
      <c r="B70" s="145" t="s">
        <v>1192</v>
      </c>
      <c r="C70" s="143"/>
    </row>
    <row r="71" spans="1:3" ht="15.75" hidden="1" customHeight="1" outlineLevel="1" x14ac:dyDescent="0.4">
      <c r="A71" s="144"/>
      <c r="B71" s="145" t="s">
        <v>1193</v>
      </c>
      <c r="C71" s="143"/>
    </row>
    <row r="72" spans="1:3" ht="15.75" hidden="1" customHeight="1" outlineLevel="1" x14ac:dyDescent="0.4">
      <c r="A72" s="144"/>
      <c r="B72" s="145" t="s">
        <v>1194</v>
      </c>
      <c r="C72" s="143"/>
    </row>
    <row r="73" spans="1:3" ht="15.75" hidden="1" customHeight="1" outlineLevel="1" x14ac:dyDescent="0.4">
      <c r="A73" s="144"/>
      <c r="B73" s="145" t="s">
        <v>1195</v>
      </c>
      <c r="C73" s="143"/>
    </row>
    <row r="74" spans="1:3" ht="15.75" hidden="1" customHeight="1" outlineLevel="1" x14ac:dyDescent="0.4">
      <c r="A74" s="144"/>
      <c r="B74" s="145" t="s">
        <v>1196</v>
      </c>
      <c r="C74" s="143"/>
    </row>
    <row r="75" spans="1:3" ht="15.75" hidden="1" customHeight="1" outlineLevel="1" x14ac:dyDescent="0.4">
      <c r="A75" s="144"/>
      <c r="B75" s="145" t="s">
        <v>1197</v>
      </c>
      <c r="C75" s="143"/>
    </row>
    <row r="76" spans="1:3" ht="15.75" hidden="1" customHeight="1" outlineLevel="1" x14ac:dyDescent="0.4">
      <c r="A76" s="144"/>
      <c r="B76" s="145" t="s">
        <v>1198</v>
      </c>
      <c r="C76" s="143"/>
    </row>
    <row r="77" spans="1:3" ht="15.75" hidden="1" customHeight="1" outlineLevel="1" x14ac:dyDescent="0.4">
      <c r="A77" s="144"/>
      <c r="B77" s="145" t="s">
        <v>1199</v>
      </c>
      <c r="C77" s="143"/>
    </row>
    <row r="78" spans="1:3" ht="15.75" hidden="1" customHeight="1" outlineLevel="1" x14ac:dyDescent="0.4">
      <c r="A78" s="144"/>
      <c r="B78" s="145" t="s">
        <v>1200</v>
      </c>
      <c r="C78" s="143"/>
    </row>
    <row r="79" spans="1:3" ht="15.75" hidden="1" customHeight="1" outlineLevel="1" x14ac:dyDescent="0.4">
      <c r="A79" s="144"/>
      <c r="B79" s="145" t="s">
        <v>1201</v>
      </c>
      <c r="C79" s="143"/>
    </row>
    <row r="80" spans="1:3" ht="15.75" hidden="1" customHeight="1" outlineLevel="1" x14ac:dyDescent="0.4">
      <c r="A80" s="144"/>
      <c r="B80" s="145" t="s">
        <v>1202</v>
      </c>
      <c r="C80" s="143"/>
    </row>
    <row r="81" spans="1:3" ht="15.75" hidden="1" customHeight="1" outlineLevel="1" x14ac:dyDescent="0.4">
      <c r="A81" s="144"/>
      <c r="B81" s="145" t="s">
        <v>1203</v>
      </c>
      <c r="C81" s="143"/>
    </row>
    <row r="82" spans="1:3" ht="15.75" hidden="1" customHeight="1" outlineLevel="1" x14ac:dyDescent="0.4">
      <c r="A82" s="144"/>
      <c r="B82" s="145" t="s">
        <v>1204</v>
      </c>
      <c r="C82" s="143"/>
    </row>
    <row r="83" spans="1:3" ht="15.75" hidden="1" customHeight="1" outlineLevel="1" x14ac:dyDescent="0.4">
      <c r="A83" s="144"/>
      <c r="B83" s="145" t="s">
        <v>1205</v>
      </c>
      <c r="C83" s="143"/>
    </row>
    <row r="84" spans="1:3" ht="15.75" hidden="1" customHeight="1" outlineLevel="1" x14ac:dyDescent="0.4">
      <c r="A84" s="144"/>
      <c r="B84" s="145" t="s">
        <v>1206</v>
      </c>
      <c r="C84" s="143"/>
    </row>
    <row r="85" spans="1:3" ht="15.75" hidden="1" customHeight="1" outlineLevel="1" x14ac:dyDescent="0.4">
      <c r="A85" s="144"/>
      <c r="B85" s="145" t="s">
        <v>1207</v>
      </c>
      <c r="C85" s="143"/>
    </row>
    <row r="86" spans="1:3" ht="15.75" hidden="1" customHeight="1" outlineLevel="1" x14ac:dyDescent="0.4">
      <c r="A86" s="144"/>
      <c r="B86" s="145" t="s">
        <v>1208</v>
      </c>
      <c r="C86" s="143"/>
    </row>
    <row r="87" spans="1:3" ht="15.75" hidden="1" customHeight="1" outlineLevel="1" x14ac:dyDescent="0.4">
      <c r="A87" s="144"/>
      <c r="B87" s="145" t="s">
        <v>1209</v>
      </c>
      <c r="C87" s="143"/>
    </row>
    <row r="88" spans="1:3" ht="38.4" collapsed="1" x14ac:dyDescent="0.4">
      <c r="A88" s="142" t="s">
        <v>1210</v>
      </c>
      <c r="B88" s="146"/>
      <c r="C88" s="147"/>
    </row>
    <row r="89" spans="1:3" ht="15.75" hidden="1" customHeight="1" outlineLevel="1" x14ac:dyDescent="0.4">
      <c r="A89" s="144"/>
      <c r="B89" s="148" t="s">
        <v>1136</v>
      </c>
      <c r="C89" s="147"/>
    </row>
    <row r="90" spans="1:3" ht="15.75" hidden="1" customHeight="1" outlineLevel="1" x14ac:dyDescent="0.4">
      <c r="A90" s="144"/>
      <c r="B90" s="148" t="s">
        <v>1137</v>
      </c>
      <c r="C90" s="147"/>
    </row>
    <row r="91" spans="1:3" ht="15.75" hidden="1" customHeight="1" outlineLevel="1" x14ac:dyDescent="0.4">
      <c r="A91" s="144"/>
      <c r="B91" s="148" t="s">
        <v>1138</v>
      </c>
      <c r="C91" s="147"/>
    </row>
    <row r="92" spans="1:3" ht="15.75" hidden="1" customHeight="1" outlineLevel="1" x14ac:dyDescent="0.4">
      <c r="A92" s="144"/>
      <c r="B92" s="148" t="s">
        <v>1211</v>
      </c>
      <c r="C92" s="147"/>
    </row>
    <row r="93" spans="1:3" ht="15.75" hidden="1" customHeight="1" outlineLevel="1" x14ac:dyDescent="0.4">
      <c r="A93" s="144"/>
      <c r="B93" s="148" t="s">
        <v>3922</v>
      </c>
      <c r="C93" s="147"/>
    </row>
    <row r="94" spans="1:3" ht="15.75" hidden="1" customHeight="1" outlineLevel="1" x14ac:dyDescent="0.4">
      <c r="A94" s="144"/>
      <c r="B94" s="148" t="s">
        <v>1212</v>
      </c>
      <c r="C94" s="147"/>
    </row>
    <row r="95" spans="1:3" ht="15.75" hidden="1" customHeight="1" outlineLevel="1" x14ac:dyDescent="0.4">
      <c r="A95" s="144"/>
      <c r="B95" s="148" t="s">
        <v>3923</v>
      </c>
      <c r="C95" s="147"/>
    </row>
    <row r="96" spans="1:3" ht="15.75" hidden="1" customHeight="1" outlineLevel="1" x14ac:dyDescent="0.4">
      <c r="A96" s="144"/>
      <c r="B96" s="148" t="s">
        <v>3924</v>
      </c>
      <c r="C96" s="147"/>
    </row>
    <row r="97" spans="1:3" ht="15.75" hidden="1" customHeight="1" outlineLevel="1" x14ac:dyDescent="0.4">
      <c r="A97" s="144"/>
      <c r="B97" s="148" t="s">
        <v>3925</v>
      </c>
      <c r="C97" s="147"/>
    </row>
    <row r="98" spans="1:3" ht="15.75" hidden="1" customHeight="1" outlineLevel="1" x14ac:dyDescent="0.4">
      <c r="A98" s="144"/>
      <c r="B98" s="148" t="s">
        <v>3926</v>
      </c>
      <c r="C98" s="147"/>
    </row>
    <row r="99" spans="1:3" ht="31.2" hidden="1" customHeight="1" outlineLevel="1" x14ac:dyDescent="0.4">
      <c r="A99" s="144"/>
      <c r="B99" s="148" t="s">
        <v>3927</v>
      </c>
      <c r="C99" s="147"/>
    </row>
    <row r="100" spans="1:3" ht="15.75" hidden="1" customHeight="1" outlineLevel="1" x14ac:dyDescent="0.4">
      <c r="A100" s="144"/>
      <c r="B100" s="148" t="s">
        <v>3928</v>
      </c>
      <c r="C100" s="147"/>
    </row>
    <row r="101" spans="1:3" ht="15.75" hidden="1" customHeight="1" outlineLevel="1" x14ac:dyDescent="0.4">
      <c r="A101" s="144"/>
      <c r="B101" s="148" t="s">
        <v>3929</v>
      </c>
      <c r="C101" s="147"/>
    </row>
    <row r="102" spans="1:3" ht="15.75" hidden="1" customHeight="1" outlineLevel="1" x14ac:dyDescent="0.4">
      <c r="A102" s="144"/>
      <c r="B102" s="148" t="s">
        <v>3930</v>
      </c>
      <c r="C102" s="147"/>
    </row>
    <row r="103" spans="1:3" ht="15.75" hidden="1" customHeight="1" outlineLevel="1" x14ac:dyDescent="0.4">
      <c r="A103" s="144"/>
      <c r="B103" s="148" t="s">
        <v>3931</v>
      </c>
      <c r="C103" s="147"/>
    </row>
    <row r="104" spans="1:3" ht="15.75" hidden="1" customHeight="1" outlineLevel="1" x14ac:dyDescent="0.4">
      <c r="A104" s="144"/>
      <c r="B104" s="148" t="s">
        <v>3932</v>
      </c>
      <c r="C104" s="147"/>
    </row>
    <row r="105" spans="1:3" ht="15.75" hidden="1" customHeight="1" outlineLevel="1" x14ac:dyDescent="0.4">
      <c r="A105" s="144"/>
      <c r="B105" s="148" t="s">
        <v>3933</v>
      </c>
      <c r="C105" s="147"/>
    </row>
    <row r="106" spans="1:3" ht="15.75" hidden="1" customHeight="1" outlineLevel="1" x14ac:dyDescent="0.4">
      <c r="A106" s="144"/>
      <c r="B106" s="148" t="s">
        <v>3934</v>
      </c>
      <c r="C106" s="147"/>
    </row>
    <row r="107" spans="1:3" ht="15.75" hidden="1" customHeight="1" outlineLevel="1" x14ac:dyDescent="0.4">
      <c r="A107" s="144"/>
      <c r="B107" s="148" t="s">
        <v>3935</v>
      </c>
      <c r="C107" s="147"/>
    </row>
    <row r="108" spans="1:3" ht="15.75" hidden="1" customHeight="1" outlineLevel="1" x14ac:dyDescent="0.4">
      <c r="A108" s="144"/>
      <c r="B108" s="148" t="s">
        <v>3936</v>
      </c>
      <c r="C108" s="147"/>
    </row>
    <row r="109" spans="1:3" ht="15.75" hidden="1" customHeight="1" outlineLevel="1" x14ac:dyDescent="0.4">
      <c r="A109" s="144"/>
      <c r="B109" s="148" t="s">
        <v>3937</v>
      </c>
      <c r="C109" s="147"/>
    </row>
    <row r="110" spans="1:3" ht="15.75" hidden="1" customHeight="1" outlineLevel="1" x14ac:dyDescent="0.4">
      <c r="A110" s="144"/>
      <c r="B110" s="148" t="s">
        <v>3938</v>
      </c>
      <c r="C110" s="147"/>
    </row>
    <row r="111" spans="1:3" ht="15.75" hidden="1" customHeight="1" outlineLevel="1" x14ac:dyDescent="0.4">
      <c r="A111" s="144"/>
      <c r="B111" s="148" t="s">
        <v>3939</v>
      </c>
      <c r="C111" s="147"/>
    </row>
    <row r="112" spans="1:3" ht="19.2" collapsed="1" x14ac:dyDescent="0.4">
      <c r="A112" s="142" t="s">
        <v>1213</v>
      </c>
      <c r="B112" s="146"/>
      <c r="C112" s="147"/>
    </row>
    <row r="113" spans="1:3" ht="15.75" hidden="1" customHeight="1" outlineLevel="1" x14ac:dyDescent="0.4">
      <c r="A113" s="144"/>
      <c r="B113" s="148" t="s">
        <v>1136</v>
      </c>
      <c r="C113" s="147"/>
    </row>
    <row r="114" spans="1:3" ht="15.75" hidden="1" customHeight="1" outlineLevel="1" x14ac:dyDescent="0.4">
      <c r="A114" s="144"/>
      <c r="B114" s="148" t="s">
        <v>1137</v>
      </c>
      <c r="C114" s="147"/>
    </row>
    <row r="115" spans="1:3" ht="15.75" hidden="1" customHeight="1" outlineLevel="1" x14ac:dyDescent="0.4">
      <c r="A115" s="144"/>
      <c r="B115" s="148" t="s">
        <v>1138</v>
      </c>
      <c r="C115" s="147"/>
    </row>
    <row r="116" spans="1:3" ht="15.75" hidden="1" customHeight="1" outlineLevel="1" x14ac:dyDescent="0.4">
      <c r="A116" s="144"/>
      <c r="B116" s="148" t="s">
        <v>1214</v>
      </c>
      <c r="C116" s="147"/>
    </row>
    <row r="117" spans="1:3" ht="15.75" hidden="1" customHeight="1" outlineLevel="1" x14ac:dyDescent="0.4">
      <c r="A117" s="144"/>
      <c r="B117" s="148" t="s">
        <v>1215</v>
      </c>
      <c r="C117" s="147"/>
    </row>
    <row r="118" spans="1:3" ht="15.75" hidden="1" customHeight="1" outlineLevel="1" x14ac:dyDescent="0.4">
      <c r="A118" s="144"/>
      <c r="B118" s="148" t="s">
        <v>1216</v>
      </c>
      <c r="C118" s="147"/>
    </row>
    <row r="119" spans="1:3" ht="15.75" hidden="1" customHeight="1" outlineLevel="1" x14ac:dyDescent="0.4">
      <c r="A119" s="144"/>
      <c r="B119" s="148" t="s">
        <v>1217</v>
      </c>
      <c r="C119" s="147"/>
    </row>
    <row r="120" spans="1:3" ht="15.75" hidden="1" customHeight="1" outlineLevel="1" x14ac:dyDescent="0.4">
      <c r="A120" s="144"/>
      <c r="B120" s="148" t="s">
        <v>1218</v>
      </c>
      <c r="C120" s="147"/>
    </row>
    <row r="121" spans="1:3" ht="15.75" hidden="1" customHeight="1" outlineLevel="1" x14ac:dyDescent="0.4">
      <c r="A121" s="144"/>
      <c r="B121" s="148" t="s">
        <v>1219</v>
      </c>
      <c r="C121" s="147"/>
    </row>
    <row r="122" spans="1:3" ht="15.75" hidden="1" customHeight="1" outlineLevel="1" x14ac:dyDescent="0.4">
      <c r="A122" s="144"/>
      <c r="B122" s="148" t="s">
        <v>1220</v>
      </c>
      <c r="C122" s="147"/>
    </row>
    <row r="123" spans="1:3" ht="15.75" hidden="1" customHeight="1" outlineLevel="1" x14ac:dyDescent="0.4">
      <c r="A123" s="144"/>
      <c r="B123" s="148" t="s">
        <v>1221</v>
      </c>
      <c r="C123" s="147"/>
    </row>
    <row r="124" spans="1:3" ht="15.75" hidden="1" customHeight="1" outlineLevel="1" x14ac:dyDescent="0.4">
      <c r="A124" s="144"/>
      <c r="B124" s="148" t="s">
        <v>1222</v>
      </c>
      <c r="C124" s="147"/>
    </row>
    <row r="125" spans="1:3" ht="15.75" hidden="1" customHeight="1" outlineLevel="1" x14ac:dyDescent="0.4">
      <c r="A125" s="144"/>
      <c r="B125" s="148" t="s">
        <v>1223</v>
      </c>
      <c r="C125" s="147"/>
    </row>
    <row r="126" spans="1:3" ht="15.75" hidden="1" customHeight="1" outlineLevel="1" x14ac:dyDescent="0.4">
      <c r="A126" s="144"/>
      <c r="B126" s="148" t="s">
        <v>1224</v>
      </c>
      <c r="C126" s="147"/>
    </row>
    <row r="127" spans="1:3" ht="15.75" hidden="1" customHeight="1" outlineLevel="1" x14ac:dyDescent="0.4">
      <c r="A127" s="144"/>
      <c r="B127" s="148" t="s">
        <v>1225</v>
      </c>
      <c r="C127" s="147"/>
    </row>
    <row r="128" spans="1:3" ht="15.75" hidden="1" customHeight="1" outlineLevel="1" x14ac:dyDescent="0.4">
      <c r="A128" s="144"/>
      <c r="B128" s="148" t="s">
        <v>1226</v>
      </c>
      <c r="C128" s="147"/>
    </row>
    <row r="129" spans="1:3" ht="15.75" hidden="1" customHeight="1" outlineLevel="1" x14ac:dyDescent="0.4">
      <c r="A129" s="144"/>
      <c r="B129" s="148" t="s">
        <v>1227</v>
      </c>
      <c r="C129" s="147"/>
    </row>
    <row r="130" spans="1:3" ht="15.75" hidden="1" customHeight="1" outlineLevel="1" x14ac:dyDescent="0.4">
      <c r="A130" s="144"/>
      <c r="B130" s="148" t="s">
        <v>1228</v>
      </c>
      <c r="C130" s="147"/>
    </row>
    <row r="131" spans="1:3" ht="15.75" hidden="1" customHeight="1" outlineLevel="1" x14ac:dyDescent="0.4">
      <c r="A131" s="144"/>
      <c r="B131" s="148" t="s">
        <v>1229</v>
      </c>
      <c r="C131" s="147"/>
    </row>
    <row r="132" spans="1:3" ht="15.75" hidden="1" customHeight="1" outlineLevel="1" x14ac:dyDescent="0.4">
      <c r="A132" s="144"/>
      <c r="B132" s="148" t="s">
        <v>1230</v>
      </c>
      <c r="C132" s="147"/>
    </row>
    <row r="133" spans="1:3" ht="15.75" hidden="1" customHeight="1" outlineLevel="1" x14ac:dyDescent="0.4">
      <c r="A133" s="144"/>
      <c r="B133" s="148" t="s">
        <v>1231</v>
      </c>
      <c r="C133" s="147"/>
    </row>
    <row r="134" spans="1:3" ht="15.75" hidden="1" customHeight="1" outlineLevel="1" x14ac:dyDescent="0.4">
      <c r="A134" s="144"/>
      <c r="B134" s="148" t="s">
        <v>1232</v>
      </c>
      <c r="C134" s="147"/>
    </row>
    <row r="135" spans="1:3" ht="15.75" hidden="1" customHeight="1" outlineLevel="1" x14ac:dyDescent="0.4">
      <c r="A135" s="144"/>
      <c r="B135" s="148" t="s">
        <v>1233</v>
      </c>
      <c r="C135" s="147"/>
    </row>
    <row r="136" spans="1:3" ht="15.75" hidden="1" customHeight="1" outlineLevel="1" x14ac:dyDescent="0.4">
      <c r="A136" s="144"/>
      <c r="B136" s="148" t="s">
        <v>1234</v>
      </c>
      <c r="C136" s="147"/>
    </row>
    <row r="137" spans="1:3" ht="15.75" hidden="1" customHeight="1" outlineLevel="1" x14ac:dyDescent="0.4">
      <c r="A137" s="144"/>
      <c r="B137" s="148" t="s">
        <v>1235</v>
      </c>
      <c r="C137" s="147"/>
    </row>
    <row r="138" spans="1:3" ht="15.75" hidden="1" customHeight="1" outlineLevel="1" x14ac:dyDescent="0.4">
      <c r="A138" s="144"/>
      <c r="B138" s="148" t="s">
        <v>1236</v>
      </c>
      <c r="C138" s="147"/>
    </row>
    <row r="139" spans="1:3" ht="15.75" hidden="1" customHeight="1" outlineLevel="1" x14ac:dyDescent="0.4">
      <c r="A139" s="144"/>
      <c r="B139" s="148" t="s">
        <v>1237</v>
      </c>
      <c r="C139" s="147"/>
    </row>
    <row r="140" spans="1:3" ht="15.75" hidden="1" customHeight="1" outlineLevel="1" x14ac:dyDescent="0.4">
      <c r="A140" s="144"/>
      <c r="B140" s="148" t="s">
        <v>1238</v>
      </c>
      <c r="C140" s="147"/>
    </row>
    <row r="141" spans="1:3" ht="15.75" hidden="1" customHeight="1" outlineLevel="1" x14ac:dyDescent="0.4">
      <c r="A141" s="144"/>
      <c r="B141" s="148" t="s">
        <v>1239</v>
      </c>
      <c r="C141" s="147"/>
    </row>
    <row r="142" spans="1:3" ht="15.75" hidden="1" customHeight="1" outlineLevel="1" x14ac:dyDescent="0.4">
      <c r="A142" s="144"/>
      <c r="B142" s="148" t="s">
        <v>1240</v>
      </c>
      <c r="C142" s="147"/>
    </row>
    <row r="143" spans="1:3" ht="15.75" hidden="1" customHeight="1" outlineLevel="1" x14ac:dyDescent="0.4">
      <c r="A143" s="144"/>
      <c r="B143" s="148" t="s">
        <v>1241</v>
      </c>
      <c r="C143" s="147"/>
    </row>
    <row r="144" spans="1:3" ht="15.75" hidden="1" customHeight="1" outlineLevel="1" x14ac:dyDescent="0.4">
      <c r="A144" s="144"/>
      <c r="B144" s="148" t="s">
        <v>1242</v>
      </c>
      <c r="C144" s="147"/>
    </row>
    <row r="145" spans="1:3" ht="15.75" hidden="1" customHeight="1" outlineLevel="1" x14ac:dyDescent="0.4">
      <c r="A145" s="144"/>
      <c r="B145" s="148" t="s">
        <v>1243</v>
      </c>
      <c r="C145" s="147"/>
    </row>
    <row r="146" spans="1:3" ht="15.75" hidden="1" customHeight="1" outlineLevel="1" x14ac:dyDescent="0.4">
      <c r="A146" s="144"/>
      <c r="B146" s="148" t="s">
        <v>1244</v>
      </c>
      <c r="C146" s="147"/>
    </row>
    <row r="147" spans="1:3" ht="15.75" hidden="1" customHeight="1" outlineLevel="1" x14ac:dyDescent="0.4">
      <c r="A147" s="144"/>
      <c r="B147" s="148" t="s">
        <v>1245</v>
      </c>
      <c r="C147" s="147"/>
    </row>
    <row r="148" spans="1:3" ht="15.75" hidden="1" customHeight="1" outlineLevel="1" x14ac:dyDescent="0.4">
      <c r="A148" s="144"/>
      <c r="B148" s="148" t="s">
        <v>1246</v>
      </c>
      <c r="C148" s="147"/>
    </row>
    <row r="149" spans="1:3" ht="15.75" hidden="1" customHeight="1" outlineLevel="1" x14ac:dyDescent="0.4">
      <c r="A149" s="144"/>
      <c r="B149" s="148" t="s">
        <v>1247</v>
      </c>
      <c r="C149" s="147"/>
    </row>
    <row r="150" spans="1:3" ht="15.75" hidden="1" customHeight="1" outlineLevel="1" x14ac:dyDescent="0.4">
      <c r="A150" s="144"/>
      <c r="B150" s="148" t="s">
        <v>1248</v>
      </c>
      <c r="C150" s="147"/>
    </row>
    <row r="151" spans="1:3" ht="15.75" hidden="1" customHeight="1" outlineLevel="1" x14ac:dyDescent="0.4">
      <c r="A151" s="144"/>
      <c r="B151" s="148" t="s">
        <v>1249</v>
      </c>
      <c r="C151" s="147"/>
    </row>
    <row r="152" spans="1:3" ht="15.75" hidden="1" customHeight="1" outlineLevel="1" x14ac:dyDescent="0.4">
      <c r="A152" s="144"/>
      <c r="B152" s="148" t="s">
        <v>1250</v>
      </c>
      <c r="C152" s="147"/>
    </row>
    <row r="153" spans="1:3" ht="15.75" hidden="1" customHeight="1" outlineLevel="1" x14ac:dyDescent="0.4">
      <c r="A153" s="144"/>
      <c r="B153" s="148" t="s">
        <v>1251</v>
      </c>
      <c r="C153" s="147"/>
    </row>
    <row r="154" spans="1:3" ht="15.75" hidden="1" customHeight="1" outlineLevel="1" x14ac:dyDescent="0.4">
      <c r="A154" s="144"/>
      <c r="B154" s="148" t="s">
        <v>1252</v>
      </c>
      <c r="C154" s="147"/>
    </row>
    <row r="155" spans="1:3" ht="15.75" hidden="1" customHeight="1" outlineLevel="1" x14ac:dyDescent="0.4">
      <c r="A155" s="144"/>
      <c r="B155" s="148" t="s">
        <v>1253</v>
      </c>
      <c r="C155" s="147"/>
    </row>
    <row r="156" spans="1:3" ht="15.75" hidden="1" customHeight="1" outlineLevel="1" x14ac:dyDescent="0.4">
      <c r="A156" s="144"/>
      <c r="B156" s="148" t="s">
        <v>1254</v>
      </c>
      <c r="C156" s="147"/>
    </row>
    <row r="157" spans="1:3" ht="15.75" hidden="1" customHeight="1" outlineLevel="1" x14ac:dyDescent="0.4">
      <c r="A157" s="144"/>
      <c r="B157" s="148" t="s">
        <v>1255</v>
      </c>
      <c r="C157" s="147"/>
    </row>
    <row r="158" spans="1:3" ht="15.75" hidden="1" customHeight="1" outlineLevel="1" x14ac:dyDescent="0.4">
      <c r="A158" s="144"/>
      <c r="B158" s="148" t="s">
        <v>1256</v>
      </c>
      <c r="C158" s="147"/>
    </row>
    <row r="159" spans="1:3" ht="15.75" hidden="1" customHeight="1" outlineLevel="1" x14ac:dyDescent="0.4">
      <c r="A159" s="144"/>
      <c r="B159" s="148" t="s">
        <v>1257</v>
      </c>
      <c r="C159" s="147"/>
    </row>
    <row r="160" spans="1:3" ht="15.75" hidden="1" customHeight="1" outlineLevel="1" x14ac:dyDescent="0.4">
      <c r="A160" s="144"/>
      <c r="B160" s="148" t="s">
        <v>1258</v>
      </c>
      <c r="C160" s="147"/>
    </row>
    <row r="161" spans="1:3" ht="15.75" hidden="1" customHeight="1" outlineLevel="1" x14ac:dyDescent="0.4">
      <c r="A161" s="144"/>
      <c r="B161" s="148" t="s">
        <v>1259</v>
      </c>
      <c r="C161" s="147"/>
    </row>
    <row r="162" spans="1:3" ht="15.75" hidden="1" customHeight="1" outlineLevel="1" x14ac:dyDescent="0.4">
      <c r="A162" s="144"/>
      <c r="B162" s="148" t="s">
        <v>1260</v>
      </c>
      <c r="C162" s="147"/>
    </row>
    <row r="163" spans="1:3" ht="15.75" hidden="1" customHeight="1" outlineLevel="1" x14ac:dyDescent="0.4">
      <c r="A163" s="144"/>
      <c r="B163" s="148" t="s">
        <v>1261</v>
      </c>
      <c r="C163" s="147"/>
    </row>
    <row r="164" spans="1:3" ht="15.75" hidden="1" customHeight="1" outlineLevel="1" x14ac:dyDescent="0.4">
      <c r="A164" s="144"/>
      <c r="B164" s="148" t="s">
        <v>1262</v>
      </c>
      <c r="C164" s="147"/>
    </row>
    <row r="165" spans="1:3" ht="15.75" hidden="1" customHeight="1" outlineLevel="1" x14ac:dyDescent="0.4">
      <c r="A165" s="144"/>
      <c r="B165" s="148" t="s">
        <v>1263</v>
      </c>
      <c r="C165" s="147"/>
    </row>
    <row r="166" spans="1:3" ht="15.75" hidden="1" customHeight="1" outlineLevel="1" x14ac:dyDescent="0.4">
      <c r="A166" s="144"/>
      <c r="B166" s="148" t="s">
        <v>1264</v>
      </c>
      <c r="C166" s="147"/>
    </row>
    <row r="167" spans="1:3" ht="15.75" hidden="1" customHeight="1" outlineLevel="1" x14ac:dyDescent="0.4">
      <c r="A167" s="144"/>
      <c r="B167" s="148" t="s">
        <v>1265</v>
      </c>
      <c r="C167" s="147"/>
    </row>
    <row r="168" spans="1:3" ht="15.75" hidden="1" customHeight="1" outlineLevel="1" x14ac:dyDescent="0.4">
      <c r="A168" s="144"/>
      <c r="B168" s="148" t="s">
        <v>1266</v>
      </c>
      <c r="C168" s="147"/>
    </row>
    <row r="169" spans="1:3" ht="15.75" hidden="1" customHeight="1" outlineLevel="1" x14ac:dyDescent="0.4">
      <c r="A169" s="144"/>
      <c r="B169" s="148" t="s">
        <v>1267</v>
      </c>
      <c r="C169" s="147"/>
    </row>
    <row r="170" spans="1:3" ht="15.75" hidden="1" customHeight="1" outlineLevel="1" x14ac:dyDescent="0.4">
      <c r="A170" s="144"/>
      <c r="B170" s="148" t="s">
        <v>1268</v>
      </c>
      <c r="C170" s="147"/>
    </row>
    <row r="171" spans="1:3" ht="15.75" hidden="1" customHeight="1" outlineLevel="1" x14ac:dyDescent="0.4">
      <c r="A171" s="144"/>
      <c r="B171" s="148" t="s">
        <v>1269</v>
      </c>
      <c r="C171" s="147"/>
    </row>
    <row r="172" spans="1:3" ht="15.75" hidden="1" customHeight="1" outlineLevel="1" x14ac:dyDescent="0.4">
      <c r="A172" s="144"/>
      <c r="B172" s="148" t="s">
        <v>1270</v>
      </c>
      <c r="C172" s="147"/>
    </row>
    <row r="173" spans="1:3" ht="15.75" hidden="1" customHeight="1" outlineLevel="1" x14ac:dyDescent="0.4">
      <c r="A173" s="144"/>
      <c r="B173" s="148" t="s">
        <v>1271</v>
      </c>
      <c r="C173" s="147"/>
    </row>
    <row r="174" spans="1:3" ht="15.75" hidden="1" customHeight="1" outlineLevel="1" x14ac:dyDescent="0.4">
      <c r="A174" s="144"/>
      <c r="B174" s="148" t="s">
        <v>1272</v>
      </c>
      <c r="C174" s="147"/>
    </row>
    <row r="175" spans="1:3" ht="38.4" collapsed="1" x14ac:dyDescent="0.4">
      <c r="A175" s="142" t="s">
        <v>1273</v>
      </c>
      <c r="B175" s="146"/>
      <c r="C175" s="149"/>
    </row>
    <row r="176" spans="1:3" ht="15.75" hidden="1" customHeight="1" outlineLevel="1" x14ac:dyDescent="0.4">
      <c r="A176" s="144"/>
      <c r="B176" s="148" t="s">
        <v>1136</v>
      </c>
      <c r="C176" s="149"/>
    </row>
    <row r="177" spans="1:3" ht="15.75" hidden="1" customHeight="1" outlineLevel="1" x14ac:dyDescent="0.4">
      <c r="A177" s="144"/>
      <c r="B177" s="148" t="s">
        <v>1137</v>
      </c>
      <c r="C177" s="149"/>
    </row>
    <row r="178" spans="1:3" ht="15.75" hidden="1" customHeight="1" outlineLevel="1" x14ac:dyDescent="0.4">
      <c r="A178" s="144"/>
      <c r="B178" s="148" t="s">
        <v>1138</v>
      </c>
      <c r="C178" s="149"/>
    </row>
    <row r="179" spans="1:3" ht="15.75" hidden="1" customHeight="1" outlineLevel="1" x14ac:dyDescent="0.4">
      <c r="A179" s="144"/>
      <c r="B179" s="148" t="s">
        <v>1274</v>
      </c>
      <c r="C179" s="149"/>
    </row>
    <row r="180" spans="1:3" ht="15.75" hidden="1" customHeight="1" outlineLevel="1" x14ac:dyDescent="0.4">
      <c r="A180" s="144"/>
      <c r="B180" s="148" t="s">
        <v>1275</v>
      </c>
      <c r="C180" s="149"/>
    </row>
    <row r="181" spans="1:3" ht="15.75" hidden="1" customHeight="1" outlineLevel="1" x14ac:dyDescent="0.4">
      <c r="A181" s="144"/>
      <c r="B181" s="148" t="s">
        <v>1276</v>
      </c>
      <c r="C181" s="149"/>
    </row>
    <row r="182" spans="1:3" ht="15.75" hidden="1" customHeight="1" outlineLevel="1" x14ac:dyDescent="0.4">
      <c r="A182" s="144"/>
      <c r="B182" s="148" t="s">
        <v>1277</v>
      </c>
      <c r="C182" s="149"/>
    </row>
    <row r="183" spans="1:3" ht="15.75" hidden="1" customHeight="1" outlineLevel="1" x14ac:dyDescent="0.4">
      <c r="A183" s="144"/>
      <c r="B183" s="148" t="s">
        <v>1278</v>
      </c>
      <c r="C183" s="149"/>
    </row>
    <row r="184" spans="1:3" ht="15.75" hidden="1" customHeight="1" outlineLevel="1" x14ac:dyDescent="0.4">
      <c r="A184" s="144"/>
      <c r="B184" s="148" t="s">
        <v>1279</v>
      </c>
      <c r="C184" s="149"/>
    </row>
    <row r="185" spans="1:3" ht="15.75" hidden="1" customHeight="1" outlineLevel="1" x14ac:dyDescent="0.4">
      <c r="A185" s="144"/>
      <c r="B185" s="148" t="s">
        <v>1280</v>
      </c>
      <c r="C185" s="149"/>
    </row>
    <row r="186" spans="1:3" ht="15.75" hidden="1" customHeight="1" outlineLevel="1" x14ac:dyDescent="0.4">
      <c r="A186" s="144"/>
      <c r="B186" s="148" t="s">
        <v>1281</v>
      </c>
      <c r="C186" s="149"/>
    </row>
    <row r="187" spans="1:3" ht="19.2" collapsed="1" x14ac:dyDescent="0.4">
      <c r="A187" s="142" t="s">
        <v>1282</v>
      </c>
      <c r="B187" s="146"/>
      <c r="C187" s="149"/>
    </row>
    <row r="188" spans="1:3" ht="15.75" hidden="1" customHeight="1" outlineLevel="1" x14ac:dyDescent="0.4">
      <c r="A188" s="144"/>
      <c r="B188" s="148" t="s">
        <v>1136</v>
      </c>
      <c r="C188" s="149"/>
    </row>
    <row r="189" spans="1:3" ht="15.75" hidden="1" customHeight="1" outlineLevel="1" x14ac:dyDescent="0.4">
      <c r="A189" s="144"/>
      <c r="B189" s="148" t="s">
        <v>1137</v>
      </c>
      <c r="C189" s="149"/>
    </row>
    <row r="190" spans="1:3" ht="15.75" hidden="1" customHeight="1" outlineLevel="1" x14ac:dyDescent="0.4">
      <c r="A190" s="144"/>
      <c r="B190" s="148" t="s">
        <v>1138</v>
      </c>
      <c r="C190" s="149"/>
    </row>
    <row r="191" spans="1:3" ht="15.75" hidden="1" customHeight="1" outlineLevel="1" x14ac:dyDescent="0.4">
      <c r="A191" s="144"/>
      <c r="B191" s="148" t="s">
        <v>1283</v>
      </c>
      <c r="C191" s="149"/>
    </row>
    <row r="192" spans="1:3" ht="15.75" hidden="1" customHeight="1" outlineLevel="1" x14ac:dyDescent="0.4">
      <c r="A192" s="144"/>
      <c r="B192" s="148" t="s">
        <v>1284</v>
      </c>
      <c r="C192" s="149"/>
    </row>
    <row r="193" spans="1:3" ht="15.75" hidden="1" customHeight="1" outlineLevel="1" x14ac:dyDescent="0.4">
      <c r="A193" s="144"/>
      <c r="B193" s="148" t="s">
        <v>1285</v>
      </c>
      <c r="C193" s="149"/>
    </row>
    <row r="194" spans="1:3" ht="15.75" hidden="1" customHeight="1" outlineLevel="1" x14ac:dyDescent="0.4">
      <c r="A194" s="144"/>
      <c r="B194" s="148" t="s">
        <v>1286</v>
      </c>
      <c r="C194" s="149"/>
    </row>
    <row r="195" spans="1:3" ht="15.75" hidden="1" customHeight="1" outlineLevel="1" x14ac:dyDescent="0.4">
      <c r="A195" s="144"/>
      <c r="B195" s="148" t="s">
        <v>1287</v>
      </c>
      <c r="C195" s="149"/>
    </row>
    <row r="196" spans="1:3" ht="15.75" hidden="1" customHeight="1" outlineLevel="1" x14ac:dyDescent="0.4">
      <c r="A196" s="144"/>
      <c r="B196" s="148" t="s">
        <v>1288</v>
      </c>
      <c r="C196" s="149"/>
    </row>
    <row r="197" spans="1:3" ht="15.75" hidden="1" customHeight="1" outlineLevel="1" x14ac:dyDescent="0.4">
      <c r="A197" s="144"/>
      <c r="B197" s="148" t="s">
        <v>1289</v>
      </c>
      <c r="C197" s="149"/>
    </row>
    <row r="198" spans="1:3" ht="31.2" customHeight="1" collapsed="1" x14ac:dyDescent="0.4">
      <c r="A198" s="142" t="s">
        <v>1290</v>
      </c>
      <c r="B198" s="146"/>
      <c r="C198" s="149"/>
    </row>
    <row r="199" spans="1:3" ht="15.75" hidden="1" customHeight="1" outlineLevel="1" x14ac:dyDescent="0.4">
      <c r="A199" s="144"/>
      <c r="B199" s="148" t="s">
        <v>1136</v>
      </c>
      <c r="C199" s="149"/>
    </row>
    <row r="200" spans="1:3" ht="15.75" hidden="1" customHeight="1" outlineLevel="1" x14ac:dyDescent="0.4">
      <c r="A200" s="144"/>
      <c r="B200" s="148" t="s">
        <v>1137</v>
      </c>
      <c r="C200" s="149"/>
    </row>
    <row r="201" spans="1:3" ht="15.75" hidden="1" customHeight="1" outlineLevel="1" x14ac:dyDescent="0.4">
      <c r="A201" s="144"/>
      <c r="B201" s="148" t="s">
        <v>1138</v>
      </c>
      <c r="C201" s="149"/>
    </row>
    <row r="202" spans="1:3" ht="15.75" hidden="1" customHeight="1" outlineLevel="1" x14ac:dyDescent="0.4">
      <c r="A202" s="144"/>
      <c r="B202" s="148" t="s">
        <v>1291</v>
      </c>
      <c r="C202" s="149"/>
    </row>
    <row r="203" spans="1:3" ht="15.75" hidden="1" customHeight="1" outlineLevel="1" x14ac:dyDescent="0.4">
      <c r="A203" s="144"/>
      <c r="B203" s="148" t="s">
        <v>1292</v>
      </c>
      <c r="C203" s="149"/>
    </row>
    <row r="204" spans="1:3" ht="15.75" hidden="1" customHeight="1" outlineLevel="1" x14ac:dyDescent="0.4">
      <c r="A204" s="144"/>
      <c r="B204" s="148" t="s">
        <v>1293</v>
      </c>
      <c r="C204" s="149"/>
    </row>
    <row r="205" spans="1:3" ht="15.75" hidden="1" customHeight="1" outlineLevel="1" x14ac:dyDescent="0.4">
      <c r="A205" s="144"/>
      <c r="B205" s="148" t="s">
        <v>1294</v>
      </c>
      <c r="C205" s="149"/>
    </row>
    <row r="206" spans="1:3" ht="15.75" hidden="1" customHeight="1" outlineLevel="1" x14ac:dyDescent="0.4">
      <c r="A206" s="144"/>
      <c r="B206" s="148" t="s">
        <v>1295</v>
      </c>
      <c r="C206" s="149"/>
    </row>
    <row r="207" spans="1:3" ht="15.75" hidden="1" customHeight="1" outlineLevel="1" x14ac:dyDescent="0.4">
      <c r="A207" s="144"/>
      <c r="B207" s="148" t="s">
        <v>1296</v>
      </c>
      <c r="C207" s="149"/>
    </row>
    <row r="208" spans="1:3" ht="15.75" hidden="1" customHeight="1" outlineLevel="1" x14ac:dyDescent="0.4">
      <c r="A208" s="144"/>
      <c r="B208" s="148" t="s">
        <v>1297</v>
      </c>
      <c r="C208" s="149"/>
    </row>
    <row r="209" spans="1:3" ht="15.75" hidden="1" customHeight="1" outlineLevel="1" x14ac:dyDescent="0.4">
      <c r="A209" s="144"/>
      <c r="B209" s="148" t="s">
        <v>1298</v>
      </c>
      <c r="C209" s="149"/>
    </row>
    <row r="210" spans="1:3" ht="15.75" hidden="1" customHeight="1" outlineLevel="1" x14ac:dyDescent="0.4">
      <c r="A210" s="144"/>
      <c r="B210" s="148" t="s">
        <v>1299</v>
      </c>
      <c r="C210" s="149"/>
    </row>
    <row r="211" spans="1:3" ht="15.75" hidden="1" customHeight="1" outlineLevel="1" x14ac:dyDescent="0.4">
      <c r="A211" s="144"/>
      <c r="B211" s="148" t="s">
        <v>1300</v>
      </c>
      <c r="C211" s="149"/>
    </row>
    <row r="212" spans="1:3" ht="19.2" collapsed="1" x14ac:dyDescent="0.4">
      <c r="A212" s="150" t="s">
        <v>1301</v>
      </c>
      <c r="B212" s="146"/>
      <c r="C212" s="149" t="s">
        <v>3940</v>
      </c>
    </row>
    <row r="213" spans="1:3" ht="19.2" x14ac:dyDescent="0.4">
      <c r="A213" s="150" t="s">
        <v>1302</v>
      </c>
      <c r="B213" s="146"/>
      <c r="C213" s="149"/>
    </row>
    <row r="214" spans="1:3" ht="19.2" x14ac:dyDescent="0.4">
      <c r="A214" s="150" t="s">
        <v>1303</v>
      </c>
      <c r="B214" s="146"/>
      <c r="C214" s="149"/>
    </row>
    <row r="215" spans="1:3" ht="19.2" x14ac:dyDescent="0.4">
      <c r="A215" s="150" t="s">
        <v>1304</v>
      </c>
      <c r="B215" s="146"/>
      <c r="C215" s="149" t="s">
        <v>1305</v>
      </c>
    </row>
    <row r="216" spans="1:3" ht="19.2" x14ac:dyDescent="0.4">
      <c r="A216" s="150" t="s">
        <v>1306</v>
      </c>
      <c r="B216" s="146"/>
      <c r="C216" s="149"/>
    </row>
    <row r="217" spans="1:3" ht="19.2" x14ac:dyDescent="0.4">
      <c r="A217" s="150" t="s">
        <v>1307</v>
      </c>
      <c r="B217" s="146"/>
      <c r="C217" s="149"/>
    </row>
    <row r="218" spans="1:3" ht="31.2" customHeight="1" x14ac:dyDescent="0.4">
      <c r="A218" s="150" t="s">
        <v>1308</v>
      </c>
      <c r="B218" s="146"/>
      <c r="C218" s="149"/>
    </row>
    <row r="219" spans="1:3" ht="19.8" thickBot="1" x14ac:dyDescent="0.45">
      <c r="A219" s="151" t="s">
        <v>1309</v>
      </c>
      <c r="B219" s="152"/>
      <c r="C219" s="153" t="s">
        <v>1310</v>
      </c>
    </row>
    <row r="220" spans="1:3" ht="19.8" thickBot="1" x14ac:dyDescent="0.45">
      <c r="A220" s="150"/>
      <c r="B220" s="146"/>
    </row>
    <row r="221" spans="1:3" ht="29.4" x14ac:dyDescent="0.4">
      <c r="A221" s="417" t="s">
        <v>2895</v>
      </c>
      <c r="B221" s="418"/>
      <c r="C221" s="419"/>
    </row>
    <row r="222" spans="1:3" ht="24.6" x14ac:dyDescent="0.4">
      <c r="A222" s="139" t="s">
        <v>2896</v>
      </c>
      <c r="B222" s="139" t="s">
        <v>2897</v>
      </c>
      <c r="C222" s="154" t="s">
        <v>2898</v>
      </c>
    </row>
    <row r="223" spans="1:3" ht="14.4" customHeight="1" x14ac:dyDescent="0.45">
      <c r="A223" s="407" t="s">
        <v>2899</v>
      </c>
      <c r="B223" s="155" t="s">
        <v>2900</v>
      </c>
      <c r="C223" s="409" t="s">
        <v>2901</v>
      </c>
    </row>
    <row r="224" spans="1:3" ht="19.2" x14ac:dyDescent="0.45">
      <c r="A224" s="407"/>
      <c r="B224" s="155" t="s">
        <v>2902</v>
      </c>
      <c r="C224" s="409"/>
    </row>
    <row r="225" spans="1:3" ht="19.2" x14ac:dyDescent="0.45">
      <c r="A225" s="407"/>
      <c r="B225" s="155" t="s">
        <v>2903</v>
      </c>
      <c r="C225" s="409"/>
    </row>
    <row r="226" spans="1:3" ht="19.2" x14ac:dyDescent="0.45">
      <c r="A226" s="407"/>
      <c r="B226" s="155" t="s">
        <v>2904</v>
      </c>
      <c r="C226" s="409"/>
    </row>
    <row r="227" spans="1:3" ht="19.2" x14ac:dyDescent="0.45">
      <c r="A227" s="407" t="s">
        <v>2905</v>
      </c>
      <c r="B227" s="155" t="s">
        <v>2906</v>
      </c>
      <c r="C227" s="409"/>
    </row>
    <row r="228" spans="1:3" ht="19.2" x14ac:dyDescent="0.45">
      <c r="A228" s="407"/>
      <c r="B228" s="155" t="s">
        <v>2907</v>
      </c>
      <c r="C228" s="409"/>
    </row>
    <row r="229" spans="1:3" ht="19.2" x14ac:dyDescent="0.45">
      <c r="A229" s="407"/>
      <c r="B229" s="155" t="s">
        <v>2908</v>
      </c>
      <c r="C229" s="409"/>
    </row>
    <row r="230" spans="1:3" ht="19.2" x14ac:dyDescent="0.45">
      <c r="A230" s="156" t="s">
        <v>2909</v>
      </c>
      <c r="B230" s="155" t="s">
        <v>2910</v>
      </c>
      <c r="C230" s="409"/>
    </row>
    <row r="231" spans="1:3" ht="19.2" x14ac:dyDescent="0.45">
      <c r="A231" s="411" t="s">
        <v>2911</v>
      </c>
      <c r="B231" s="157" t="s">
        <v>2912</v>
      </c>
      <c r="C231" s="412" t="s">
        <v>2913</v>
      </c>
    </row>
    <row r="232" spans="1:3" ht="19.2" x14ac:dyDescent="0.45">
      <c r="A232" s="411"/>
      <c r="B232" s="157" t="s">
        <v>2914</v>
      </c>
      <c r="C232" s="412"/>
    </row>
    <row r="233" spans="1:3" ht="19.2" x14ac:dyDescent="0.45">
      <c r="A233" s="411"/>
      <c r="B233" s="157" t="s">
        <v>2915</v>
      </c>
      <c r="C233" s="412"/>
    </row>
    <row r="234" spans="1:3" ht="14.4" customHeight="1" x14ac:dyDescent="0.45">
      <c r="A234" s="407" t="s">
        <v>2916</v>
      </c>
      <c r="B234" s="155" t="s">
        <v>2917</v>
      </c>
      <c r="C234" s="409" t="s">
        <v>2918</v>
      </c>
    </row>
    <row r="235" spans="1:3" ht="19.2" x14ac:dyDescent="0.45">
      <c r="A235" s="407"/>
      <c r="B235" s="155" t="s">
        <v>2919</v>
      </c>
      <c r="C235" s="415"/>
    </row>
    <row r="236" spans="1:3" ht="19.2" x14ac:dyDescent="0.45">
      <c r="A236" s="407"/>
      <c r="B236" s="155" t="s">
        <v>2920</v>
      </c>
      <c r="C236" s="415"/>
    </row>
    <row r="237" spans="1:3" ht="19.2" x14ac:dyDescent="0.45">
      <c r="A237" s="407"/>
      <c r="B237" s="155" t="s">
        <v>2921</v>
      </c>
      <c r="C237" s="415"/>
    </row>
    <row r="238" spans="1:3" ht="19.2" x14ac:dyDescent="0.45">
      <c r="A238" s="416" t="s">
        <v>2922</v>
      </c>
      <c r="B238" s="155" t="s">
        <v>2923</v>
      </c>
      <c r="C238" s="415"/>
    </row>
    <row r="239" spans="1:3" ht="19.2" x14ac:dyDescent="0.45">
      <c r="A239" s="416"/>
      <c r="B239" s="155" t="s">
        <v>2924</v>
      </c>
      <c r="C239" s="415"/>
    </row>
    <row r="240" spans="1:3" ht="19.2" x14ac:dyDescent="0.45">
      <c r="A240" s="416"/>
      <c r="B240" s="155" t="s">
        <v>2925</v>
      </c>
      <c r="C240" s="415"/>
    </row>
    <row r="241" spans="1:3" ht="19.2" x14ac:dyDescent="0.45">
      <c r="A241" s="416"/>
      <c r="B241" s="155" t="s">
        <v>2926</v>
      </c>
      <c r="C241" s="415"/>
    </row>
    <row r="242" spans="1:3" ht="19.2" x14ac:dyDescent="0.45">
      <c r="A242" s="416"/>
      <c r="B242" s="155" t="s">
        <v>2927</v>
      </c>
      <c r="C242" s="415"/>
    </row>
    <row r="243" spans="1:3" ht="19.2" x14ac:dyDescent="0.45">
      <c r="A243" s="416"/>
      <c r="B243" s="155" t="s">
        <v>2928</v>
      </c>
      <c r="C243" s="415"/>
    </row>
    <row r="244" spans="1:3" ht="19.2" x14ac:dyDescent="0.45">
      <c r="A244" s="416"/>
      <c r="B244" s="155" t="s">
        <v>2929</v>
      </c>
      <c r="C244" s="415"/>
    </row>
    <row r="245" spans="1:3" ht="38.4" x14ac:dyDescent="0.45">
      <c r="A245" s="411" t="s">
        <v>2930</v>
      </c>
      <c r="B245" s="157" t="s">
        <v>3941</v>
      </c>
      <c r="C245" s="412" t="s">
        <v>2931</v>
      </c>
    </row>
    <row r="246" spans="1:3" ht="19.2" x14ac:dyDescent="0.45">
      <c r="A246" s="411"/>
      <c r="B246" s="157" t="s">
        <v>2932</v>
      </c>
      <c r="C246" s="412"/>
    </row>
    <row r="247" spans="1:3" ht="38.4" x14ac:dyDescent="0.45">
      <c r="A247" s="158" t="s">
        <v>2933</v>
      </c>
      <c r="B247" s="157" t="s">
        <v>3949</v>
      </c>
      <c r="C247" s="412"/>
    </row>
    <row r="248" spans="1:3" ht="14.4" customHeight="1" x14ac:dyDescent="0.45">
      <c r="A248" s="407" t="s">
        <v>2934</v>
      </c>
      <c r="B248" s="155" t="s">
        <v>2935</v>
      </c>
      <c r="C248" s="409" t="s">
        <v>2936</v>
      </c>
    </row>
    <row r="249" spans="1:3" ht="38.4" x14ac:dyDescent="0.45">
      <c r="A249" s="407"/>
      <c r="B249" s="155" t="s">
        <v>2937</v>
      </c>
      <c r="C249" s="409"/>
    </row>
    <row r="250" spans="1:3" ht="19.2" x14ac:dyDescent="0.45">
      <c r="A250" s="407" t="s">
        <v>2938</v>
      </c>
      <c r="B250" s="155" t="s">
        <v>2939</v>
      </c>
      <c r="C250" s="409"/>
    </row>
    <row r="251" spans="1:3" ht="38.4" x14ac:dyDescent="0.45">
      <c r="A251" s="407"/>
      <c r="B251" s="155" t="s">
        <v>2940</v>
      </c>
      <c r="C251" s="409"/>
    </row>
    <row r="252" spans="1:3" ht="38.4" customHeight="1" x14ac:dyDescent="0.45">
      <c r="A252" s="158" t="s">
        <v>2941</v>
      </c>
      <c r="B252" s="157" t="s">
        <v>2942</v>
      </c>
      <c r="C252" s="412" t="s">
        <v>2943</v>
      </c>
    </row>
    <row r="253" spans="1:3" ht="19.2" x14ac:dyDescent="0.45">
      <c r="A253" s="411" t="s">
        <v>2944</v>
      </c>
      <c r="B253" s="157" t="s">
        <v>2945</v>
      </c>
      <c r="C253" s="412"/>
    </row>
    <row r="254" spans="1:3" ht="19.2" x14ac:dyDescent="0.45">
      <c r="A254" s="411"/>
      <c r="B254" s="157" t="s">
        <v>2946</v>
      </c>
      <c r="C254" s="412"/>
    </row>
    <row r="255" spans="1:3" ht="19.2" x14ac:dyDescent="0.45">
      <c r="A255" s="411"/>
      <c r="B255" s="157" t="s">
        <v>2947</v>
      </c>
      <c r="C255" s="412"/>
    </row>
    <row r="256" spans="1:3" ht="57.6" x14ac:dyDescent="0.45">
      <c r="A256" s="411"/>
      <c r="B256" s="157" t="s">
        <v>2948</v>
      </c>
      <c r="C256" s="412"/>
    </row>
    <row r="257" spans="1:3" ht="38.4" x14ac:dyDescent="0.45">
      <c r="A257" s="158" t="s">
        <v>2949</v>
      </c>
      <c r="B257" s="157" t="s">
        <v>2950</v>
      </c>
      <c r="C257" s="412"/>
    </row>
    <row r="258" spans="1:3" ht="14.4" customHeight="1" x14ac:dyDescent="0.45">
      <c r="A258" s="156" t="s">
        <v>2951</v>
      </c>
      <c r="B258" s="155" t="s">
        <v>2952</v>
      </c>
      <c r="C258" s="409" t="s">
        <v>2953</v>
      </c>
    </row>
    <row r="259" spans="1:3" ht="38.4" x14ac:dyDescent="0.45">
      <c r="A259" s="156" t="s">
        <v>2954</v>
      </c>
      <c r="B259" s="155" t="s">
        <v>2955</v>
      </c>
      <c r="C259" s="409"/>
    </row>
    <row r="260" spans="1:3" ht="14.4" customHeight="1" x14ac:dyDescent="0.45">
      <c r="A260" s="411" t="s">
        <v>2956</v>
      </c>
      <c r="B260" s="157" t="s">
        <v>2957</v>
      </c>
      <c r="C260" s="412" t="s">
        <v>2958</v>
      </c>
    </row>
    <row r="261" spans="1:3" ht="19.2" x14ac:dyDescent="0.45">
      <c r="A261" s="411"/>
      <c r="B261" s="157" t="s">
        <v>3942</v>
      </c>
      <c r="C261" s="412"/>
    </row>
    <row r="262" spans="1:3" ht="19.2" x14ac:dyDescent="0.45">
      <c r="A262" s="411"/>
      <c r="B262" s="157" t="s">
        <v>2959</v>
      </c>
      <c r="C262" s="412"/>
    </row>
    <row r="263" spans="1:3" ht="19.2" x14ac:dyDescent="0.45">
      <c r="A263" s="411"/>
      <c r="B263" s="157" t="s">
        <v>2960</v>
      </c>
      <c r="C263" s="412"/>
    </row>
    <row r="264" spans="1:3" ht="19.2" x14ac:dyDescent="0.45">
      <c r="A264" s="411"/>
      <c r="B264" s="157" t="s">
        <v>2961</v>
      </c>
      <c r="C264" s="412"/>
    </row>
    <row r="265" spans="1:3" ht="38.4" x14ac:dyDescent="0.45">
      <c r="A265" s="411"/>
      <c r="B265" s="157" t="s">
        <v>2962</v>
      </c>
      <c r="C265" s="412"/>
    </row>
    <row r="266" spans="1:3" ht="19.2" x14ac:dyDescent="0.45">
      <c r="A266" s="407" t="s">
        <v>2963</v>
      </c>
      <c r="B266" s="155" t="s">
        <v>2964</v>
      </c>
      <c r="C266" s="409" t="s">
        <v>2965</v>
      </c>
    </row>
    <row r="267" spans="1:3" ht="38.4" x14ac:dyDescent="0.45">
      <c r="A267" s="407"/>
      <c r="B267" s="155" t="s">
        <v>2966</v>
      </c>
      <c r="C267" s="409"/>
    </row>
    <row r="268" spans="1:3" ht="38.4" x14ac:dyDescent="0.45">
      <c r="A268" s="407"/>
      <c r="B268" s="155" t="s">
        <v>2967</v>
      </c>
      <c r="C268" s="409"/>
    </row>
    <row r="269" spans="1:3" ht="19.2" customHeight="1" x14ac:dyDescent="0.45">
      <c r="A269" s="411" t="s">
        <v>2968</v>
      </c>
      <c r="B269" s="157" t="s">
        <v>2969</v>
      </c>
      <c r="C269" s="412" t="s">
        <v>2970</v>
      </c>
    </row>
    <row r="270" spans="1:3" ht="19.2" x14ac:dyDescent="0.45">
      <c r="A270" s="411"/>
      <c r="B270" s="157" t="s">
        <v>2971</v>
      </c>
      <c r="C270" s="412"/>
    </row>
    <row r="271" spans="1:3" ht="38.4" x14ac:dyDescent="0.45">
      <c r="A271" s="411"/>
      <c r="B271" s="157" t="s">
        <v>2972</v>
      </c>
      <c r="C271" s="412"/>
    </row>
    <row r="272" spans="1:3" ht="19.2" x14ac:dyDescent="0.45">
      <c r="A272" s="411"/>
      <c r="B272" s="157" t="s">
        <v>2973</v>
      </c>
      <c r="C272" s="412"/>
    </row>
    <row r="273" spans="1:3" ht="38.4" x14ac:dyDescent="0.45">
      <c r="A273" s="411"/>
      <c r="B273" s="157" t="s">
        <v>2974</v>
      </c>
      <c r="C273" s="412"/>
    </row>
    <row r="274" spans="1:3" ht="38.4" x14ac:dyDescent="0.45">
      <c r="A274" s="411"/>
      <c r="B274" s="157" t="s">
        <v>2975</v>
      </c>
      <c r="C274" s="412"/>
    </row>
    <row r="275" spans="1:3" ht="19.2" x14ac:dyDescent="0.45">
      <c r="A275" s="411"/>
      <c r="B275" s="157" t="s">
        <v>2976</v>
      </c>
      <c r="C275" s="412"/>
    </row>
    <row r="276" spans="1:3" ht="19.2" customHeight="1" x14ac:dyDescent="0.45">
      <c r="A276" s="407" t="s">
        <v>2977</v>
      </c>
      <c r="B276" s="155" t="s">
        <v>2978</v>
      </c>
      <c r="C276" s="409" t="s">
        <v>2979</v>
      </c>
    </row>
    <row r="277" spans="1:3" ht="38.4" x14ac:dyDescent="0.45">
      <c r="A277" s="407"/>
      <c r="B277" s="155" t="s">
        <v>2980</v>
      </c>
      <c r="C277" s="409"/>
    </row>
    <row r="278" spans="1:3" ht="19.2" x14ac:dyDescent="0.45">
      <c r="A278" s="407"/>
      <c r="B278" s="155" t="s">
        <v>2981</v>
      </c>
      <c r="C278" s="409"/>
    </row>
    <row r="279" spans="1:3" ht="38.4" x14ac:dyDescent="0.45">
      <c r="A279" s="407"/>
      <c r="B279" s="155" t="s">
        <v>2982</v>
      </c>
      <c r="C279" s="409"/>
    </row>
    <row r="280" spans="1:3" ht="38.4" x14ac:dyDescent="0.45">
      <c r="A280" s="407"/>
      <c r="B280" s="155" t="s">
        <v>3943</v>
      </c>
      <c r="C280" s="409"/>
    </row>
    <row r="281" spans="1:3" ht="19.2" x14ac:dyDescent="0.45">
      <c r="A281" s="407"/>
      <c r="B281" s="155" t="s">
        <v>2983</v>
      </c>
      <c r="C281" s="409"/>
    </row>
    <row r="282" spans="1:3" ht="38.4" x14ac:dyDescent="0.45">
      <c r="A282" s="407"/>
      <c r="B282" s="155" t="s">
        <v>2984</v>
      </c>
      <c r="C282" s="409"/>
    </row>
    <row r="283" spans="1:3" ht="19.2" x14ac:dyDescent="0.45">
      <c r="A283" s="407"/>
      <c r="B283" s="155" t="s">
        <v>2985</v>
      </c>
      <c r="C283" s="409"/>
    </row>
    <row r="284" spans="1:3" ht="14.4" customHeight="1" x14ac:dyDescent="0.45">
      <c r="A284" s="407" t="s">
        <v>2986</v>
      </c>
      <c r="B284" s="155" t="s">
        <v>2987</v>
      </c>
      <c r="C284" s="409"/>
    </row>
    <row r="285" spans="1:3" ht="38.4" x14ac:dyDescent="0.45">
      <c r="A285" s="407"/>
      <c r="B285" s="155" t="s">
        <v>3944</v>
      </c>
      <c r="C285" s="409"/>
    </row>
    <row r="286" spans="1:3" ht="14.4" customHeight="1" x14ac:dyDescent="0.45">
      <c r="A286" s="411" t="s">
        <v>2988</v>
      </c>
      <c r="B286" s="157" t="s">
        <v>2989</v>
      </c>
      <c r="C286" s="412" t="s">
        <v>2990</v>
      </c>
    </row>
    <row r="287" spans="1:3" ht="19.2" x14ac:dyDescent="0.45">
      <c r="A287" s="411"/>
      <c r="B287" s="157" t="s">
        <v>2991</v>
      </c>
      <c r="C287" s="412"/>
    </row>
    <row r="288" spans="1:3" ht="19.2" x14ac:dyDescent="0.45">
      <c r="A288" s="411"/>
      <c r="B288" s="157" t="s">
        <v>2992</v>
      </c>
      <c r="C288" s="412"/>
    </row>
    <row r="289" spans="1:3" ht="19.2" x14ac:dyDescent="0.45">
      <c r="A289" s="411"/>
      <c r="B289" s="157" t="s">
        <v>2993</v>
      </c>
      <c r="C289" s="412"/>
    </row>
    <row r="290" spans="1:3" ht="14.4" customHeight="1" x14ac:dyDescent="0.45">
      <c r="A290" s="407" t="s">
        <v>2994</v>
      </c>
      <c r="B290" s="155" t="s">
        <v>2995</v>
      </c>
      <c r="C290" s="409" t="s">
        <v>2996</v>
      </c>
    </row>
    <row r="291" spans="1:3" ht="19.2" x14ac:dyDescent="0.45">
      <c r="A291" s="407"/>
      <c r="B291" s="155" t="s">
        <v>2997</v>
      </c>
      <c r="C291" s="409"/>
    </row>
    <row r="292" spans="1:3" ht="19.2" x14ac:dyDescent="0.45">
      <c r="A292" s="407"/>
      <c r="B292" s="155" t="s">
        <v>2998</v>
      </c>
      <c r="C292" s="409"/>
    </row>
    <row r="293" spans="1:3" ht="19.2" x14ac:dyDescent="0.45">
      <c r="A293" s="407"/>
      <c r="B293" s="155" t="s">
        <v>2999</v>
      </c>
      <c r="C293" s="409"/>
    </row>
    <row r="294" spans="1:3" ht="19.2" x14ac:dyDescent="0.45">
      <c r="A294" s="407" t="s">
        <v>3000</v>
      </c>
      <c r="B294" s="155" t="s">
        <v>3001</v>
      </c>
      <c r="C294" s="409"/>
    </row>
    <row r="295" spans="1:3" ht="38.4" x14ac:dyDescent="0.45">
      <c r="A295" s="407"/>
      <c r="B295" s="155" t="s">
        <v>3002</v>
      </c>
      <c r="C295" s="409"/>
    </row>
    <row r="296" spans="1:3" ht="14.4" customHeight="1" x14ac:dyDescent="0.45">
      <c r="A296" s="411" t="s">
        <v>3003</v>
      </c>
      <c r="B296" s="157" t="s">
        <v>3004</v>
      </c>
      <c r="C296" s="412" t="s">
        <v>3005</v>
      </c>
    </row>
    <row r="297" spans="1:3" ht="19.2" x14ac:dyDescent="0.45">
      <c r="A297" s="413"/>
      <c r="B297" s="157" t="s">
        <v>3006</v>
      </c>
      <c r="C297" s="414"/>
    </row>
    <row r="298" spans="1:3" ht="19.2" x14ac:dyDescent="0.45">
      <c r="A298" s="413"/>
      <c r="B298" s="157" t="s">
        <v>3007</v>
      </c>
      <c r="C298" s="414"/>
    </row>
    <row r="299" spans="1:3" ht="19.2" x14ac:dyDescent="0.45">
      <c r="A299" s="413"/>
      <c r="B299" s="157" t="s">
        <v>3008</v>
      </c>
      <c r="C299" s="414"/>
    </row>
    <row r="300" spans="1:3" ht="19.2" x14ac:dyDescent="0.45">
      <c r="A300" s="413"/>
      <c r="B300" s="157" t="s">
        <v>3009</v>
      </c>
      <c r="C300" s="414"/>
    </row>
    <row r="301" spans="1:3" ht="19.2" x14ac:dyDescent="0.45">
      <c r="A301" s="413"/>
      <c r="B301" s="157" t="s">
        <v>3010</v>
      </c>
      <c r="C301" s="414"/>
    </row>
    <row r="302" spans="1:3" ht="19.2" customHeight="1" x14ac:dyDescent="0.45">
      <c r="A302" s="411" t="s">
        <v>3011</v>
      </c>
      <c r="B302" s="157" t="s">
        <v>3012</v>
      </c>
      <c r="C302" s="414"/>
    </row>
    <row r="303" spans="1:3" ht="19.2" x14ac:dyDescent="0.45">
      <c r="A303" s="411"/>
      <c r="B303" s="157" t="s">
        <v>3013</v>
      </c>
      <c r="C303" s="414"/>
    </row>
    <row r="304" spans="1:3" ht="14.4" customHeight="1" x14ac:dyDescent="0.45">
      <c r="A304" s="407" t="s">
        <v>3014</v>
      </c>
      <c r="B304" s="155" t="s">
        <v>3015</v>
      </c>
      <c r="C304" s="409" t="s">
        <v>3016</v>
      </c>
    </row>
    <row r="305" spans="1:3" ht="19.2" x14ac:dyDescent="0.45">
      <c r="A305" s="407"/>
      <c r="B305" s="155" t="s">
        <v>3017</v>
      </c>
      <c r="C305" s="409"/>
    </row>
    <row r="306" spans="1:3" ht="19.2" x14ac:dyDescent="0.45">
      <c r="A306" s="407"/>
      <c r="B306" s="155" t="s">
        <v>3018</v>
      </c>
      <c r="C306" s="409"/>
    </row>
    <row r="307" spans="1:3" ht="19.2" x14ac:dyDescent="0.45">
      <c r="A307" s="407"/>
      <c r="B307" s="155" t="s">
        <v>3019</v>
      </c>
      <c r="C307" s="409"/>
    </row>
    <row r="308" spans="1:3" ht="19.2" x14ac:dyDescent="0.45">
      <c r="A308" s="407"/>
      <c r="B308" s="155" t="s">
        <v>3020</v>
      </c>
      <c r="C308" s="409"/>
    </row>
    <row r="309" spans="1:3" ht="19.2" x14ac:dyDescent="0.45">
      <c r="A309" s="407"/>
      <c r="B309" s="155" t="s">
        <v>3021</v>
      </c>
      <c r="C309" s="409"/>
    </row>
    <row r="310" spans="1:3" ht="19.2" x14ac:dyDescent="0.45">
      <c r="A310" s="407"/>
      <c r="B310" s="155" t="s">
        <v>3022</v>
      </c>
      <c r="C310" s="409"/>
    </row>
    <row r="311" spans="1:3" ht="19.2" x14ac:dyDescent="0.45">
      <c r="A311" s="407"/>
      <c r="B311" s="155" t="s">
        <v>3023</v>
      </c>
      <c r="C311" s="409"/>
    </row>
    <row r="312" spans="1:3" ht="19.2" x14ac:dyDescent="0.45">
      <c r="A312" s="407" t="s">
        <v>3024</v>
      </c>
      <c r="B312" s="155" t="s">
        <v>3025</v>
      </c>
      <c r="C312" s="409"/>
    </row>
    <row r="313" spans="1:3" ht="19.2" x14ac:dyDescent="0.45">
      <c r="A313" s="407"/>
      <c r="B313" s="155" t="s">
        <v>3026</v>
      </c>
      <c r="C313" s="409"/>
    </row>
    <row r="314" spans="1:3" ht="14.4" customHeight="1" x14ac:dyDescent="0.45">
      <c r="A314" s="411" t="s">
        <v>3027</v>
      </c>
      <c r="B314" s="157" t="s">
        <v>3028</v>
      </c>
      <c r="C314" s="412" t="s">
        <v>3029</v>
      </c>
    </row>
    <row r="315" spans="1:3" ht="19.2" x14ac:dyDescent="0.45">
      <c r="A315" s="411"/>
      <c r="B315" s="157" t="s">
        <v>3030</v>
      </c>
      <c r="C315" s="412"/>
    </row>
    <row r="316" spans="1:3" ht="19.2" x14ac:dyDescent="0.45">
      <c r="A316" s="411"/>
      <c r="B316" s="157" t="s">
        <v>3031</v>
      </c>
      <c r="C316" s="412"/>
    </row>
    <row r="317" spans="1:3" ht="38.4" x14ac:dyDescent="0.45">
      <c r="A317" s="411"/>
      <c r="B317" s="157" t="s">
        <v>3032</v>
      </c>
      <c r="C317" s="412"/>
    </row>
    <row r="318" spans="1:3" ht="38.4" x14ac:dyDescent="0.45">
      <c r="A318" s="411"/>
      <c r="B318" s="157" t="s">
        <v>3033</v>
      </c>
      <c r="C318" s="412"/>
    </row>
    <row r="319" spans="1:3" ht="19.2" x14ac:dyDescent="0.45">
      <c r="A319" s="411" t="s">
        <v>3034</v>
      </c>
      <c r="B319" s="157" t="s">
        <v>3035</v>
      </c>
      <c r="C319" s="412"/>
    </row>
    <row r="320" spans="1:3" ht="19.2" x14ac:dyDescent="0.45">
      <c r="A320" s="411"/>
      <c r="B320" s="157" t="s">
        <v>3036</v>
      </c>
      <c r="C320" s="412"/>
    </row>
    <row r="321" spans="1:3" ht="14.4" customHeight="1" x14ac:dyDescent="0.45">
      <c r="A321" s="407" t="s">
        <v>3037</v>
      </c>
      <c r="B321" s="155" t="s">
        <v>3038</v>
      </c>
      <c r="C321" s="409" t="s">
        <v>3039</v>
      </c>
    </row>
    <row r="322" spans="1:3" ht="19.2" x14ac:dyDescent="0.45">
      <c r="A322" s="407"/>
      <c r="B322" s="155" t="s">
        <v>3040</v>
      </c>
      <c r="C322" s="409"/>
    </row>
    <row r="323" spans="1:3" ht="38.4" x14ac:dyDescent="0.45">
      <c r="A323" s="407"/>
      <c r="B323" s="155" t="s">
        <v>3041</v>
      </c>
      <c r="C323" s="409"/>
    </row>
    <row r="324" spans="1:3" ht="19.2" customHeight="1" x14ac:dyDescent="0.45">
      <c r="A324" s="407" t="s">
        <v>3042</v>
      </c>
      <c r="B324" s="155" t="s">
        <v>3043</v>
      </c>
      <c r="C324" s="409"/>
    </row>
    <row r="325" spans="1:3" ht="38.4" x14ac:dyDescent="0.45">
      <c r="A325" s="407"/>
      <c r="B325" s="155" t="s">
        <v>3044</v>
      </c>
      <c r="C325" s="409"/>
    </row>
    <row r="326" spans="1:3" ht="28.8" customHeight="1" x14ac:dyDescent="0.45">
      <c r="A326" s="407" t="s">
        <v>3945</v>
      </c>
      <c r="B326" s="155" t="s">
        <v>3045</v>
      </c>
      <c r="C326" s="409"/>
    </row>
    <row r="327" spans="1:3" ht="38.4" x14ac:dyDescent="0.45">
      <c r="A327" s="407"/>
      <c r="B327" s="155" t="s">
        <v>3046</v>
      </c>
      <c r="C327" s="409"/>
    </row>
    <row r="328" spans="1:3" ht="19.2" x14ac:dyDescent="0.45">
      <c r="A328" s="411" t="s">
        <v>3047</v>
      </c>
      <c r="B328" s="157" t="s">
        <v>3048</v>
      </c>
      <c r="C328" s="412" t="s">
        <v>2065</v>
      </c>
    </row>
    <row r="329" spans="1:3" ht="19.2" x14ac:dyDescent="0.45">
      <c r="A329" s="411"/>
      <c r="B329" s="157" t="s">
        <v>3049</v>
      </c>
      <c r="C329" s="412"/>
    </row>
    <row r="330" spans="1:3" ht="57.6" x14ac:dyDescent="0.45">
      <c r="A330" s="411"/>
      <c r="B330" s="157" t="s">
        <v>3050</v>
      </c>
      <c r="C330" s="412"/>
    </row>
    <row r="331" spans="1:3" ht="19.2" x14ac:dyDescent="0.45">
      <c r="A331" s="411"/>
      <c r="B331" s="157" t="s">
        <v>3051</v>
      </c>
      <c r="C331" s="412"/>
    </row>
    <row r="332" spans="1:3" ht="19.2" x14ac:dyDescent="0.45">
      <c r="A332" s="411"/>
      <c r="B332" s="157" t="s">
        <v>3052</v>
      </c>
      <c r="C332" s="412"/>
    </row>
    <row r="333" spans="1:3" ht="19.2" x14ac:dyDescent="0.45">
      <c r="A333" s="411" t="s">
        <v>3053</v>
      </c>
      <c r="B333" s="157" t="s">
        <v>3054</v>
      </c>
      <c r="C333" s="412"/>
    </row>
    <row r="334" spans="1:3" ht="19.2" x14ac:dyDescent="0.45">
      <c r="A334" s="411"/>
      <c r="B334" s="157" t="s">
        <v>3055</v>
      </c>
      <c r="C334" s="412"/>
    </row>
    <row r="335" spans="1:3" ht="38.4" x14ac:dyDescent="0.45">
      <c r="A335" s="411"/>
      <c r="B335" s="157" t="s">
        <v>3946</v>
      </c>
      <c r="C335" s="412"/>
    </row>
    <row r="336" spans="1:3" ht="19.2" x14ac:dyDescent="0.45">
      <c r="A336" s="411"/>
      <c r="B336" s="157" t="s">
        <v>3056</v>
      </c>
      <c r="C336" s="412"/>
    </row>
    <row r="337" spans="1:3" ht="38.4" x14ac:dyDescent="0.45">
      <c r="A337" s="407" t="s">
        <v>3057</v>
      </c>
      <c r="B337" s="155" t="s">
        <v>3058</v>
      </c>
      <c r="C337" s="409" t="s">
        <v>3059</v>
      </c>
    </row>
    <row r="338" spans="1:3" ht="19.2" x14ac:dyDescent="0.45">
      <c r="A338" s="407"/>
      <c r="B338" s="155" t="s">
        <v>3060</v>
      </c>
      <c r="C338" s="409"/>
    </row>
    <row r="339" spans="1:3" ht="19.2" x14ac:dyDescent="0.45">
      <c r="A339" s="407"/>
      <c r="B339" s="155" t="s">
        <v>3061</v>
      </c>
      <c r="C339" s="409"/>
    </row>
    <row r="340" spans="1:3" ht="19.2" x14ac:dyDescent="0.45">
      <c r="A340" s="407"/>
      <c r="B340" s="155" t="s">
        <v>3062</v>
      </c>
      <c r="C340" s="409"/>
    </row>
    <row r="341" spans="1:3" ht="38.4" x14ac:dyDescent="0.45">
      <c r="A341" s="407"/>
      <c r="B341" s="155" t="s">
        <v>3063</v>
      </c>
      <c r="C341" s="409"/>
    </row>
    <row r="342" spans="1:3" ht="38.4" x14ac:dyDescent="0.45">
      <c r="A342" s="407"/>
      <c r="B342" s="155" t="s">
        <v>3064</v>
      </c>
      <c r="C342" s="409"/>
    </row>
    <row r="343" spans="1:3" ht="14.4" customHeight="1" x14ac:dyDescent="0.45">
      <c r="A343" s="411" t="s">
        <v>3065</v>
      </c>
      <c r="B343" s="157" t="s">
        <v>3066</v>
      </c>
      <c r="C343" s="412" t="s">
        <v>3067</v>
      </c>
    </row>
    <row r="344" spans="1:3" ht="19.2" x14ac:dyDescent="0.45">
      <c r="A344" s="411"/>
      <c r="B344" s="157" t="s">
        <v>3068</v>
      </c>
      <c r="C344" s="412"/>
    </row>
    <row r="345" spans="1:3" ht="38.4" x14ac:dyDescent="0.45">
      <c r="A345" s="411" t="s">
        <v>3069</v>
      </c>
      <c r="B345" s="157" t="s">
        <v>3070</v>
      </c>
      <c r="C345" s="412"/>
    </row>
    <row r="346" spans="1:3" ht="19.2" x14ac:dyDescent="0.45">
      <c r="A346" s="411"/>
      <c r="B346" s="157" t="s">
        <v>3071</v>
      </c>
      <c r="C346" s="412"/>
    </row>
    <row r="347" spans="1:3" ht="19.2" x14ac:dyDescent="0.45">
      <c r="A347" s="411"/>
      <c r="B347" s="157" t="s">
        <v>3072</v>
      </c>
      <c r="C347" s="412"/>
    </row>
    <row r="348" spans="1:3" ht="14.4" customHeight="1" x14ac:dyDescent="0.45">
      <c r="A348" s="407" t="s">
        <v>3073</v>
      </c>
      <c r="B348" s="155" t="s">
        <v>3074</v>
      </c>
      <c r="C348" s="409" t="s">
        <v>3075</v>
      </c>
    </row>
    <row r="349" spans="1:3" ht="19.2" x14ac:dyDescent="0.45">
      <c r="A349" s="407"/>
      <c r="B349" s="155" t="s">
        <v>3076</v>
      </c>
      <c r="C349" s="409"/>
    </row>
    <row r="350" spans="1:3" ht="19.2" x14ac:dyDescent="0.45">
      <c r="A350" s="407"/>
      <c r="B350" s="155" t="s">
        <v>3077</v>
      </c>
      <c r="C350" s="409"/>
    </row>
    <row r="351" spans="1:3" ht="38.4" x14ac:dyDescent="0.45">
      <c r="A351" s="407"/>
      <c r="B351" s="155" t="s">
        <v>3078</v>
      </c>
      <c r="C351" s="409"/>
    </row>
    <row r="352" spans="1:3" ht="19.2" x14ac:dyDescent="0.45">
      <c r="A352" s="407"/>
      <c r="B352" s="155" t="s">
        <v>3079</v>
      </c>
      <c r="C352" s="409"/>
    </row>
    <row r="353" spans="1:3" ht="19.2" x14ac:dyDescent="0.45">
      <c r="A353" s="156" t="s">
        <v>3080</v>
      </c>
      <c r="B353" s="155" t="s">
        <v>376</v>
      </c>
      <c r="C353" s="409"/>
    </row>
    <row r="354" spans="1:3" ht="57.6" x14ac:dyDescent="0.45">
      <c r="A354" s="156" t="s">
        <v>3947</v>
      </c>
      <c r="B354" s="155" t="s">
        <v>376</v>
      </c>
      <c r="C354" s="409"/>
    </row>
    <row r="355" spans="1:3" ht="19.2" x14ac:dyDescent="0.45">
      <c r="A355" s="156" t="s">
        <v>3081</v>
      </c>
      <c r="B355" s="155" t="s">
        <v>376</v>
      </c>
      <c r="C355" s="409"/>
    </row>
    <row r="356" spans="1:3" ht="14.4" customHeight="1" x14ac:dyDescent="0.45">
      <c r="A356" s="411" t="s">
        <v>3082</v>
      </c>
      <c r="B356" s="157" t="s">
        <v>3083</v>
      </c>
      <c r="C356" s="412" t="s">
        <v>3084</v>
      </c>
    </row>
    <row r="357" spans="1:3" ht="38.4" x14ac:dyDescent="0.45">
      <c r="A357" s="411"/>
      <c r="B357" s="157" t="s">
        <v>3085</v>
      </c>
      <c r="C357" s="412"/>
    </row>
    <row r="358" spans="1:3" ht="19.2" x14ac:dyDescent="0.45">
      <c r="A358" s="411"/>
      <c r="B358" s="157" t="s">
        <v>3086</v>
      </c>
      <c r="C358" s="412"/>
    </row>
    <row r="359" spans="1:3" ht="38.4" x14ac:dyDescent="0.45">
      <c r="A359" s="411"/>
      <c r="B359" s="157" t="s">
        <v>3948</v>
      </c>
      <c r="C359" s="412"/>
    </row>
    <row r="360" spans="1:3" ht="38.4" x14ac:dyDescent="0.45">
      <c r="A360" s="411"/>
      <c r="B360" s="157" t="s">
        <v>3087</v>
      </c>
      <c r="C360" s="412"/>
    </row>
    <row r="361" spans="1:3" ht="57.6" x14ac:dyDescent="0.45">
      <c r="A361" s="411"/>
      <c r="B361" s="157" t="s">
        <v>3088</v>
      </c>
      <c r="C361" s="412"/>
    </row>
    <row r="362" spans="1:3" ht="19.2" x14ac:dyDescent="0.45">
      <c r="A362" s="411"/>
      <c r="B362" s="157" t="s">
        <v>3089</v>
      </c>
      <c r="C362" s="412"/>
    </row>
    <row r="363" spans="1:3" ht="14.4" customHeight="1" x14ac:dyDescent="0.45">
      <c r="A363" s="407" t="s">
        <v>3090</v>
      </c>
      <c r="B363" s="155" t="s">
        <v>3091</v>
      </c>
      <c r="C363" s="409" t="s">
        <v>3092</v>
      </c>
    </row>
    <row r="364" spans="1:3" ht="19.2" x14ac:dyDescent="0.45">
      <c r="A364" s="407"/>
      <c r="B364" s="155" t="s">
        <v>3093</v>
      </c>
      <c r="C364" s="409"/>
    </row>
    <row r="365" spans="1:3" ht="19.2" x14ac:dyDescent="0.45">
      <c r="A365" s="407"/>
      <c r="B365" s="155" t="s">
        <v>3094</v>
      </c>
      <c r="C365" s="409"/>
    </row>
    <row r="366" spans="1:3" ht="38.4" x14ac:dyDescent="0.45">
      <c r="A366" s="407"/>
      <c r="B366" s="155" t="s">
        <v>3095</v>
      </c>
      <c r="C366" s="409"/>
    </row>
    <row r="367" spans="1:3" ht="14.4" customHeight="1" x14ac:dyDescent="0.45">
      <c r="A367" s="411" t="s">
        <v>3096</v>
      </c>
      <c r="B367" s="157" t="s">
        <v>3097</v>
      </c>
      <c r="C367" s="412" t="s">
        <v>3098</v>
      </c>
    </row>
    <row r="368" spans="1:3" ht="38.4" x14ac:dyDescent="0.45">
      <c r="A368" s="411"/>
      <c r="B368" s="157" t="s">
        <v>3099</v>
      </c>
      <c r="C368" s="412"/>
    </row>
    <row r="369" spans="1:3" ht="38.4" x14ac:dyDescent="0.45">
      <c r="A369" s="411"/>
      <c r="B369" s="157" t="s">
        <v>3100</v>
      </c>
      <c r="C369" s="412"/>
    </row>
    <row r="370" spans="1:3" ht="14.4" customHeight="1" x14ac:dyDescent="0.45">
      <c r="A370" s="407" t="s">
        <v>3101</v>
      </c>
      <c r="B370" s="155" t="s">
        <v>3102</v>
      </c>
      <c r="C370" s="409" t="s">
        <v>3103</v>
      </c>
    </row>
    <row r="371" spans="1:3" ht="19.2" x14ac:dyDescent="0.45">
      <c r="A371" s="407"/>
      <c r="B371" s="155" t="s">
        <v>3104</v>
      </c>
      <c r="C371" s="409"/>
    </row>
    <row r="372" spans="1:3" ht="19.8" thickBot="1" x14ac:dyDescent="0.5">
      <c r="A372" s="408"/>
      <c r="B372" s="159" t="s">
        <v>3105</v>
      </c>
      <c r="C372" s="410"/>
    </row>
  </sheetData>
  <mergeCells count="63">
    <mergeCell ref="A1:C1"/>
    <mergeCell ref="A221:C221"/>
    <mergeCell ref="A223:A226"/>
    <mergeCell ref="C223:C230"/>
    <mergeCell ref="A227:A229"/>
    <mergeCell ref="A231:A233"/>
    <mergeCell ref="C231:C233"/>
    <mergeCell ref="A234:A237"/>
    <mergeCell ref="C234:C244"/>
    <mergeCell ref="A238:A244"/>
    <mergeCell ref="A245:A246"/>
    <mergeCell ref="C245:C247"/>
    <mergeCell ref="A248:A249"/>
    <mergeCell ref="C248:C251"/>
    <mergeCell ref="A250:A251"/>
    <mergeCell ref="C252:C257"/>
    <mergeCell ref="A253:A256"/>
    <mergeCell ref="C258:C259"/>
    <mergeCell ref="A260:A265"/>
    <mergeCell ref="C260:C265"/>
    <mergeCell ref="A266:A268"/>
    <mergeCell ref="C266:C268"/>
    <mergeCell ref="A269:A275"/>
    <mergeCell ref="C269:C275"/>
    <mergeCell ref="A276:A283"/>
    <mergeCell ref="C276:C285"/>
    <mergeCell ref="A284:A285"/>
    <mergeCell ref="A286:A289"/>
    <mergeCell ref="C286:C289"/>
    <mergeCell ref="A290:A293"/>
    <mergeCell ref="C290:C295"/>
    <mergeCell ref="A294:A295"/>
    <mergeCell ref="A296:A301"/>
    <mergeCell ref="C296:C303"/>
    <mergeCell ref="A302:A303"/>
    <mergeCell ref="A304:A311"/>
    <mergeCell ref="C304:C313"/>
    <mergeCell ref="A312:A313"/>
    <mergeCell ref="A314:A318"/>
    <mergeCell ref="C314:C320"/>
    <mergeCell ref="A319:A320"/>
    <mergeCell ref="A321:A323"/>
    <mergeCell ref="C321:C327"/>
    <mergeCell ref="A324:A325"/>
    <mergeCell ref="A326:A327"/>
    <mergeCell ref="A328:A332"/>
    <mergeCell ref="C328:C336"/>
    <mergeCell ref="A333:A336"/>
    <mergeCell ref="A337:A342"/>
    <mergeCell ref="C337:C342"/>
    <mergeCell ref="A343:A344"/>
    <mergeCell ref="C343:C347"/>
    <mergeCell ref="A345:A347"/>
    <mergeCell ref="A348:A352"/>
    <mergeCell ref="C348:C355"/>
    <mergeCell ref="A370:A372"/>
    <mergeCell ref="C370:C372"/>
    <mergeCell ref="A356:A362"/>
    <mergeCell ref="C356:C362"/>
    <mergeCell ref="A363:A366"/>
    <mergeCell ref="C363:C366"/>
    <mergeCell ref="A367:A369"/>
    <mergeCell ref="C367:C36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20">
    <tabColor rgb="FF92D050"/>
  </sheetPr>
  <dimension ref="A1:V301"/>
  <sheetViews>
    <sheetView zoomScale="70" zoomScaleNormal="70" workbookViewId="0">
      <pane xSplit="1" ySplit="1" topLeftCell="B2" activePane="bottomRight" state="frozen"/>
      <selection pane="topRight" activeCell="B1" sqref="B1"/>
      <selection pane="bottomLeft" activeCell="A2" sqref="A2"/>
      <selection pane="bottomRight" activeCell="I6" sqref="I6"/>
    </sheetView>
  </sheetViews>
  <sheetFormatPr defaultColWidth="8.88671875" defaultRowHeight="16.8" x14ac:dyDescent="0.3"/>
  <cols>
    <col min="1" max="1" width="16.88671875" style="134" customWidth="1"/>
    <col min="2" max="2" width="14.5546875" style="261" bestFit="1" customWidth="1"/>
    <col min="3" max="4" width="13.5546875" style="261" customWidth="1"/>
    <col min="5" max="5" width="14.5546875" style="261" customWidth="1"/>
    <col min="6" max="6" width="21.5546875" style="261" customWidth="1"/>
    <col min="7" max="7" width="13.5546875" style="261" customWidth="1"/>
    <col min="8" max="8" width="16.33203125" style="261" customWidth="1"/>
    <col min="9" max="9" width="25.109375" style="261" customWidth="1"/>
    <col min="10" max="10" width="14" style="261" customWidth="1"/>
    <col min="11" max="11" width="17.88671875" style="261" customWidth="1"/>
    <col min="12" max="12" width="16" style="261" customWidth="1"/>
    <col min="13" max="13" width="16.109375" style="261" customWidth="1"/>
    <col min="14" max="14" width="21.109375" style="261" customWidth="1"/>
    <col min="15" max="15" width="22" style="261" customWidth="1"/>
    <col min="16" max="16" width="18.5546875" style="261" customWidth="1"/>
    <col min="17" max="17" width="53.109375" style="262" customWidth="1"/>
    <col min="18" max="18" width="24.5546875" style="261" customWidth="1"/>
    <col min="19" max="19" width="16" style="261" customWidth="1"/>
    <col min="20" max="20" width="43" style="261" customWidth="1"/>
    <col min="21" max="21" width="48.5546875" style="261" bestFit="1" customWidth="1"/>
    <col min="22" max="22" width="5.33203125" style="261" bestFit="1" customWidth="1"/>
    <col min="23" max="16384" width="8.88671875" style="261"/>
  </cols>
  <sheetData>
    <row r="1" spans="1:22" ht="84" x14ac:dyDescent="0.3">
      <c r="A1" s="164"/>
      <c r="B1" s="164" t="s">
        <v>1432</v>
      </c>
      <c r="C1" s="164" t="s">
        <v>1433</v>
      </c>
      <c r="D1" s="164" t="s">
        <v>1791</v>
      </c>
      <c r="E1" s="164" t="s">
        <v>3894</v>
      </c>
      <c r="F1" s="164" t="s">
        <v>1434</v>
      </c>
      <c r="G1" s="164" t="s">
        <v>1435</v>
      </c>
      <c r="H1" s="164" t="s">
        <v>3950</v>
      </c>
      <c r="I1" s="164" t="s">
        <v>3951</v>
      </c>
      <c r="J1" s="164" t="s">
        <v>1436</v>
      </c>
      <c r="K1" s="164" t="s">
        <v>1437</v>
      </c>
      <c r="L1" s="164" t="s">
        <v>1438</v>
      </c>
      <c r="M1" s="164" t="s">
        <v>1439</v>
      </c>
      <c r="N1" s="164" t="s">
        <v>1440</v>
      </c>
      <c r="O1" s="164" t="s">
        <v>3952</v>
      </c>
      <c r="S1" s="262"/>
      <c r="T1" s="262"/>
      <c r="V1" s="211" t="s">
        <v>1442</v>
      </c>
    </row>
    <row r="2" spans="1:22" ht="61.2" x14ac:dyDescent="0.3">
      <c r="A2" s="165" t="s">
        <v>1443</v>
      </c>
      <c r="B2" s="263" t="s">
        <v>1527</v>
      </c>
      <c r="C2" s="263">
        <f>IFERROR(VLOOKUP(B2,Таблица1[#All],2,FALSE),"-")</f>
        <v>1.1000000000000001</v>
      </c>
      <c r="D2" s="263"/>
      <c r="E2" s="263"/>
      <c r="F2" s="263" t="s">
        <v>1444</v>
      </c>
      <c r="G2" s="263">
        <f>VLOOKUP(F2,Таблица3[#All],2,FALSE)</f>
        <v>1</v>
      </c>
      <c r="H2" s="263">
        <v>300</v>
      </c>
      <c r="I2" s="263">
        <v>1</v>
      </c>
      <c r="J2" s="263">
        <v>24</v>
      </c>
      <c r="K2" s="263" t="s">
        <v>1442</v>
      </c>
      <c r="L2" s="263" t="s">
        <v>1442</v>
      </c>
      <c r="M2" s="263" t="s">
        <v>1442</v>
      </c>
      <c r="N2" s="263" t="s">
        <v>1442</v>
      </c>
      <c r="O2" s="264">
        <f t="shared" ref="O2:O65" si="0">$R$8*I2*(IF(K2="Да",1,0)*$R$9+IF(L2="Да",1,0)*$R$10+IF(M2="Да",1,0)*$R$11+IF(N2="Да",1,0)*$R$12)*J2*IF($R$3="Да",0.5,1)+$R$8*H2*(IF(K2="Да",1,0)*$R$9+IF(L2="Да",1,0)*$R$10+IF(M2="Да",1,0)*$R$11+IF(N2="Да",1,0)*$R$12)*IF($R$3="Да",0.5,1)</f>
        <v>206.14500000000001</v>
      </c>
      <c r="Q2" s="269" t="s">
        <v>3897</v>
      </c>
      <c r="R2" s="270" t="s">
        <v>1441</v>
      </c>
      <c r="V2" s="211" t="s">
        <v>1445</v>
      </c>
    </row>
    <row r="3" spans="1:22" ht="52.2" x14ac:dyDescent="0.3">
      <c r="A3" s="165" t="s">
        <v>2136</v>
      </c>
      <c r="B3" s="265" t="s">
        <v>1446</v>
      </c>
      <c r="C3" s="265">
        <f>IFERROR(VLOOKUP(B3,Таблица1[#All],2,FALSE),"-")</f>
        <v>1.6</v>
      </c>
      <c r="D3" s="265"/>
      <c r="E3" s="265"/>
      <c r="F3" s="265" t="s">
        <v>1447</v>
      </c>
      <c r="G3" s="265">
        <f>VLOOKUP(F3,Таблица3[#All],2,FALSE)</f>
        <v>1.6</v>
      </c>
      <c r="H3" s="265">
        <v>200</v>
      </c>
      <c r="I3" s="265">
        <v>1</v>
      </c>
      <c r="J3" s="265">
        <v>20</v>
      </c>
      <c r="K3" s="265" t="s">
        <v>1442</v>
      </c>
      <c r="L3" s="265" t="s">
        <v>1442</v>
      </c>
      <c r="M3" s="265" t="s">
        <v>1442</v>
      </c>
      <c r="N3" s="265" t="s">
        <v>1442</v>
      </c>
      <c r="O3" s="264">
        <f t="shared" si="0"/>
        <v>139.97499999999999</v>
      </c>
      <c r="Q3" s="266">
        <f>(SUM(O2:O301)+R13+R6+R7)*V5/V4</f>
        <v>1.7484658653846157</v>
      </c>
      <c r="R3" s="267" t="s">
        <v>1442</v>
      </c>
    </row>
    <row r="4" spans="1:22" x14ac:dyDescent="0.3">
      <c r="A4" s="165" t="s">
        <v>2137</v>
      </c>
      <c r="B4" s="265" t="s">
        <v>1448</v>
      </c>
      <c r="C4" s="265">
        <f>IFERROR(VLOOKUP(B4,Таблица1[#All],2,FALSE),"-")</f>
        <v>1.1000000000000001</v>
      </c>
      <c r="D4" s="265"/>
      <c r="E4" s="265"/>
      <c r="F4" s="265" t="s">
        <v>1444</v>
      </c>
      <c r="G4" s="265">
        <f>IFERROR(VLOOKUP(F4,Таблица3[#All],2,FALSE),"-")</f>
        <v>1</v>
      </c>
      <c r="H4" s="265">
        <v>250</v>
      </c>
      <c r="I4" s="265">
        <v>1</v>
      </c>
      <c r="J4" s="265">
        <v>12</v>
      </c>
      <c r="K4" s="265" t="s">
        <v>1442</v>
      </c>
      <c r="L4" s="265" t="s">
        <v>1442</v>
      </c>
      <c r="M4" s="265" t="s">
        <v>1442</v>
      </c>
      <c r="N4" s="265" t="s">
        <v>1442</v>
      </c>
      <c r="O4" s="264">
        <f t="shared" si="0"/>
        <v>166.69749999999999</v>
      </c>
      <c r="U4" s="211" t="s">
        <v>1449</v>
      </c>
      <c r="V4" s="265">
        <f>8*247</f>
        <v>1976</v>
      </c>
    </row>
    <row r="5" spans="1:22" ht="33.6" x14ac:dyDescent="0.3">
      <c r="A5" s="165" t="s">
        <v>1450</v>
      </c>
      <c r="B5" s="265" t="s">
        <v>1451</v>
      </c>
      <c r="C5" s="265">
        <f>IFERROR(VLOOKUP(B5,Таблица1[#All],2,FALSE),"-")</f>
        <v>1</v>
      </c>
      <c r="D5" s="265"/>
      <c r="E5" s="265"/>
      <c r="F5" s="265" t="s">
        <v>1444</v>
      </c>
      <c r="G5" s="265">
        <f>IFERROR(VLOOKUP(F5,Таблица3[#All],2,FALSE),"-")</f>
        <v>1</v>
      </c>
      <c r="H5" s="265">
        <v>400</v>
      </c>
      <c r="I5" s="265">
        <v>2</v>
      </c>
      <c r="J5" s="265">
        <v>24</v>
      </c>
      <c r="K5" s="265" t="s">
        <v>1442</v>
      </c>
      <c r="L5" s="265" t="s">
        <v>1442</v>
      </c>
      <c r="M5" s="265" t="s">
        <v>1442</v>
      </c>
      <c r="N5" s="265" t="s">
        <v>1442</v>
      </c>
      <c r="O5" s="264">
        <f t="shared" si="0"/>
        <v>285.04000000000002</v>
      </c>
      <c r="Q5" s="420" t="s">
        <v>1457</v>
      </c>
      <c r="R5" s="420"/>
      <c r="U5" s="211" t="s">
        <v>1452</v>
      </c>
      <c r="V5" s="265">
        <v>1.1000000000000001</v>
      </c>
    </row>
    <row r="6" spans="1:22" ht="50.4" x14ac:dyDescent="0.3">
      <c r="A6" s="165" t="s">
        <v>1453</v>
      </c>
      <c r="B6" s="265" t="s">
        <v>1521</v>
      </c>
      <c r="C6" s="265">
        <f>IFERROR(VLOOKUP(B6,Таблица1[#All],2,FALSE),"-")</f>
        <v>1.1000000000000001</v>
      </c>
      <c r="D6" s="265"/>
      <c r="E6" s="265"/>
      <c r="F6" s="265" t="s">
        <v>1444</v>
      </c>
      <c r="G6" s="265">
        <f>IFERROR(VLOOKUP(F6,Таблица3[#All],2,FALSE),"-")</f>
        <v>1</v>
      </c>
      <c r="H6" s="265">
        <v>400</v>
      </c>
      <c r="I6" s="265">
        <v>1</v>
      </c>
      <c r="J6" s="265">
        <v>12</v>
      </c>
      <c r="K6" s="265" t="s">
        <v>1442</v>
      </c>
      <c r="L6" s="265" t="s">
        <v>1442</v>
      </c>
      <c r="M6" s="265" t="s">
        <v>1442</v>
      </c>
      <c r="N6" s="265" t="s">
        <v>1442</v>
      </c>
      <c r="O6" s="264">
        <f t="shared" si="0"/>
        <v>262.13499999999999</v>
      </c>
      <c r="P6" s="262"/>
      <c r="Q6" s="211" t="s">
        <v>1802</v>
      </c>
      <c r="R6" s="268">
        <f>SUM(I2:I301)*SUM(J2:J301)*0.001*12</f>
        <v>37.488</v>
      </c>
    </row>
    <row r="7" spans="1:22" ht="33.6" x14ac:dyDescent="0.3">
      <c r="A7" s="165" t="s">
        <v>1454</v>
      </c>
      <c r="B7" s="265" t="s">
        <v>1448</v>
      </c>
      <c r="C7" s="265">
        <f>IFERROR(VLOOKUP(B7,Таблица1[#All],2,FALSE),"-")</f>
        <v>1.1000000000000001</v>
      </c>
      <c r="D7" s="265"/>
      <c r="E7" s="265"/>
      <c r="F7" s="265" t="s">
        <v>1447</v>
      </c>
      <c r="G7" s="265">
        <f>IFERROR(VLOOKUP(F7,Таблица3[#All],2,FALSE),"-")</f>
        <v>1.6</v>
      </c>
      <c r="H7" s="265">
        <v>200</v>
      </c>
      <c r="I7" s="265">
        <v>1</v>
      </c>
      <c r="J7" s="265">
        <v>36</v>
      </c>
      <c r="K7" s="265" t="s">
        <v>1442</v>
      </c>
      <c r="L7" s="265" t="s">
        <v>1442</v>
      </c>
      <c r="M7" s="265" t="s">
        <v>1442</v>
      </c>
      <c r="N7" s="265" t="s">
        <v>1442</v>
      </c>
      <c r="O7" s="264">
        <f t="shared" si="0"/>
        <v>150.155</v>
      </c>
      <c r="P7" s="262"/>
      <c r="Q7" s="211" t="s">
        <v>1801</v>
      </c>
      <c r="R7" s="268">
        <f>COUNTA(B2:B301)*12</f>
        <v>144</v>
      </c>
    </row>
    <row r="8" spans="1:22" ht="33.6" x14ac:dyDescent="0.3">
      <c r="A8" s="165" t="s">
        <v>1455</v>
      </c>
      <c r="B8" s="265" t="s">
        <v>1513</v>
      </c>
      <c r="C8" s="265">
        <f>IFERROR(VLOOKUP(B8,Таблица1[#All],2,FALSE),"-")</f>
        <v>1.1000000000000001</v>
      </c>
      <c r="D8" s="265"/>
      <c r="E8" s="265"/>
      <c r="F8" s="265" t="s">
        <v>1444</v>
      </c>
      <c r="G8" s="265">
        <f>IFERROR(VLOOKUP(F8,Таблица3[#All],2,FALSE),"-")</f>
        <v>1</v>
      </c>
      <c r="H8" s="265">
        <v>100</v>
      </c>
      <c r="I8" s="265">
        <v>0.5</v>
      </c>
      <c r="J8" s="265">
        <v>12</v>
      </c>
      <c r="K8" s="265" t="s">
        <v>1442</v>
      </c>
      <c r="L8" s="265" t="s">
        <v>1442</v>
      </c>
      <c r="M8" s="265" t="s">
        <v>1442</v>
      </c>
      <c r="N8" s="265" t="s">
        <v>1442</v>
      </c>
      <c r="O8" s="264">
        <f t="shared" si="0"/>
        <v>67.442499999999995</v>
      </c>
      <c r="P8" s="262"/>
      <c r="Q8" s="211" t="s">
        <v>1459</v>
      </c>
      <c r="R8" s="265">
        <v>0.05</v>
      </c>
    </row>
    <row r="9" spans="1:22" ht="33.6" x14ac:dyDescent="0.3">
      <c r="A9" s="165" t="s">
        <v>1456</v>
      </c>
      <c r="B9" s="265" t="s">
        <v>1499</v>
      </c>
      <c r="C9" s="265">
        <f>IFERROR(VLOOKUP(B9,Таблица1[#All],2,FALSE),"-")</f>
        <v>1.1000000000000001</v>
      </c>
      <c r="D9" s="265"/>
      <c r="E9" s="265"/>
      <c r="F9" s="265" t="s">
        <v>1444</v>
      </c>
      <c r="G9" s="265">
        <f>IFERROR(VLOOKUP(F9,Таблица3[#All],2,FALSE),"-")</f>
        <v>1</v>
      </c>
      <c r="H9" s="265">
        <v>800</v>
      </c>
      <c r="I9" s="265">
        <v>1</v>
      </c>
      <c r="J9" s="265">
        <v>24</v>
      </c>
      <c r="K9" s="265" t="s">
        <v>1442</v>
      </c>
      <c r="L9" s="265" t="s">
        <v>1442</v>
      </c>
      <c r="M9" s="265" t="s">
        <v>1442</v>
      </c>
      <c r="N9" s="265" t="s">
        <v>1442</v>
      </c>
      <c r="O9" s="264">
        <f t="shared" si="0"/>
        <v>524.27</v>
      </c>
      <c r="Q9" s="211" t="s">
        <v>1461</v>
      </c>
      <c r="R9" s="265">
        <v>5</v>
      </c>
    </row>
    <row r="10" spans="1:22" ht="33.6" x14ac:dyDescent="0.3">
      <c r="A10" s="165" t="s">
        <v>1458</v>
      </c>
      <c r="B10" s="265" t="s">
        <v>1501</v>
      </c>
      <c r="C10" s="265">
        <f>IFERROR(VLOOKUP(B10,Таблица1[#All],2,FALSE),"-")</f>
        <v>1.1000000000000001</v>
      </c>
      <c r="D10" s="265"/>
      <c r="E10" s="265"/>
      <c r="F10" s="265" t="s">
        <v>1444</v>
      </c>
      <c r="G10" s="265">
        <f>IFERROR(VLOOKUP(F10,Таблица3[#All],2,FALSE),"-")</f>
        <v>1</v>
      </c>
      <c r="H10" s="265">
        <v>300</v>
      </c>
      <c r="I10" s="265">
        <v>1</v>
      </c>
      <c r="J10" s="265">
        <v>36</v>
      </c>
      <c r="K10" s="265" t="s">
        <v>1442</v>
      </c>
      <c r="L10" s="265" t="s">
        <v>1442</v>
      </c>
      <c r="M10" s="265" t="s">
        <v>1442</v>
      </c>
      <c r="N10" s="265" t="s">
        <v>1442</v>
      </c>
      <c r="O10" s="264">
        <f t="shared" si="0"/>
        <v>213.78</v>
      </c>
      <c r="Q10" s="211" t="s">
        <v>1463</v>
      </c>
      <c r="R10" s="265">
        <v>0.25</v>
      </c>
    </row>
    <row r="11" spans="1:22" ht="33.6" x14ac:dyDescent="0.3">
      <c r="A11" s="165" t="s">
        <v>1460</v>
      </c>
      <c r="B11" s="265" t="s">
        <v>1509</v>
      </c>
      <c r="C11" s="265">
        <f>IFERROR(VLOOKUP(B11,Таблица1[#All],2,FALSE),"-")</f>
        <v>1</v>
      </c>
      <c r="D11" s="265"/>
      <c r="E11" s="265"/>
      <c r="F11" s="265" t="s">
        <v>1444</v>
      </c>
      <c r="G11" s="265">
        <f>IFERROR(VLOOKUP(F11,Таблица3[#All],2,FALSE),"-")</f>
        <v>1</v>
      </c>
      <c r="H11" s="265">
        <v>400</v>
      </c>
      <c r="I11" s="265">
        <v>1</v>
      </c>
      <c r="J11" s="265">
        <v>36</v>
      </c>
      <c r="K11" s="265" t="s">
        <v>1442</v>
      </c>
      <c r="L11" s="265" t="s">
        <v>1442</v>
      </c>
      <c r="M11" s="265" t="s">
        <v>1442</v>
      </c>
      <c r="N11" s="265" t="s">
        <v>1442</v>
      </c>
      <c r="O11" s="264">
        <f t="shared" si="0"/>
        <v>277.40499999999997</v>
      </c>
      <c r="Q11" s="211" t="s">
        <v>1799</v>
      </c>
      <c r="R11" s="265">
        <v>20</v>
      </c>
    </row>
    <row r="12" spans="1:22" ht="33.6" x14ac:dyDescent="0.3">
      <c r="A12" s="165" t="s">
        <v>1462</v>
      </c>
      <c r="B12" s="265" t="s">
        <v>1451</v>
      </c>
      <c r="C12" s="265">
        <f>IFERROR(VLOOKUP(B12,Таблица1[#All],2,FALSE),"-")</f>
        <v>1</v>
      </c>
      <c r="D12" s="265"/>
      <c r="E12" s="265"/>
      <c r="F12" s="265" t="s">
        <v>1444</v>
      </c>
      <c r="G12" s="265">
        <f>IFERROR(VLOOKUP(F12,Таблица3[#All],2,FALSE),"-")</f>
        <v>1</v>
      </c>
      <c r="H12" s="265">
        <v>52</v>
      </c>
      <c r="I12" s="265">
        <v>0.25</v>
      </c>
      <c r="J12" s="265">
        <v>36</v>
      </c>
      <c r="K12" s="265" t="s">
        <v>1442</v>
      </c>
      <c r="L12" s="265" t="s">
        <v>1442</v>
      </c>
      <c r="M12" s="265" t="s">
        <v>1442</v>
      </c>
      <c r="N12" s="265" t="s">
        <v>1442</v>
      </c>
      <c r="O12" s="264">
        <f t="shared" si="0"/>
        <v>38.811250000000001</v>
      </c>
      <c r="Q12" s="211" t="s">
        <v>1800</v>
      </c>
      <c r="R12" s="265">
        <v>0.2</v>
      </c>
    </row>
    <row r="13" spans="1:22" ht="33.6" x14ac:dyDescent="0.3">
      <c r="A13" s="165" t="s">
        <v>1464</v>
      </c>
      <c r="B13" s="265" t="s">
        <v>1451</v>
      </c>
      <c r="C13" s="265">
        <f>IFERROR(VLOOKUP(B13,Таблица1[#All],2,FALSE),"-")</f>
        <v>1</v>
      </c>
      <c r="D13" s="265"/>
      <c r="E13" s="265"/>
      <c r="F13" s="265" t="s">
        <v>1444</v>
      </c>
      <c r="G13" s="265">
        <f>IFERROR(VLOOKUP(F13,Таблица3[#All],2,FALSE),"-")</f>
        <v>1</v>
      </c>
      <c r="H13" s="265">
        <v>78</v>
      </c>
      <c r="I13" s="265">
        <v>0.25</v>
      </c>
      <c r="J13" s="265">
        <v>12</v>
      </c>
      <c r="K13" s="265" t="s">
        <v>1442</v>
      </c>
      <c r="L13" s="265" t="s">
        <v>1442</v>
      </c>
      <c r="M13" s="265" t="s">
        <v>1442</v>
      </c>
      <c r="N13" s="265" t="s">
        <v>1442</v>
      </c>
      <c r="O13" s="264">
        <f t="shared" si="0"/>
        <v>51.536250000000003</v>
      </c>
      <c r="Q13" s="211" t="s">
        <v>2138</v>
      </c>
      <c r="R13" s="265">
        <f>COUNTA(B2:B301)*4*12</f>
        <v>576</v>
      </c>
    </row>
    <row r="14" spans="1:22" x14ac:dyDescent="0.3">
      <c r="A14" s="165" t="s">
        <v>1465</v>
      </c>
      <c r="B14" s="265"/>
      <c r="C14" s="265" t="str">
        <f>IFERROR(VLOOKUP(B14,Таблица1[#All],2,FALSE),"-")</f>
        <v>-</v>
      </c>
      <c r="D14" s="265"/>
      <c r="E14" s="265"/>
      <c r="F14" s="265"/>
      <c r="G14" s="265" t="str">
        <f>IFERROR(VLOOKUP(F14,Таблица3[#All],2,FALSE),"-")</f>
        <v>-</v>
      </c>
      <c r="H14" s="265">
        <v>0</v>
      </c>
      <c r="I14" s="265"/>
      <c r="J14" s="265">
        <v>0</v>
      </c>
      <c r="K14" s="265" t="s">
        <v>1445</v>
      </c>
      <c r="L14" s="265" t="s">
        <v>1445</v>
      </c>
      <c r="M14" s="265" t="s">
        <v>1445</v>
      </c>
      <c r="N14" s="265" t="s">
        <v>1445</v>
      </c>
      <c r="O14" s="264">
        <f t="shared" si="0"/>
        <v>0</v>
      </c>
    </row>
    <row r="15" spans="1:22" ht="50.4" x14ac:dyDescent="0.3">
      <c r="A15" s="165" t="s">
        <v>1466</v>
      </c>
      <c r="B15" s="265"/>
      <c r="C15" s="265" t="str">
        <f>IFERROR(VLOOKUP(B15,Таблица1[#All],2,FALSE),"-")</f>
        <v>-</v>
      </c>
      <c r="D15" s="265"/>
      <c r="E15" s="265"/>
      <c r="F15" s="265"/>
      <c r="G15" s="265" t="str">
        <f>IFERROR(VLOOKUP(F15,Таблица3[#All],2,FALSE),"-")</f>
        <v>-</v>
      </c>
      <c r="H15" s="265">
        <v>0</v>
      </c>
      <c r="I15" s="265"/>
      <c r="J15" s="265">
        <v>0</v>
      </c>
      <c r="K15" s="265" t="s">
        <v>1445</v>
      </c>
      <c r="L15" s="265" t="s">
        <v>1445</v>
      </c>
      <c r="M15" s="265" t="s">
        <v>1445</v>
      </c>
      <c r="N15" s="265" t="s">
        <v>1445</v>
      </c>
      <c r="O15" s="264">
        <f t="shared" si="0"/>
        <v>0</v>
      </c>
      <c r="Q15" s="261" t="s">
        <v>1468</v>
      </c>
      <c r="R15" s="262" t="s">
        <v>1469</v>
      </c>
    </row>
    <row r="16" spans="1:22" x14ac:dyDescent="0.3">
      <c r="A16" s="165" t="s">
        <v>1467</v>
      </c>
      <c r="B16" s="265"/>
      <c r="C16" s="265" t="str">
        <f>IFERROR(VLOOKUP(B16,Таблица1[#All],2,FALSE),"-")</f>
        <v>-</v>
      </c>
      <c r="D16" s="265"/>
      <c r="E16" s="265"/>
      <c r="F16" s="265"/>
      <c r="G16" s="265" t="str">
        <f>IFERROR(VLOOKUP(F16,Таблица3[#All],2,FALSE),"-")</f>
        <v>-</v>
      </c>
      <c r="H16" s="265">
        <v>0</v>
      </c>
      <c r="I16" s="265"/>
      <c r="J16" s="265">
        <v>0</v>
      </c>
      <c r="K16" s="265" t="s">
        <v>1445</v>
      </c>
      <c r="L16" s="265" t="s">
        <v>1445</v>
      </c>
      <c r="M16" s="265" t="s">
        <v>1445</v>
      </c>
      <c r="N16" s="265" t="s">
        <v>1445</v>
      </c>
      <c r="O16" s="264">
        <f t="shared" si="0"/>
        <v>0</v>
      </c>
      <c r="Q16" s="262" t="s">
        <v>1444</v>
      </c>
      <c r="R16" s="261">
        <v>1</v>
      </c>
    </row>
    <row r="17" spans="1:20" x14ac:dyDescent="0.3">
      <c r="A17" s="165" t="s">
        <v>1470</v>
      </c>
      <c r="B17" s="265"/>
      <c r="C17" s="265" t="str">
        <f>IFERROR(VLOOKUP(B17,Таблица1[#All],2,FALSE),"-")</f>
        <v>-</v>
      </c>
      <c r="D17" s="265"/>
      <c r="E17" s="265"/>
      <c r="F17" s="265"/>
      <c r="G17" s="265" t="str">
        <f>IFERROR(VLOOKUP(F17,Таблица3[#All],2,FALSE),"-")</f>
        <v>-</v>
      </c>
      <c r="H17" s="265">
        <v>0</v>
      </c>
      <c r="I17" s="265"/>
      <c r="J17" s="265">
        <v>0</v>
      </c>
      <c r="K17" s="265" t="s">
        <v>1445</v>
      </c>
      <c r="L17" s="265" t="s">
        <v>1445</v>
      </c>
      <c r="M17" s="265" t="s">
        <v>1445</v>
      </c>
      <c r="N17" s="265" t="s">
        <v>1445</v>
      </c>
      <c r="O17" s="264">
        <f t="shared" si="0"/>
        <v>0</v>
      </c>
      <c r="Q17" s="262" t="s">
        <v>1447</v>
      </c>
      <c r="R17" s="261">
        <v>1.6</v>
      </c>
    </row>
    <row r="18" spans="1:20" x14ac:dyDescent="0.3">
      <c r="A18" s="165" t="s">
        <v>1471</v>
      </c>
      <c r="B18" s="265"/>
      <c r="C18" s="265" t="str">
        <f>IFERROR(VLOOKUP(B18,Таблица1[#All],2,FALSE),"-")</f>
        <v>-</v>
      </c>
      <c r="D18" s="265"/>
      <c r="E18" s="265"/>
      <c r="F18" s="265"/>
      <c r="G18" s="265" t="str">
        <f>IFERROR(VLOOKUP(F18,Таблица3[#All],2,FALSE),"-")</f>
        <v>-</v>
      </c>
      <c r="H18" s="265">
        <v>0</v>
      </c>
      <c r="I18" s="265"/>
      <c r="J18" s="265">
        <v>0</v>
      </c>
      <c r="K18" s="265" t="s">
        <v>1445</v>
      </c>
      <c r="L18" s="265" t="s">
        <v>1445</v>
      </c>
      <c r="M18" s="265" t="s">
        <v>1445</v>
      </c>
      <c r="N18" s="265" t="s">
        <v>1445</v>
      </c>
      <c r="O18" s="264">
        <f t="shared" si="0"/>
        <v>0</v>
      </c>
      <c r="Q18" s="262" t="s">
        <v>1473</v>
      </c>
      <c r="R18" s="261">
        <v>1.9</v>
      </c>
    </row>
    <row r="19" spans="1:20" x14ac:dyDescent="0.3">
      <c r="A19" s="165" t="s">
        <v>1472</v>
      </c>
      <c r="B19" s="265"/>
      <c r="C19" s="265" t="str">
        <f>IFERROR(VLOOKUP(B19,Таблица1[#All],2,FALSE),"-")</f>
        <v>-</v>
      </c>
      <c r="D19" s="265"/>
      <c r="E19" s="265"/>
      <c r="F19" s="265"/>
      <c r="G19" s="265" t="str">
        <f>IFERROR(VLOOKUP(F19,Таблица3[#All],2,FALSE),"-")</f>
        <v>-</v>
      </c>
      <c r="H19" s="265">
        <v>0</v>
      </c>
      <c r="I19" s="265"/>
      <c r="J19" s="265">
        <v>0</v>
      </c>
      <c r="K19" s="265" t="s">
        <v>1445</v>
      </c>
      <c r="L19" s="265" t="s">
        <v>1445</v>
      </c>
      <c r="M19" s="265" t="s">
        <v>1445</v>
      </c>
      <c r="N19" s="265" t="s">
        <v>1445</v>
      </c>
      <c r="O19" s="264">
        <f t="shared" si="0"/>
        <v>0</v>
      </c>
    </row>
    <row r="20" spans="1:20" x14ac:dyDescent="0.3">
      <c r="A20" s="165" t="s">
        <v>1474</v>
      </c>
      <c r="B20" s="265"/>
      <c r="C20" s="265" t="str">
        <f>IFERROR(VLOOKUP(B20,Таблица1[#All],2,FALSE),"-")</f>
        <v>-</v>
      </c>
      <c r="D20" s="265"/>
      <c r="E20" s="265"/>
      <c r="F20" s="265"/>
      <c r="G20" s="265" t="str">
        <f>IFERROR(VLOOKUP(F20,Таблица3[#All],2,FALSE),"-")</f>
        <v>-</v>
      </c>
      <c r="H20" s="265">
        <v>0</v>
      </c>
      <c r="I20" s="265"/>
      <c r="J20" s="265">
        <v>0</v>
      </c>
      <c r="K20" s="265" t="s">
        <v>1445</v>
      </c>
      <c r="L20" s="265" t="s">
        <v>1445</v>
      </c>
      <c r="M20" s="265" t="s">
        <v>1445</v>
      </c>
      <c r="N20" s="265" t="s">
        <v>1445</v>
      </c>
      <c r="O20" s="264">
        <f t="shared" si="0"/>
        <v>0</v>
      </c>
    </row>
    <row r="21" spans="1:20" ht="33.6" x14ac:dyDescent="0.3">
      <c r="A21" s="165" t="s">
        <v>1475</v>
      </c>
      <c r="B21" s="265"/>
      <c r="C21" s="265" t="str">
        <f>IFERROR(VLOOKUP(B21,Таблица1[#All],2,FALSE),"-")</f>
        <v>-</v>
      </c>
      <c r="D21" s="265"/>
      <c r="E21" s="265"/>
      <c r="F21" s="265"/>
      <c r="G21" s="265" t="str">
        <f>IFERROR(VLOOKUP(F21,Таблица3[#All],2,FALSE),"-")</f>
        <v>-</v>
      </c>
      <c r="H21" s="265">
        <v>0</v>
      </c>
      <c r="I21" s="265"/>
      <c r="J21" s="265">
        <v>0</v>
      </c>
      <c r="K21" s="265" t="s">
        <v>1445</v>
      </c>
      <c r="L21" s="265" t="s">
        <v>1445</v>
      </c>
      <c r="M21" s="265" t="s">
        <v>1445</v>
      </c>
      <c r="N21" s="265" t="s">
        <v>1445</v>
      </c>
      <c r="O21" s="264">
        <f t="shared" si="0"/>
        <v>0</v>
      </c>
      <c r="Q21" s="261" t="s">
        <v>1478</v>
      </c>
      <c r="R21" s="261" t="s">
        <v>1479</v>
      </c>
      <c r="S21" s="261" t="s">
        <v>1792</v>
      </c>
      <c r="T21" s="261" t="s">
        <v>0</v>
      </c>
    </row>
    <row r="22" spans="1:20" x14ac:dyDescent="0.3">
      <c r="A22" s="165" t="s">
        <v>1476</v>
      </c>
      <c r="B22" s="265"/>
      <c r="C22" s="265" t="str">
        <f>IFERROR(VLOOKUP(B22,Таблица1[#All],2,FALSE),"-")</f>
        <v>-</v>
      </c>
      <c r="D22" s="265"/>
      <c r="E22" s="265"/>
      <c r="F22" s="265"/>
      <c r="G22" s="265" t="str">
        <f>IFERROR(VLOOKUP(F22,Таблица3[#All],2,FALSE),"-")</f>
        <v>-</v>
      </c>
      <c r="H22" s="265">
        <v>0</v>
      </c>
      <c r="I22" s="265"/>
      <c r="J22" s="265">
        <v>0</v>
      </c>
      <c r="K22" s="265" t="s">
        <v>1445</v>
      </c>
      <c r="L22" s="265" t="s">
        <v>1445</v>
      </c>
      <c r="M22" s="265" t="s">
        <v>1445</v>
      </c>
      <c r="N22" s="265" t="s">
        <v>1445</v>
      </c>
      <c r="O22" s="264">
        <f t="shared" si="0"/>
        <v>0</v>
      </c>
      <c r="Q22" s="262" t="s">
        <v>1481</v>
      </c>
      <c r="R22" s="261">
        <v>2</v>
      </c>
      <c r="S22" s="261">
        <v>5</v>
      </c>
      <c r="T22" s="261" t="s">
        <v>1797</v>
      </c>
    </row>
    <row r="23" spans="1:20" x14ac:dyDescent="0.3">
      <c r="A23" s="165" t="s">
        <v>1477</v>
      </c>
      <c r="B23" s="265"/>
      <c r="C23" s="265" t="str">
        <f>IFERROR(VLOOKUP(B23,Таблица1[#All],2,FALSE),"-")</f>
        <v>-</v>
      </c>
      <c r="D23" s="265"/>
      <c r="E23" s="265"/>
      <c r="F23" s="265"/>
      <c r="G23" s="265" t="str">
        <f>IFERROR(VLOOKUP(F23,Таблица3[#All],2,FALSE),"-")</f>
        <v>-</v>
      </c>
      <c r="H23" s="265">
        <v>0</v>
      </c>
      <c r="I23" s="265"/>
      <c r="J23" s="265">
        <v>0</v>
      </c>
      <c r="K23" s="265" t="s">
        <v>1445</v>
      </c>
      <c r="L23" s="265" t="s">
        <v>1445</v>
      </c>
      <c r="M23" s="265" t="s">
        <v>1445</v>
      </c>
      <c r="N23" s="265" t="s">
        <v>1445</v>
      </c>
      <c r="O23" s="264">
        <f t="shared" si="0"/>
        <v>0</v>
      </c>
      <c r="Q23" s="262" t="s">
        <v>1483</v>
      </c>
      <c r="R23" s="261">
        <v>1.5</v>
      </c>
      <c r="S23" s="261">
        <v>5</v>
      </c>
      <c r="T23" s="261" t="s">
        <v>1797</v>
      </c>
    </row>
    <row r="24" spans="1:20" x14ac:dyDescent="0.3">
      <c r="A24" s="165" t="s">
        <v>1480</v>
      </c>
      <c r="B24" s="265"/>
      <c r="C24" s="265" t="str">
        <f>IFERROR(VLOOKUP(B24,Таблица1[#All],2,FALSE),"-")</f>
        <v>-</v>
      </c>
      <c r="D24" s="265"/>
      <c r="E24" s="265"/>
      <c r="F24" s="265"/>
      <c r="G24" s="265" t="str">
        <f>IFERROR(VLOOKUP(F24,Таблица3[#All],2,FALSE),"-")</f>
        <v>-</v>
      </c>
      <c r="H24" s="265">
        <v>0</v>
      </c>
      <c r="I24" s="265"/>
      <c r="J24" s="265">
        <v>0</v>
      </c>
      <c r="K24" s="265" t="s">
        <v>1445</v>
      </c>
      <c r="L24" s="265" t="s">
        <v>1445</v>
      </c>
      <c r="M24" s="265" t="s">
        <v>1445</v>
      </c>
      <c r="N24" s="265" t="s">
        <v>1445</v>
      </c>
      <c r="O24" s="264">
        <f t="shared" si="0"/>
        <v>0</v>
      </c>
      <c r="Q24" s="262" t="s">
        <v>1446</v>
      </c>
      <c r="R24" s="261">
        <v>1.6</v>
      </c>
      <c r="S24" s="261">
        <v>2</v>
      </c>
      <c r="T24" s="261" t="s">
        <v>3895</v>
      </c>
    </row>
    <row r="25" spans="1:20" x14ac:dyDescent="0.3">
      <c r="A25" s="165" t="s">
        <v>1482</v>
      </c>
      <c r="B25" s="265"/>
      <c r="C25" s="265" t="str">
        <f>IFERROR(VLOOKUP(B25,Таблица1[#All],2,FALSE),"-")</f>
        <v>-</v>
      </c>
      <c r="D25" s="265"/>
      <c r="E25" s="265"/>
      <c r="F25" s="265"/>
      <c r="G25" s="265" t="str">
        <f>IFERROR(VLOOKUP(F25,Таблица3[#All],2,FALSE),"-")</f>
        <v>-</v>
      </c>
      <c r="H25" s="265">
        <v>0</v>
      </c>
      <c r="I25" s="265"/>
      <c r="J25" s="265">
        <v>0</v>
      </c>
      <c r="K25" s="265" t="s">
        <v>1445</v>
      </c>
      <c r="L25" s="265" t="s">
        <v>1445</v>
      </c>
      <c r="M25" s="265" t="s">
        <v>1445</v>
      </c>
      <c r="N25" s="265" t="s">
        <v>1445</v>
      </c>
      <c r="O25" s="264">
        <f t="shared" si="0"/>
        <v>0</v>
      </c>
      <c r="Q25" s="262" t="s">
        <v>1486</v>
      </c>
      <c r="R25" s="261">
        <v>1.8</v>
      </c>
      <c r="S25" s="261">
        <v>2</v>
      </c>
      <c r="T25" s="261" t="s">
        <v>3895</v>
      </c>
    </row>
    <row r="26" spans="1:20" x14ac:dyDescent="0.3">
      <c r="A26" s="165" t="s">
        <v>1484</v>
      </c>
      <c r="B26" s="265"/>
      <c r="C26" s="265" t="str">
        <f>IFERROR(VLOOKUP(B26,Таблица1[#All],2,FALSE),"-")</f>
        <v>-</v>
      </c>
      <c r="D26" s="265"/>
      <c r="E26" s="265"/>
      <c r="F26" s="265"/>
      <c r="G26" s="265" t="str">
        <f>IFERROR(VLOOKUP(F26,Таблица3[#All],2,FALSE),"-")</f>
        <v>-</v>
      </c>
      <c r="H26" s="265">
        <v>0</v>
      </c>
      <c r="I26" s="265"/>
      <c r="J26" s="265">
        <v>0</v>
      </c>
      <c r="K26" s="265" t="s">
        <v>1445</v>
      </c>
      <c r="L26" s="265" t="s">
        <v>1445</v>
      </c>
      <c r="M26" s="265" t="s">
        <v>1445</v>
      </c>
      <c r="N26" s="265" t="s">
        <v>1445</v>
      </c>
      <c r="O26" s="264">
        <f t="shared" si="0"/>
        <v>0</v>
      </c>
      <c r="Q26" s="262" t="s">
        <v>1488</v>
      </c>
      <c r="R26" s="261">
        <v>2</v>
      </c>
      <c r="S26" s="261">
        <v>5</v>
      </c>
      <c r="T26" s="261" t="s">
        <v>1797</v>
      </c>
    </row>
    <row r="27" spans="1:20" x14ac:dyDescent="0.3">
      <c r="A27" s="165" t="s">
        <v>1485</v>
      </c>
      <c r="B27" s="265"/>
      <c r="C27" s="265" t="str">
        <f>IFERROR(VLOOKUP(B27,Таблица1[#All],2,FALSE),"-")</f>
        <v>-</v>
      </c>
      <c r="D27" s="265"/>
      <c r="E27" s="265"/>
      <c r="F27" s="265"/>
      <c r="G27" s="265" t="str">
        <f>IFERROR(VLOOKUP(F27,Таблица3[#All],2,FALSE),"-")</f>
        <v>-</v>
      </c>
      <c r="H27" s="265">
        <v>0</v>
      </c>
      <c r="I27" s="265"/>
      <c r="J27" s="265">
        <v>0</v>
      </c>
      <c r="K27" s="265" t="s">
        <v>1445</v>
      </c>
      <c r="L27" s="265" t="s">
        <v>1445</v>
      </c>
      <c r="M27" s="265" t="s">
        <v>1445</v>
      </c>
      <c r="N27" s="265" t="s">
        <v>1445</v>
      </c>
      <c r="O27" s="264">
        <f t="shared" si="0"/>
        <v>0</v>
      </c>
      <c r="Q27" s="262" t="s">
        <v>1490</v>
      </c>
      <c r="R27" s="261">
        <v>1.1000000000000001</v>
      </c>
      <c r="S27" s="261">
        <v>4</v>
      </c>
      <c r="T27" s="261" t="s">
        <v>1798</v>
      </c>
    </row>
    <row r="28" spans="1:20" x14ac:dyDescent="0.3">
      <c r="A28" s="165" t="s">
        <v>1487</v>
      </c>
      <c r="B28" s="265"/>
      <c r="C28" s="265" t="str">
        <f>IFERROR(VLOOKUP(B28,Таблица1[#All],2,FALSE),"-")</f>
        <v>-</v>
      </c>
      <c r="D28" s="265"/>
      <c r="E28" s="265"/>
      <c r="F28" s="265"/>
      <c r="G28" s="265" t="str">
        <f>IFERROR(VLOOKUP(F28,Таблица3[#All],2,FALSE),"-")</f>
        <v>-</v>
      </c>
      <c r="H28" s="265">
        <v>0</v>
      </c>
      <c r="I28" s="265"/>
      <c r="J28" s="265">
        <v>0</v>
      </c>
      <c r="K28" s="265" t="s">
        <v>1445</v>
      </c>
      <c r="L28" s="265" t="s">
        <v>1445</v>
      </c>
      <c r="M28" s="265" t="s">
        <v>1445</v>
      </c>
      <c r="N28" s="265" t="s">
        <v>1445</v>
      </c>
      <c r="O28" s="264">
        <f t="shared" si="0"/>
        <v>0</v>
      </c>
      <c r="Q28" s="262" t="s">
        <v>1492</v>
      </c>
      <c r="R28" s="261">
        <v>1</v>
      </c>
      <c r="S28" s="261">
        <v>2</v>
      </c>
      <c r="T28" s="261" t="s">
        <v>3895</v>
      </c>
    </row>
    <row r="29" spans="1:20" x14ac:dyDescent="0.3">
      <c r="A29" s="165" t="s">
        <v>1489</v>
      </c>
      <c r="B29" s="265"/>
      <c r="C29" s="265" t="str">
        <f>IFERROR(VLOOKUP(B29,Таблица1[#All],2,FALSE),"-")</f>
        <v>-</v>
      </c>
      <c r="D29" s="265"/>
      <c r="E29" s="265"/>
      <c r="F29" s="265"/>
      <c r="G29" s="265" t="str">
        <f>IFERROR(VLOOKUP(F29,Таблица3[#All],2,FALSE),"-")</f>
        <v>-</v>
      </c>
      <c r="H29" s="265">
        <v>0</v>
      </c>
      <c r="I29" s="265"/>
      <c r="J29" s="265">
        <v>0</v>
      </c>
      <c r="K29" s="265" t="s">
        <v>1445</v>
      </c>
      <c r="L29" s="265" t="s">
        <v>1445</v>
      </c>
      <c r="M29" s="265" t="s">
        <v>1445</v>
      </c>
      <c r="N29" s="265" t="s">
        <v>1445</v>
      </c>
      <c r="O29" s="264">
        <f t="shared" si="0"/>
        <v>0</v>
      </c>
      <c r="Q29" s="262" t="s">
        <v>1494</v>
      </c>
      <c r="R29" s="261">
        <v>1.1000000000000001</v>
      </c>
      <c r="S29" s="261">
        <v>1</v>
      </c>
      <c r="T29" s="261" t="s">
        <v>1795</v>
      </c>
    </row>
    <row r="30" spans="1:20" x14ac:dyDescent="0.3">
      <c r="A30" s="165" t="s">
        <v>1491</v>
      </c>
      <c r="B30" s="265"/>
      <c r="C30" s="265" t="str">
        <f>IFERROR(VLOOKUP(B30,Таблица1[#All],2,FALSE),"-")</f>
        <v>-</v>
      </c>
      <c r="D30" s="265"/>
      <c r="E30" s="265"/>
      <c r="F30" s="265"/>
      <c r="G30" s="265" t="str">
        <f>IFERROR(VLOOKUP(F30,Таблица3[#All],2,FALSE),"-")</f>
        <v>-</v>
      </c>
      <c r="H30" s="265">
        <v>0</v>
      </c>
      <c r="I30" s="265"/>
      <c r="J30" s="265">
        <v>0</v>
      </c>
      <c r="K30" s="265" t="s">
        <v>1445</v>
      </c>
      <c r="L30" s="265" t="s">
        <v>1445</v>
      </c>
      <c r="M30" s="265" t="s">
        <v>1445</v>
      </c>
      <c r="N30" s="265" t="s">
        <v>1445</v>
      </c>
      <c r="O30" s="264">
        <f t="shared" si="0"/>
        <v>0</v>
      </c>
      <c r="Q30" s="262" t="s">
        <v>1496</v>
      </c>
      <c r="R30" s="261">
        <v>1</v>
      </c>
      <c r="S30" s="261">
        <v>3</v>
      </c>
      <c r="T30" s="261" t="s">
        <v>3896</v>
      </c>
    </row>
    <row r="31" spans="1:20" x14ac:dyDescent="0.3">
      <c r="A31" s="165" t="s">
        <v>1493</v>
      </c>
      <c r="B31" s="265"/>
      <c r="C31" s="265" t="str">
        <f>IFERROR(VLOOKUP(B31,Таблица1[#All],2,FALSE),"-")</f>
        <v>-</v>
      </c>
      <c r="D31" s="265"/>
      <c r="E31" s="265"/>
      <c r="F31" s="265"/>
      <c r="G31" s="265" t="str">
        <f>IFERROR(VLOOKUP(F31,Таблица3[#All],2,FALSE),"-")</f>
        <v>-</v>
      </c>
      <c r="H31" s="265">
        <v>0</v>
      </c>
      <c r="I31" s="265"/>
      <c r="J31" s="265">
        <v>0</v>
      </c>
      <c r="K31" s="265" t="s">
        <v>1445</v>
      </c>
      <c r="L31" s="265" t="s">
        <v>1445</v>
      </c>
      <c r="M31" s="265" t="s">
        <v>1445</v>
      </c>
      <c r="N31" s="265" t="s">
        <v>1445</v>
      </c>
      <c r="O31" s="264">
        <f t="shared" si="0"/>
        <v>0</v>
      </c>
      <c r="Q31" s="262" t="s">
        <v>1448</v>
      </c>
      <c r="R31" s="261">
        <v>1.1000000000000001</v>
      </c>
      <c r="S31" s="261" t="s">
        <v>1796</v>
      </c>
      <c r="T31" s="261" t="s">
        <v>1798</v>
      </c>
    </row>
    <row r="32" spans="1:20" x14ac:dyDescent="0.3">
      <c r="A32" s="165" t="s">
        <v>1495</v>
      </c>
      <c r="B32" s="265"/>
      <c r="C32" s="265" t="str">
        <f>IFERROR(VLOOKUP(B32,Таблица1[#All],2,FALSE),"-")</f>
        <v>-</v>
      </c>
      <c r="D32" s="265"/>
      <c r="E32" s="265"/>
      <c r="F32" s="265"/>
      <c r="G32" s="265" t="str">
        <f>IFERROR(VLOOKUP(F32,Таблица3[#All],2,FALSE),"-")</f>
        <v>-</v>
      </c>
      <c r="H32" s="265">
        <v>0</v>
      </c>
      <c r="I32" s="265"/>
      <c r="J32" s="265">
        <v>0</v>
      </c>
      <c r="K32" s="265" t="s">
        <v>1445</v>
      </c>
      <c r="L32" s="265" t="s">
        <v>1445</v>
      </c>
      <c r="M32" s="265" t="s">
        <v>1445</v>
      </c>
      <c r="N32" s="265" t="s">
        <v>1445</v>
      </c>
      <c r="O32" s="264">
        <f t="shared" si="0"/>
        <v>0</v>
      </c>
      <c r="Q32" s="262" t="s">
        <v>1499</v>
      </c>
      <c r="R32" s="261">
        <v>1.1000000000000001</v>
      </c>
      <c r="S32" s="261">
        <v>1</v>
      </c>
      <c r="T32" s="261" t="s">
        <v>1795</v>
      </c>
    </row>
    <row r="33" spans="1:20" x14ac:dyDescent="0.3">
      <c r="A33" s="165" t="s">
        <v>1497</v>
      </c>
      <c r="B33" s="265"/>
      <c r="C33" s="265" t="str">
        <f>IFERROR(VLOOKUP(B33,Таблица1[#All],2,FALSE),"-")</f>
        <v>-</v>
      </c>
      <c r="D33" s="265"/>
      <c r="E33" s="265"/>
      <c r="F33" s="265"/>
      <c r="G33" s="265" t="str">
        <f>IFERROR(VLOOKUP(F33,Таблица3[#All],2,FALSE),"-")</f>
        <v>-</v>
      </c>
      <c r="H33" s="265">
        <v>0</v>
      </c>
      <c r="I33" s="265"/>
      <c r="J33" s="265">
        <v>0</v>
      </c>
      <c r="K33" s="265" t="s">
        <v>1445</v>
      </c>
      <c r="L33" s="265" t="s">
        <v>1445</v>
      </c>
      <c r="M33" s="265" t="s">
        <v>1445</v>
      </c>
      <c r="N33" s="265" t="s">
        <v>1445</v>
      </c>
      <c r="O33" s="264">
        <f t="shared" si="0"/>
        <v>0</v>
      </c>
      <c r="Q33" s="262" t="s">
        <v>1501</v>
      </c>
      <c r="R33" s="261">
        <v>1.1000000000000001</v>
      </c>
      <c r="S33" s="261">
        <v>3</v>
      </c>
      <c r="T33" s="261" t="s">
        <v>3896</v>
      </c>
    </row>
    <row r="34" spans="1:20" x14ac:dyDescent="0.3">
      <c r="A34" s="165" t="s">
        <v>1498</v>
      </c>
      <c r="B34" s="265"/>
      <c r="C34" s="265" t="str">
        <f>IFERROR(VLOOKUP(B34,Таблица1[#All],2,FALSE),"-")</f>
        <v>-</v>
      </c>
      <c r="D34" s="265"/>
      <c r="E34" s="265"/>
      <c r="F34" s="265"/>
      <c r="G34" s="265" t="str">
        <f>IFERROR(VLOOKUP(F34,Таблица3[#All],2,FALSE),"-")</f>
        <v>-</v>
      </c>
      <c r="H34" s="265">
        <v>0</v>
      </c>
      <c r="I34" s="265"/>
      <c r="J34" s="265">
        <v>0</v>
      </c>
      <c r="K34" s="265" t="s">
        <v>1445</v>
      </c>
      <c r="L34" s="265" t="s">
        <v>1445</v>
      </c>
      <c r="M34" s="265" t="s">
        <v>1445</v>
      </c>
      <c r="N34" s="265" t="s">
        <v>1445</v>
      </c>
      <c r="O34" s="264">
        <f t="shared" si="0"/>
        <v>0</v>
      </c>
      <c r="Q34" s="262" t="s">
        <v>1503</v>
      </c>
      <c r="R34" s="261">
        <v>1.1000000000000001</v>
      </c>
      <c r="S34" s="261">
        <v>1</v>
      </c>
      <c r="T34" s="261" t="s">
        <v>1795</v>
      </c>
    </row>
    <row r="35" spans="1:20" x14ac:dyDescent="0.3">
      <c r="A35" s="165" t="s">
        <v>1500</v>
      </c>
      <c r="B35" s="265"/>
      <c r="C35" s="265" t="str">
        <f>IFERROR(VLOOKUP(B35,Таблица1[#All],2,FALSE),"-")</f>
        <v>-</v>
      </c>
      <c r="D35" s="265"/>
      <c r="E35" s="265"/>
      <c r="F35" s="265"/>
      <c r="G35" s="265" t="str">
        <f>IFERROR(VLOOKUP(F35,Таблица3[#All],2,FALSE),"-")</f>
        <v>-</v>
      </c>
      <c r="H35" s="265">
        <v>0</v>
      </c>
      <c r="I35" s="265"/>
      <c r="J35" s="265">
        <v>0</v>
      </c>
      <c r="K35" s="265" t="s">
        <v>1445</v>
      </c>
      <c r="L35" s="265" t="s">
        <v>1445</v>
      </c>
      <c r="M35" s="265" t="s">
        <v>1445</v>
      </c>
      <c r="N35" s="265" t="s">
        <v>1445</v>
      </c>
      <c r="O35" s="264">
        <f t="shared" si="0"/>
        <v>0</v>
      </c>
      <c r="Q35" s="262" t="s">
        <v>1505</v>
      </c>
      <c r="R35" s="261">
        <v>1</v>
      </c>
      <c r="S35" s="261">
        <v>2</v>
      </c>
      <c r="T35" s="261" t="s">
        <v>3895</v>
      </c>
    </row>
    <row r="36" spans="1:20" x14ac:dyDescent="0.3">
      <c r="A36" s="165" t="s">
        <v>1502</v>
      </c>
      <c r="B36" s="265"/>
      <c r="C36" s="265" t="str">
        <f>IFERROR(VLOOKUP(B36,Таблица1[#All],2,FALSE),"-")</f>
        <v>-</v>
      </c>
      <c r="D36" s="265"/>
      <c r="E36" s="265"/>
      <c r="F36" s="265"/>
      <c r="G36" s="265" t="str">
        <f>IFERROR(VLOOKUP(F36,Таблица3[#All],2,FALSE),"-")</f>
        <v>-</v>
      </c>
      <c r="H36" s="265">
        <v>0</v>
      </c>
      <c r="I36" s="265"/>
      <c r="J36" s="265">
        <v>0</v>
      </c>
      <c r="K36" s="265" t="s">
        <v>1445</v>
      </c>
      <c r="L36" s="265" t="s">
        <v>1445</v>
      </c>
      <c r="M36" s="265" t="s">
        <v>1445</v>
      </c>
      <c r="N36" s="265" t="s">
        <v>1445</v>
      </c>
      <c r="O36" s="264">
        <f t="shared" si="0"/>
        <v>0</v>
      </c>
      <c r="Q36" s="262" t="s">
        <v>1507</v>
      </c>
      <c r="R36" s="261">
        <v>1</v>
      </c>
      <c r="S36" s="261">
        <v>2</v>
      </c>
      <c r="T36" s="261" t="s">
        <v>3895</v>
      </c>
    </row>
    <row r="37" spans="1:20" x14ac:dyDescent="0.3">
      <c r="A37" s="165" t="s">
        <v>1504</v>
      </c>
      <c r="B37" s="265"/>
      <c r="C37" s="265" t="str">
        <f>IFERROR(VLOOKUP(B37,Таблица1[#All],2,FALSE),"-")</f>
        <v>-</v>
      </c>
      <c r="D37" s="265"/>
      <c r="E37" s="265"/>
      <c r="F37" s="265"/>
      <c r="G37" s="265" t="str">
        <f>IFERROR(VLOOKUP(F37,Таблица3[#All],2,FALSE),"-")</f>
        <v>-</v>
      </c>
      <c r="H37" s="265">
        <v>0</v>
      </c>
      <c r="I37" s="265"/>
      <c r="J37" s="265">
        <v>0</v>
      </c>
      <c r="K37" s="265" t="s">
        <v>1445</v>
      </c>
      <c r="L37" s="265" t="s">
        <v>1445</v>
      </c>
      <c r="M37" s="265" t="s">
        <v>1445</v>
      </c>
      <c r="N37" s="265" t="s">
        <v>1445</v>
      </c>
      <c r="O37" s="264">
        <f t="shared" si="0"/>
        <v>0</v>
      </c>
      <c r="Q37" s="262" t="s">
        <v>1509</v>
      </c>
      <c r="R37" s="261">
        <v>1</v>
      </c>
      <c r="S37" s="261">
        <v>3</v>
      </c>
      <c r="T37" s="261" t="s">
        <v>3896</v>
      </c>
    </row>
    <row r="38" spans="1:20" x14ac:dyDescent="0.3">
      <c r="A38" s="165" t="s">
        <v>1506</v>
      </c>
      <c r="B38" s="265"/>
      <c r="C38" s="265" t="str">
        <f>IFERROR(VLOOKUP(B38,Таблица1[#All],2,FALSE),"-")</f>
        <v>-</v>
      </c>
      <c r="D38" s="265"/>
      <c r="E38" s="265"/>
      <c r="F38" s="265"/>
      <c r="G38" s="265" t="str">
        <f>IFERROR(VLOOKUP(F38,Таблица3[#All],2,FALSE),"-")</f>
        <v>-</v>
      </c>
      <c r="H38" s="265">
        <v>0</v>
      </c>
      <c r="I38" s="265"/>
      <c r="J38" s="265">
        <v>0</v>
      </c>
      <c r="K38" s="265" t="s">
        <v>1445</v>
      </c>
      <c r="L38" s="265" t="s">
        <v>1445</v>
      </c>
      <c r="M38" s="265" t="s">
        <v>1445</v>
      </c>
      <c r="N38" s="265" t="s">
        <v>1445</v>
      </c>
      <c r="O38" s="264">
        <f t="shared" si="0"/>
        <v>0</v>
      </c>
      <c r="Q38" s="262" t="s">
        <v>1511</v>
      </c>
      <c r="R38" s="261">
        <v>1.1000000000000001</v>
      </c>
      <c r="S38" s="261" t="s">
        <v>1793</v>
      </c>
      <c r="T38" s="261" t="s">
        <v>1794</v>
      </c>
    </row>
    <row r="39" spans="1:20" x14ac:dyDescent="0.3">
      <c r="A39" s="165" t="s">
        <v>1508</v>
      </c>
      <c r="B39" s="265"/>
      <c r="C39" s="265" t="str">
        <f>IFERROR(VLOOKUP(B39,Таблица1[#All],2,FALSE),"-")</f>
        <v>-</v>
      </c>
      <c r="D39" s="265"/>
      <c r="E39" s="265"/>
      <c r="F39" s="265"/>
      <c r="G39" s="265" t="str">
        <f>IFERROR(VLOOKUP(F39,Таблица3[#All],2,FALSE),"-")</f>
        <v>-</v>
      </c>
      <c r="H39" s="265">
        <v>0</v>
      </c>
      <c r="I39" s="265"/>
      <c r="J39" s="265">
        <v>0</v>
      </c>
      <c r="K39" s="265" t="s">
        <v>1445</v>
      </c>
      <c r="L39" s="265" t="s">
        <v>1445</v>
      </c>
      <c r="M39" s="265" t="s">
        <v>1445</v>
      </c>
      <c r="N39" s="265" t="s">
        <v>1445</v>
      </c>
      <c r="O39" s="264">
        <f t="shared" si="0"/>
        <v>0</v>
      </c>
      <c r="Q39" s="262" t="s">
        <v>1513</v>
      </c>
      <c r="R39" s="261">
        <v>1.1000000000000001</v>
      </c>
      <c r="S39" s="261">
        <v>3</v>
      </c>
      <c r="T39" s="261" t="s">
        <v>3896</v>
      </c>
    </row>
    <row r="40" spans="1:20" x14ac:dyDescent="0.3">
      <c r="A40" s="165" t="s">
        <v>1510</v>
      </c>
      <c r="B40" s="265"/>
      <c r="C40" s="265" t="str">
        <f>IFERROR(VLOOKUP(B40,Таблица1[#All],2,FALSE),"-")</f>
        <v>-</v>
      </c>
      <c r="D40" s="265"/>
      <c r="E40" s="265"/>
      <c r="F40" s="265"/>
      <c r="G40" s="265" t="str">
        <f>IFERROR(VLOOKUP(F40,Таблица3[#All],2,FALSE),"-")</f>
        <v>-</v>
      </c>
      <c r="H40" s="265">
        <v>0</v>
      </c>
      <c r="I40" s="265"/>
      <c r="J40" s="265">
        <v>0</v>
      </c>
      <c r="K40" s="265" t="s">
        <v>1445</v>
      </c>
      <c r="L40" s="265" t="s">
        <v>1445</v>
      </c>
      <c r="M40" s="265" t="s">
        <v>1445</v>
      </c>
      <c r="N40" s="265" t="s">
        <v>1445</v>
      </c>
      <c r="O40" s="264">
        <f t="shared" si="0"/>
        <v>0</v>
      </c>
      <c r="Q40" s="262" t="s">
        <v>1515</v>
      </c>
      <c r="R40" s="261">
        <v>1.1000000000000001</v>
      </c>
      <c r="S40" s="261">
        <v>1</v>
      </c>
      <c r="T40" s="261" t="s">
        <v>1795</v>
      </c>
    </row>
    <row r="41" spans="1:20" x14ac:dyDescent="0.3">
      <c r="A41" s="165" t="s">
        <v>1512</v>
      </c>
      <c r="B41" s="265"/>
      <c r="C41" s="265" t="str">
        <f>IFERROR(VLOOKUP(B41,Таблица1[#All],2,FALSE),"-")</f>
        <v>-</v>
      </c>
      <c r="D41" s="265"/>
      <c r="E41" s="265"/>
      <c r="F41" s="265"/>
      <c r="G41" s="265" t="str">
        <f>IFERROR(VLOOKUP(F41,Таблица3[#All],2,FALSE),"-")</f>
        <v>-</v>
      </c>
      <c r="H41" s="265">
        <v>0</v>
      </c>
      <c r="I41" s="265"/>
      <c r="J41" s="265">
        <v>0</v>
      </c>
      <c r="K41" s="265" t="s">
        <v>1445</v>
      </c>
      <c r="L41" s="265" t="s">
        <v>1445</v>
      </c>
      <c r="M41" s="265" t="s">
        <v>1445</v>
      </c>
      <c r="N41" s="265" t="s">
        <v>1445</v>
      </c>
      <c r="O41" s="264">
        <f t="shared" si="0"/>
        <v>0</v>
      </c>
      <c r="Q41" s="262" t="s">
        <v>1517</v>
      </c>
      <c r="R41" s="261">
        <v>1.3</v>
      </c>
      <c r="S41" s="261">
        <v>1</v>
      </c>
      <c r="T41" s="261" t="s">
        <v>1795</v>
      </c>
    </row>
    <row r="42" spans="1:20" x14ac:dyDescent="0.3">
      <c r="A42" s="165" t="s">
        <v>1514</v>
      </c>
      <c r="B42" s="265"/>
      <c r="C42" s="265" t="str">
        <f>IFERROR(VLOOKUP(B42,Таблица1[#All],2,FALSE),"-")</f>
        <v>-</v>
      </c>
      <c r="D42" s="265"/>
      <c r="E42" s="265"/>
      <c r="F42" s="265"/>
      <c r="G42" s="265" t="str">
        <f>IFERROR(VLOOKUP(F42,Таблица3[#All],2,FALSE),"-")</f>
        <v>-</v>
      </c>
      <c r="H42" s="265">
        <v>0</v>
      </c>
      <c r="I42" s="265"/>
      <c r="J42" s="265">
        <v>0</v>
      </c>
      <c r="K42" s="265" t="s">
        <v>1445</v>
      </c>
      <c r="L42" s="265" t="s">
        <v>1445</v>
      </c>
      <c r="M42" s="265" t="s">
        <v>1445</v>
      </c>
      <c r="N42" s="265" t="s">
        <v>1445</v>
      </c>
      <c r="O42" s="264">
        <f t="shared" si="0"/>
        <v>0</v>
      </c>
      <c r="Q42" s="262" t="s">
        <v>1519</v>
      </c>
      <c r="R42" s="261">
        <v>1.3</v>
      </c>
      <c r="S42" s="261">
        <v>1</v>
      </c>
      <c r="T42" s="261" t="s">
        <v>1795</v>
      </c>
    </row>
    <row r="43" spans="1:20" x14ac:dyDescent="0.3">
      <c r="A43" s="165" t="s">
        <v>1516</v>
      </c>
      <c r="B43" s="265"/>
      <c r="C43" s="265" t="str">
        <f>IFERROR(VLOOKUP(B43,Таблица1[#All],2,FALSE),"-")</f>
        <v>-</v>
      </c>
      <c r="D43" s="265"/>
      <c r="E43" s="265"/>
      <c r="F43" s="265"/>
      <c r="G43" s="265" t="str">
        <f>IFERROR(VLOOKUP(F43,Таблица3[#All],2,FALSE),"-")</f>
        <v>-</v>
      </c>
      <c r="H43" s="265">
        <v>0</v>
      </c>
      <c r="I43" s="265"/>
      <c r="J43" s="265">
        <v>0</v>
      </c>
      <c r="K43" s="265" t="s">
        <v>1445</v>
      </c>
      <c r="L43" s="265" t="s">
        <v>1445</v>
      </c>
      <c r="M43" s="265" t="s">
        <v>1445</v>
      </c>
      <c r="N43" s="265" t="s">
        <v>1445</v>
      </c>
      <c r="O43" s="264">
        <f t="shared" si="0"/>
        <v>0</v>
      </c>
      <c r="Q43" s="262" t="s">
        <v>1521</v>
      </c>
      <c r="R43" s="261">
        <v>1.1000000000000001</v>
      </c>
      <c r="S43" s="261">
        <v>5</v>
      </c>
      <c r="T43" s="261" t="s">
        <v>1797</v>
      </c>
    </row>
    <row r="44" spans="1:20" x14ac:dyDescent="0.3">
      <c r="A44" s="165" t="s">
        <v>1518</v>
      </c>
      <c r="B44" s="265"/>
      <c r="C44" s="265" t="str">
        <f>IFERROR(VLOOKUP(B44,Таблица1[#All],2,FALSE),"-")</f>
        <v>-</v>
      </c>
      <c r="D44" s="265"/>
      <c r="E44" s="265"/>
      <c r="F44" s="265"/>
      <c r="G44" s="265" t="str">
        <f>IFERROR(VLOOKUP(F44,Таблица3[#All],2,FALSE),"-")</f>
        <v>-</v>
      </c>
      <c r="H44" s="265">
        <v>0</v>
      </c>
      <c r="I44" s="265"/>
      <c r="J44" s="265">
        <v>0</v>
      </c>
      <c r="K44" s="265" t="s">
        <v>1445</v>
      </c>
      <c r="L44" s="265" t="s">
        <v>1445</v>
      </c>
      <c r="M44" s="265" t="s">
        <v>1445</v>
      </c>
      <c r="N44" s="265" t="s">
        <v>1445</v>
      </c>
      <c r="O44" s="264">
        <f t="shared" si="0"/>
        <v>0</v>
      </c>
      <c r="Q44" s="262" t="s">
        <v>1523</v>
      </c>
      <c r="R44" s="261">
        <v>1.1000000000000001</v>
      </c>
      <c r="S44" s="261">
        <v>4</v>
      </c>
      <c r="T44" s="261" t="s">
        <v>1798</v>
      </c>
    </row>
    <row r="45" spans="1:20" x14ac:dyDescent="0.3">
      <c r="A45" s="165" t="s">
        <v>1520</v>
      </c>
      <c r="B45" s="265"/>
      <c r="C45" s="265" t="str">
        <f>IFERROR(VLOOKUP(B45,Таблица1[#All],2,FALSE),"-")</f>
        <v>-</v>
      </c>
      <c r="D45" s="265"/>
      <c r="E45" s="265"/>
      <c r="F45" s="265"/>
      <c r="G45" s="265" t="str">
        <f>IFERROR(VLOOKUP(F45,Таблица3[#All],2,FALSE),"-")</f>
        <v>-</v>
      </c>
      <c r="H45" s="265">
        <v>0</v>
      </c>
      <c r="I45" s="265"/>
      <c r="J45" s="265">
        <v>0</v>
      </c>
      <c r="K45" s="265" t="s">
        <v>1445</v>
      </c>
      <c r="L45" s="265" t="s">
        <v>1445</v>
      </c>
      <c r="M45" s="265" t="s">
        <v>1445</v>
      </c>
      <c r="N45" s="265" t="s">
        <v>1445</v>
      </c>
      <c r="O45" s="264">
        <f t="shared" si="0"/>
        <v>0</v>
      </c>
      <c r="Q45" s="262" t="s">
        <v>1525</v>
      </c>
      <c r="R45" s="261">
        <v>1.1000000000000001</v>
      </c>
      <c r="S45" s="261" t="s">
        <v>1793</v>
      </c>
      <c r="T45" s="261" t="s">
        <v>1794</v>
      </c>
    </row>
    <row r="46" spans="1:20" x14ac:dyDescent="0.3">
      <c r="A46" s="165" t="s">
        <v>1522</v>
      </c>
      <c r="B46" s="265"/>
      <c r="C46" s="265" t="str">
        <f>IFERROR(VLOOKUP(B46,Таблица1[#All],2,FALSE),"-")</f>
        <v>-</v>
      </c>
      <c r="D46" s="265"/>
      <c r="E46" s="265"/>
      <c r="F46" s="265"/>
      <c r="G46" s="265" t="str">
        <f>IFERROR(VLOOKUP(F46,Таблица3[#All],2,FALSE),"-")</f>
        <v>-</v>
      </c>
      <c r="H46" s="265">
        <v>0</v>
      </c>
      <c r="I46" s="265"/>
      <c r="J46" s="265">
        <v>0</v>
      </c>
      <c r="K46" s="265" t="s">
        <v>1445</v>
      </c>
      <c r="L46" s="265" t="s">
        <v>1445</v>
      </c>
      <c r="M46" s="265" t="s">
        <v>1445</v>
      </c>
      <c r="N46" s="265" t="s">
        <v>1445</v>
      </c>
      <c r="O46" s="264">
        <f t="shared" si="0"/>
        <v>0</v>
      </c>
      <c r="Q46" s="262" t="s">
        <v>1527</v>
      </c>
      <c r="R46" s="261">
        <v>1.1000000000000001</v>
      </c>
      <c r="S46" s="261">
        <v>3</v>
      </c>
      <c r="T46" s="261" t="s">
        <v>3896</v>
      </c>
    </row>
    <row r="47" spans="1:20" x14ac:dyDescent="0.3">
      <c r="A47" s="165" t="s">
        <v>1524</v>
      </c>
      <c r="B47" s="265"/>
      <c r="C47" s="265" t="str">
        <f>IFERROR(VLOOKUP(B47,Таблица1[#All],2,FALSE),"-")</f>
        <v>-</v>
      </c>
      <c r="D47" s="265"/>
      <c r="E47" s="265"/>
      <c r="F47" s="265"/>
      <c r="G47" s="265" t="str">
        <f>IFERROR(VLOOKUP(F47,Таблица3[#All],2,FALSE),"-")</f>
        <v>-</v>
      </c>
      <c r="H47" s="265">
        <v>0</v>
      </c>
      <c r="I47" s="265"/>
      <c r="J47" s="265">
        <v>0</v>
      </c>
      <c r="K47" s="265" t="s">
        <v>1445</v>
      </c>
      <c r="L47" s="265" t="s">
        <v>1445</v>
      </c>
      <c r="M47" s="265" t="s">
        <v>1445</v>
      </c>
      <c r="N47" s="265" t="s">
        <v>1445</v>
      </c>
      <c r="O47" s="264">
        <f t="shared" si="0"/>
        <v>0</v>
      </c>
      <c r="Q47" s="262" t="s">
        <v>1529</v>
      </c>
      <c r="R47" s="261">
        <v>1.1000000000000001</v>
      </c>
      <c r="S47" s="261">
        <v>1</v>
      </c>
      <c r="T47" s="261" t="s">
        <v>1795</v>
      </c>
    </row>
    <row r="48" spans="1:20" x14ac:dyDescent="0.3">
      <c r="A48" s="165" t="s">
        <v>1526</v>
      </c>
      <c r="B48" s="265"/>
      <c r="C48" s="265" t="str">
        <f>IFERROR(VLOOKUP(B48,Таблица1[#All],2,FALSE),"-")</f>
        <v>-</v>
      </c>
      <c r="D48" s="265"/>
      <c r="E48" s="265"/>
      <c r="F48" s="265"/>
      <c r="G48" s="265" t="str">
        <f>IFERROR(VLOOKUP(F48,Таблица3[#All],2,FALSE),"-")</f>
        <v>-</v>
      </c>
      <c r="H48" s="265">
        <v>0</v>
      </c>
      <c r="I48" s="265"/>
      <c r="J48" s="265">
        <v>0</v>
      </c>
      <c r="K48" s="265" t="s">
        <v>1445</v>
      </c>
      <c r="L48" s="265" t="s">
        <v>1445</v>
      </c>
      <c r="M48" s="265" t="s">
        <v>1445</v>
      </c>
      <c r="N48" s="265" t="s">
        <v>1445</v>
      </c>
      <c r="O48" s="264">
        <f t="shared" si="0"/>
        <v>0</v>
      </c>
      <c r="Q48" s="262" t="s">
        <v>1531</v>
      </c>
      <c r="R48" s="261">
        <v>1.1000000000000001</v>
      </c>
      <c r="S48" s="261">
        <v>1</v>
      </c>
      <c r="T48" s="261" t="s">
        <v>1795</v>
      </c>
    </row>
    <row r="49" spans="1:20" x14ac:dyDescent="0.3">
      <c r="A49" s="165" t="s">
        <v>1528</v>
      </c>
      <c r="B49" s="265"/>
      <c r="C49" s="265" t="str">
        <f>IFERROR(VLOOKUP(B49,Таблица1[#All],2,FALSE),"-")</f>
        <v>-</v>
      </c>
      <c r="D49" s="265"/>
      <c r="E49" s="265"/>
      <c r="F49" s="265"/>
      <c r="G49" s="265" t="str">
        <f>IFERROR(VLOOKUP(F49,Таблица3[#All],2,FALSE),"-")</f>
        <v>-</v>
      </c>
      <c r="H49" s="265">
        <v>0</v>
      </c>
      <c r="I49" s="265"/>
      <c r="J49" s="265">
        <v>0</v>
      </c>
      <c r="K49" s="265" t="s">
        <v>1445</v>
      </c>
      <c r="L49" s="265" t="s">
        <v>1445</v>
      </c>
      <c r="M49" s="265" t="s">
        <v>1445</v>
      </c>
      <c r="N49" s="265" t="s">
        <v>1445</v>
      </c>
      <c r="O49" s="264">
        <f t="shared" si="0"/>
        <v>0</v>
      </c>
      <c r="Q49" s="262" t="s">
        <v>1533</v>
      </c>
      <c r="R49" s="261">
        <v>1.1000000000000001</v>
      </c>
      <c r="S49" s="261">
        <v>1</v>
      </c>
      <c r="T49" s="261" t="s">
        <v>1795</v>
      </c>
    </row>
    <row r="50" spans="1:20" x14ac:dyDescent="0.3">
      <c r="A50" s="165" t="s">
        <v>1530</v>
      </c>
      <c r="B50" s="265"/>
      <c r="C50" s="265" t="str">
        <f>IFERROR(VLOOKUP(B50,Таблица1[#All],2,FALSE),"-")</f>
        <v>-</v>
      </c>
      <c r="D50" s="265"/>
      <c r="E50" s="265"/>
      <c r="F50" s="265"/>
      <c r="G50" s="265" t="str">
        <f>IFERROR(VLOOKUP(F50,Таблица3[#All],2,FALSE),"-")</f>
        <v>-</v>
      </c>
      <c r="H50" s="265">
        <v>0</v>
      </c>
      <c r="I50" s="265"/>
      <c r="J50" s="265">
        <v>0</v>
      </c>
      <c r="K50" s="265" t="s">
        <v>1445</v>
      </c>
      <c r="L50" s="265" t="s">
        <v>1445</v>
      </c>
      <c r="M50" s="265" t="s">
        <v>1445</v>
      </c>
      <c r="N50" s="265" t="s">
        <v>1445</v>
      </c>
      <c r="O50" s="264">
        <f t="shared" si="0"/>
        <v>0</v>
      </c>
      <c r="Q50" s="262" t="s">
        <v>1535</v>
      </c>
      <c r="R50" s="261">
        <v>1.1000000000000001</v>
      </c>
      <c r="S50" s="261">
        <v>1</v>
      </c>
      <c r="T50" s="261" t="s">
        <v>1795</v>
      </c>
    </row>
    <row r="51" spans="1:20" x14ac:dyDescent="0.3">
      <c r="A51" s="165" t="s">
        <v>1532</v>
      </c>
      <c r="B51" s="265"/>
      <c r="C51" s="265" t="str">
        <f>IFERROR(VLOOKUP(B51,Таблица1[#All],2,FALSE),"-")</f>
        <v>-</v>
      </c>
      <c r="D51" s="265"/>
      <c r="E51" s="265"/>
      <c r="F51" s="265"/>
      <c r="G51" s="265" t="str">
        <f>IFERROR(VLOOKUP(F51,Таблица3[#All],2,FALSE),"-")</f>
        <v>-</v>
      </c>
      <c r="H51" s="265">
        <v>0</v>
      </c>
      <c r="I51" s="265"/>
      <c r="J51" s="265">
        <v>0</v>
      </c>
      <c r="K51" s="265" t="s">
        <v>1445</v>
      </c>
      <c r="L51" s="265" t="s">
        <v>1445</v>
      </c>
      <c r="M51" s="265" t="s">
        <v>1445</v>
      </c>
      <c r="N51" s="265" t="s">
        <v>1445</v>
      </c>
      <c r="O51" s="264">
        <f t="shared" si="0"/>
        <v>0</v>
      </c>
      <c r="Q51" s="262" t="s">
        <v>1537</v>
      </c>
      <c r="R51" s="261">
        <v>1.3</v>
      </c>
      <c r="S51" s="261">
        <v>5</v>
      </c>
      <c r="T51" s="261" t="s">
        <v>1797</v>
      </c>
    </row>
    <row r="52" spans="1:20" x14ac:dyDescent="0.3">
      <c r="A52" s="165" t="s">
        <v>1534</v>
      </c>
      <c r="B52" s="265"/>
      <c r="C52" s="265" t="str">
        <f>IFERROR(VLOOKUP(B52,Таблица1[#All],2,FALSE),"-")</f>
        <v>-</v>
      </c>
      <c r="D52" s="265"/>
      <c r="E52" s="265"/>
      <c r="F52" s="265"/>
      <c r="G52" s="265" t="str">
        <f>IFERROR(VLOOKUP(F52,Таблица3[#All],2,FALSE),"-")</f>
        <v>-</v>
      </c>
      <c r="H52" s="265">
        <v>0</v>
      </c>
      <c r="I52" s="265"/>
      <c r="J52" s="265">
        <v>0</v>
      </c>
      <c r="K52" s="265" t="s">
        <v>1445</v>
      </c>
      <c r="L52" s="265" t="s">
        <v>1445</v>
      </c>
      <c r="M52" s="265" t="s">
        <v>1445</v>
      </c>
      <c r="N52" s="265" t="s">
        <v>1445</v>
      </c>
      <c r="O52" s="264">
        <f t="shared" si="0"/>
        <v>0</v>
      </c>
      <c r="Q52" s="262" t="s">
        <v>1539</v>
      </c>
      <c r="R52" s="261">
        <v>1.3</v>
      </c>
      <c r="S52" s="261">
        <v>5</v>
      </c>
      <c r="T52" s="261" t="s">
        <v>1797</v>
      </c>
    </row>
    <row r="53" spans="1:20" x14ac:dyDescent="0.3">
      <c r="A53" s="165" t="s">
        <v>1536</v>
      </c>
      <c r="B53" s="265"/>
      <c r="C53" s="265" t="str">
        <f>IFERROR(VLOOKUP(B53,Таблица1[#All],2,FALSE),"-")</f>
        <v>-</v>
      </c>
      <c r="D53" s="265"/>
      <c r="E53" s="265"/>
      <c r="F53" s="265"/>
      <c r="G53" s="265" t="str">
        <f>IFERROR(VLOOKUP(F53,Таблица3[#All],2,FALSE),"-")</f>
        <v>-</v>
      </c>
      <c r="H53" s="265">
        <v>0</v>
      </c>
      <c r="I53" s="265"/>
      <c r="J53" s="265">
        <v>0</v>
      </c>
      <c r="K53" s="265" t="s">
        <v>1445</v>
      </c>
      <c r="L53" s="265" t="s">
        <v>1445</v>
      </c>
      <c r="M53" s="265" t="s">
        <v>1445</v>
      </c>
      <c r="N53" s="265" t="s">
        <v>1445</v>
      </c>
      <c r="O53" s="264">
        <f t="shared" si="0"/>
        <v>0</v>
      </c>
      <c r="Q53" s="262" t="s">
        <v>1541</v>
      </c>
      <c r="R53" s="261">
        <v>1</v>
      </c>
      <c r="S53" s="261">
        <v>3</v>
      </c>
      <c r="T53" s="261" t="s">
        <v>3896</v>
      </c>
    </row>
    <row r="54" spans="1:20" x14ac:dyDescent="0.3">
      <c r="A54" s="165" t="s">
        <v>1538</v>
      </c>
      <c r="B54" s="265"/>
      <c r="C54" s="265" t="str">
        <f>IFERROR(VLOOKUP(B54,Таблица1[#All],2,FALSE),"-")</f>
        <v>-</v>
      </c>
      <c r="D54" s="265"/>
      <c r="E54" s="265"/>
      <c r="F54" s="265"/>
      <c r="G54" s="265" t="str">
        <f>IFERROR(VLOOKUP(F54,Таблица3[#All],2,FALSE),"-")</f>
        <v>-</v>
      </c>
      <c r="H54" s="265">
        <v>0</v>
      </c>
      <c r="I54" s="265"/>
      <c r="J54" s="265">
        <v>0</v>
      </c>
      <c r="K54" s="265" t="s">
        <v>1445</v>
      </c>
      <c r="L54" s="265" t="s">
        <v>1445</v>
      </c>
      <c r="M54" s="265" t="s">
        <v>1445</v>
      </c>
      <c r="N54" s="265" t="s">
        <v>1445</v>
      </c>
      <c r="O54" s="264">
        <f t="shared" si="0"/>
        <v>0</v>
      </c>
      <c r="Q54" s="262" t="s">
        <v>1543</v>
      </c>
      <c r="R54" s="261">
        <v>1</v>
      </c>
      <c r="S54" s="261">
        <v>2</v>
      </c>
      <c r="T54" s="261" t="s">
        <v>3895</v>
      </c>
    </row>
    <row r="55" spans="1:20" x14ac:dyDescent="0.3">
      <c r="A55" s="165" t="s">
        <v>1540</v>
      </c>
      <c r="B55" s="265"/>
      <c r="C55" s="265" t="str">
        <f>IFERROR(VLOOKUP(B55,Таблица1[#All],2,FALSE),"-")</f>
        <v>-</v>
      </c>
      <c r="D55" s="265"/>
      <c r="E55" s="265"/>
      <c r="F55" s="265"/>
      <c r="G55" s="265" t="str">
        <f>IFERROR(VLOOKUP(F55,Таблица3[#All],2,FALSE),"-")</f>
        <v>-</v>
      </c>
      <c r="H55" s="265">
        <v>0</v>
      </c>
      <c r="I55" s="265"/>
      <c r="J55" s="265">
        <v>0</v>
      </c>
      <c r="K55" s="265" t="s">
        <v>1445</v>
      </c>
      <c r="L55" s="265" t="s">
        <v>1445</v>
      </c>
      <c r="M55" s="265" t="s">
        <v>1445</v>
      </c>
      <c r="N55" s="265" t="s">
        <v>1445</v>
      </c>
      <c r="O55" s="264">
        <f t="shared" si="0"/>
        <v>0</v>
      </c>
      <c r="Q55" s="262" t="s">
        <v>1451</v>
      </c>
      <c r="R55" s="261">
        <v>1</v>
      </c>
      <c r="S55" s="261">
        <v>3</v>
      </c>
      <c r="T55" s="261" t="s">
        <v>3896</v>
      </c>
    </row>
    <row r="56" spans="1:20" x14ac:dyDescent="0.3">
      <c r="A56" s="165" t="s">
        <v>1542</v>
      </c>
      <c r="B56" s="265"/>
      <c r="C56" s="265" t="str">
        <f>IFERROR(VLOOKUP(B56,Таблица1[#All],2,FALSE),"-")</f>
        <v>-</v>
      </c>
      <c r="D56" s="265"/>
      <c r="E56" s="265"/>
      <c r="F56" s="265"/>
      <c r="G56" s="265" t="str">
        <f>IFERROR(VLOOKUP(F56,Таблица3[#All],2,FALSE),"-")</f>
        <v>-</v>
      </c>
      <c r="H56" s="265">
        <v>0</v>
      </c>
      <c r="I56" s="265"/>
      <c r="J56" s="265">
        <v>0</v>
      </c>
      <c r="K56" s="265" t="s">
        <v>1445</v>
      </c>
      <c r="L56" s="265" t="s">
        <v>1445</v>
      </c>
      <c r="M56" s="265" t="s">
        <v>1445</v>
      </c>
      <c r="N56" s="265" t="s">
        <v>1445</v>
      </c>
      <c r="O56" s="264">
        <f t="shared" si="0"/>
        <v>0</v>
      </c>
    </row>
    <row r="57" spans="1:20" x14ac:dyDescent="0.3">
      <c r="A57" s="165" t="s">
        <v>1544</v>
      </c>
      <c r="B57" s="265"/>
      <c r="C57" s="265" t="str">
        <f>IFERROR(VLOOKUP(B57,Таблица1[#All],2,FALSE),"-")</f>
        <v>-</v>
      </c>
      <c r="D57" s="265"/>
      <c r="E57" s="265"/>
      <c r="F57" s="265"/>
      <c r="G57" s="265" t="str">
        <f>IFERROR(VLOOKUP(F57,Таблица3[#All],2,FALSE),"-")</f>
        <v>-</v>
      </c>
      <c r="H57" s="265">
        <v>0</v>
      </c>
      <c r="I57" s="265"/>
      <c r="J57" s="265">
        <v>0</v>
      </c>
      <c r="K57" s="265" t="s">
        <v>1445</v>
      </c>
      <c r="L57" s="265" t="s">
        <v>1445</v>
      </c>
      <c r="M57" s="265" t="s">
        <v>1445</v>
      </c>
      <c r="N57" s="265" t="s">
        <v>1445</v>
      </c>
      <c r="O57" s="264">
        <f t="shared" si="0"/>
        <v>0</v>
      </c>
    </row>
    <row r="58" spans="1:20" x14ac:dyDescent="0.3">
      <c r="A58" s="165" t="s">
        <v>1545</v>
      </c>
      <c r="B58" s="265"/>
      <c r="C58" s="265" t="str">
        <f>IFERROR(VLOOKUP(B58,Таблица1[#All],2,FALSE),"-")</f>
        <v>-</v>
      </c>
      <c r="D58" s="265"/>
      <c r="E58" s="265"/>
      <c r="F58" s="265"/>
      <c r="G58" s="265" t="str">
        <f>IFERROR(VLOOKUP(F58,Таблица3[#All],2,FALSE),"-")</f>
        <v>-</v>
      </c>
      <c r="H58" s="265">
        <v>0</v>
      </c>
      <c r="I58" s="265"/>
      <c r="J58" s="265">
        <v>0</v>
      </c>
      <c r="K58" s="265" t="s">
        <v>1445</v>
      </c>
      <c r="L58" s="265" t="s">
        <v>1445</v>
      </c>
      <c r="M58" s="265" t="s">
        <v>1445</v>
      </c>
      <c r="N58" s="265" t="s">
        <v>1445</v>
      </c>
      <c r="O58" s="264">
        <f t="shared" si="0"/>
        <v>0</v>
      </c>
    </row>
    <row r="59" spans="1:20" x14ac:dyDescent="0.3">
      <c r="A59" s="165" t="s">
        <v>1546</v>
      </c>
      <c r="B59" s="265"/>
      <c r="C59" s="265" t="str">
        <f>IFERROR(VLOOKUP(B59,Таблица1[#All],2,FALSE),"-")</f>
        <v>-</v>
      </c>
      <c r="D59" s="265"/>
      <c r="E59" s="265"/>
      <c r="F59" s="265"/>
      <c r="G59" s="265" t="str">
        <f>IFERROR(VLOOKUP(F59,Таблица3[#All],2,FALSE),"-")</f>
        <v>-</v>
      </c>
      <c r="H59" s="265">
        <v>0</v>
      </c>
      <c r="I59" s="265"/>
      <c r="J59" s="265">
        <v>0</v>
      </c>
      <c r="K59" s="265" t="s">
        <v>1445</v>
      </c>
      <c r="L59" s="265" t="s">
        <v>1445</v>
      </c>
      <c r="M59" s="265" t="s">
        <v>1445</v>
      </c>
      <c r="N59" s="265" t="s">
        <v>1445</v>
      </c>
      <c r="O59" s="264">
        <f t="shared" si="0"/>
        <v>0</v>
      </c>
    </row>
    <row r="60" spans="1:20" x14ac:dyDescent="0.3">
      <c r="A60" s="165" t="s">
        <v>1547</v>
      </c>
      <c r="B60" s="265"/>
      <c r="C60" s="265" t="str">
        <f>IFERROR(VLOOKUP(B60,Таблица1[#All],2,FALSE),"-")</f>
        <v>-</v>
      </c>
      <c r="D60" s="265"/>
      <c r="E60" s="265"/>
      <c r="F60" s="265"/>
      <c r="G60" s="265" t="str">
        <f>IFERROR(VLOOKUP(F60,Таблица3[#All],2,FALSE),"-")</f>
        <v>-</v>
      </c>
      <c r="H60" s="265">
        <v>0</v>
      </c>
      <c r="I60" s="265"/>
      <c r="J60" s="265">
        <v>0</v>
      </c>
      <c r="K60" s="265" t="s">
        <v>1445</v>
      </c>
      <c r="L60" s="265" t="s">
        <v>1445</v>
      </c>
      <c r="M60" s="265" t="s">
        <v>1445</v>
      </c>
      <c r="N60" s="265" t="s">
        <v>1445</v>
      </c>
      <c r="O60" s="264">
        <f t="shared" si="0"/>
        <v>0</v>
      </c>
    </row>
    <row r="61" spans="1:20" x14ac:dyDescent="0.3">
      <c r="A61" s="165" t="s">
        <v>1548</v>
      </c>
      <c r="B61" s="265"/>
      <c r="C61" s="265" t="str">
        <f>IFERROR(VLOOKUP(B61,Таблица1[#All],2,FALSE),"-")</f>
        <v>-</v>
      </c>
      <c r="D61" s="265"/>
      <c r="E61" s="265"/>
      <c r="F61" s="265"/>
      <c r="G61" s="265" t="str">
        <f>IFERROR(VLOOKUP(F61,Таблица3[#All],2,FALSE),"-")</f>
        <v>-</v>
      </c>
      <c r="H61" s="265">
        <v>0</v>
      </c>
      <c r="I61" s="265"/>
      <c r="J61" s="265">
        <v>0</v>
      </c>
      <c r="K61" s="265" t="s">
        <v>1445</v>
      </c>
      <c r="L61" s="265" t="s">
        <v>1445</v>
      </c>
      <c r="M61" s="265" t="s">
        <v>1445</v>
      </c>
      <c r="N61" s="265" t="s">
        <v>1445</v>
      </c>
      <c r="O61" s="264">
        <f t="shared" si="0"/>
        <v>0</v>
      </c>
    </row>
    <row r="62" spans="1:20" x14ac:dyDescent="0.3">
      <c r="A62" s="165" t="s">
        <v>1549</v>
      </c>
      <c r="B62" s="265"/>
      <c r="C62" s="265" t="str">
        <f>IFERROR(VLOOKUP(B62,Таблица1[#All],2,FALSE),"-")</f>
        <v>-</v>
      </c>
      <c r="D62" s="265"/>
      <c r="E62" s="265"/>
      <c r="F62" s="265"/>
      <c r="G62" s="265" t="str">
        <f>IFERROR(VLOOKUP(F62,Таблица3[#All],2,FALSE),"-")</f>
        <v>-</v>
      </c>
      <c r="H62" s="265">
        <v>0</v>
      </c>
      <c r="I62" s="265"/>
      <c r="J62" s="265">
        <v>0</v>
      </c>
      <c r="K62" s="265" t="s">
        <v>1445</v>
      </c>
      <c r="L62" s="265" t="s">
        <v>1445</v>
      </c>
      <c r="M62" s="265" t="s">
        <v>1445</v>
      </c>
      <c r="N62" s="265" t="s">
        <v>1445</v>
      </c>
      <c r="O62" s="264">
        <f t="shared" si="0"/>
        <v>0</v>
      </c>
    </row>
    <row r="63" spans="1:20" x14ac:dyDescent="0.3">
      <c r="A63" s="165" t="s">
        <v>1550</v>
      </c>
      <c r="B63" s="265"/>
      <c r="C63" s="265" t="str">
        <f>IFERROR(VLOOKUP(B63,Таблица1[#All],2,FALSE),"-")</f>
        <v>-</v>
      </c>
      <c r="D63" s="265"/>
      <c r="E63" s="265"/>
      <c r="F63" s="265"/>
      <c r="G63" s="265" t="str">
        <f>IFERROR(VLOOKUP(F63,Таблица3[#All],2,FALSE),"-")</f>
        <v>-</v>
      </c>
      <c r="H63" s="265">
        <v>0</v>
      </c>
      <c r="I63" s="265"/>
      <c r="J63" s="265">
        <v>0</v>
      </c>
      <c r="K63" s="265" t="s">
        <v>1445</v>
      </c>
      <c r="L63" s="265" t="s">
        <v>1445</v>
      </c>
      <c r="M63" s="265" t="s">
        <v>1445</v>
      </c>
      <c r="N63" s="265" t="s">
        <v>1445</v>
      </c>
      <c r="O63" s="264">
        <f t="shared" si="0"/>
        <v>0</v>
      </c>
    </row>
    <row r="64" spans="1:20" x14ac:dyDescent="0.3">
      <c r="A64" s="165" t="s">
        <v>1551</v>
      </c>
      <c r="B64" s="265"/>
      <c r="C64" s="265" t="str">
        <f>IFERROR(VLOOKUP(B64,Таблица1[#All],2,FALSE),"-")</f>
        <v>-</v>
      </c>
      <c r="D64" s="265"/>
      <c r="E64" s="265"/>
      <c r="F64" s="265"/>
      <c r="G64" s="265" t="str">
        <f>IFERROR(VLOOKUP(F64,Таблица3[#All],2,FALSE),"-")</f>
        <v>-</v>
      </c>
      <c r="H64" s="265">
        <v>0</v>
      </c>
      <c r="I64" s="265"/>
      <c r="J64" s="265">
        <v>0</v>
      </c>
      <c r="K64" s="265" t="s">
        <v>1445</v>
      </c>
      <c r="L64" s="265" t="s">
        <v>1445</v>
      </c>
      <c r="M64" s="265" t="s">
        <v>1445</v>
      </c>
      <c r="N64" s="265" t="s">
        <v>1445</v>
      </c>
      <c r="O64" s="264">
        <f t="shared" si="0"/>
        <v>0</v>
      </c>
    </row>
    <row r="65" spans="1:15" x14ac:dyDescent="0.3">
      <c r="A65" s="165" t="s">
        <v>1552</v>
      </c>
      <c r="B65" s="265"/>
      <c r="C65" s="265" t="str">
        <f>IFERROR(VLOOKUP(B65,Таблица1[#All],2,FALSE),"-")</f>
        <v>-</v>
      </c>
      <c r="D65" s="265"/>
      <c r="E65" s="265"/>
      <c r="F65" s="265"/>
      <c r="G65" s="265" t="str">
        <f>IFERROR(VLOOKUP(F65,Таблица3[#All],2,FALSE),"-")</f>
        <v>-</v>
      </c>
      <c r="H65" s="265">
        <v>0</v>
      </c>
      <c r="I65" s="265"/>
      <c r="J65" s="265">
        <v>0</v>
      </c>
      <c r="K65" s="265" t="s">
        <v>1445</v>
      </c>
      <c r="L65" s="265" t="s">
        <v>1445</v>
      </c>
      <c r="M65" s="265" t="s">
        <v>1445</v>
      </c>
      <c r="N65" s="265" t="s">
        <v>1445</v>
      </c>
      <c r="O65" s="264">
        <f t="shared" si="0"/>
        <v>0</v>
      </c>
    </row>
    <row r="66" spans="1:15" x14ac:dyDescent="0.3">
      <c r="A66" s="165" t="s">
        <v>1553</v>
      </c>
      <c r="B66" s="265"/>
      <c r="C66" s="265" t="str">
        <f>IFERROR(VLOOKUP(B66,Таблица1[#All],2,FALSE),"-")</f>
        <v>-</v>
      </c>
      <c r="D66" s="265"/>
      <c r="E66" s="265"/>
      <c r="F66" s="265"/>
      <c r="G66" s="265" t="str">
        <f>IFERROR(VLOOKUP(F66,Таблица3[#All],2,FALSE),"-")</f>
        <v>-</v>
      </c>
      <c r="H66" s="265">
        <v>0</v>
      </c>
      <c r="I66" s="265"/>
      <c r="J66" s="265">
        <v>0</v>
      </c>
      <c r="K66" s="265" t="s">
        <v>1445</v>
      </c>
      <c r="L66" s="265" t="s">
        <v>1445</v>
      </c>
      <c r="M66" s="265" t="s">
        <v>1445</v>
      </c>
      <c r="N66" s="265" t="s">
        <v>1445</v>
      </c>
      <c r="O66" s="264">
        <f t="shared" ref="O66:O129" si="1">$R$8*I66*(IF(K66="Да",1,0)*$R$9+IF(L66="Да",1,0)*$R$10+IF(M66="Да",1,0)*$R$11+IF(N66="Да",1,0)*$R$12)*J66*IF($R$3="Да",0.5,1)+$R$8*H66*(IF(K66="Да",1,0)*$R$9+IF(L66="Да",1,0)*$R$10+IF(M66="Да",1,0)*$R$11+IF(N66="Да",1,0)*$R$12)*IF($R$3="Да",0.5,1)</f>
        <v>0</v>
      </c>
    </row>
    <row r="67" spans="1:15" x14ac:dyDescent="0.3">
      <c r="A67" s="165" t="s">
        <v>1554</v>
      </c>
      <c r="B67" s="265"/>
      <c r="C67" s="265" t="str">
        <f>IFERROR(VLOOKUP(B67,Таблица1[#All],2,FALSE),"-")</f>
        <v>-</v>
      </c>
      <c r="D67" s="265"/>
      <c r="E67" s="265"/>
      <c r="F67" s="265"/>
      <c r="G67" s="265" t="str">
        <f>IFERROR(VLOOKUP(F67,Таблица3[#All],2,FALSE),"-")</f>
        <v>-</v>
      </c>
      <c r="H67" s="265">
        <v>0</v>
      </c>
      <c r="I67" s="265"/>
      <c r="J67" s="265">
        <v>0</v>
      </c>
      <c r="K67" s="265" t="s">
        <v>1445</v>
      </c>
      <c r="L67" s="265" t="s">
        <v>1445</v>
      </c>
      <c r="M67" s="265" t="s">
        <v>1445</v>
      </c>
      <c r="N67" s="265" t="s">
        <v>1445</v>
      </c>
      <c r="O67" s="264">
        <f t="shared" si="1"/>
        <v>0</v>
      </c>
    </row>
    <row r="68" spans="1:15" x14ac:dyDescent="0.3">
      <c r="A68" s="165" t="s">
        <v>1555</v>
      </c>
      <c r="B68" s="265"/>
      <c r="C68" s="265" t="str">
        <f>IFERROR(VLOOKUP(B68,Таблица1[#All],2,FALSE),"-")</f>
        <v>-</v>
      </c>
      <c r="D68" s="265"/>
      <c r="E68" s="265"/>
      <c r="F68" s="265"/>
      <c r="G68" s="265" t="str">
        <f>IFERROR(VLOOKUP(F68,Таблица3[#All],2,FALSE),"-")</f>
        <v>-</v>
      </c>
      <c r="H68" s="265">
        <v>0</v>
      </c>
      <c r="I68" s="265"/>
      <c r="J68" s="265">
        <v>0</v>
      </c>
      <c r="K68" s="265" t="s">
        <v>1445</v>
      </c>
      <c r="L68" s="265" t="s">
        <v>1445</v>
      </c>
      <c r="M68" s="265" t="s">
        <v>1445</v>
      </c>
      <c r="N68" s="265" t="s">
        <v>1445</v>
      </c>
      <c r="O68" s="264">
        <f t="shared" si="1"/>
        <v>0</v>
      </c>
    </row>
    <row r="69" spans="1:15" x14ac:dyDescent="0.3">
      <c r="A69" s="165" t="s">
        <v>1556</v>
      </c>
      <c r="B69" s="265"/>
      <c r="C69" s="265" t="str">
        <f>IFERROR(VLOOKUP(B69,Таблица1[#All],2,FALSE),"-")</f>
        <v>-</v>
      </c>
      <c r="D69" s="265"/>
      <c r="E69" s="265"/>
      <c r="F69" s="265"/>
      <c r="G69" s="265" t="str">
        <f>IFERROR(VLOOKUP(F69,Таблица3[#All],2,FALSE),"-")</f>
        <v>-</v>
      </c>
      <c r="H69" s="265">
        <v>0</v>
      </c>
      <c r="I69" s="265"/>
      <c r="J69" s="265">
        <v>0</v>
      </c>
      <c r="K69" s="265" t="s">
        <v>1445</v>
      </c>
      <c r="L69" s="265" t="s">
        <v>1445</v>
      </c>
      <c r="M69" s="265" t="s">
        <v>1445</v>
      </c>
      <c r="N69" s="265" t="s">
        <v>1445</v>
      </c>
      <c r="O69" s="264">
        <f t="shared" si="1"/>
        <v>0</v>
      </c>
    </row>
    <row r="70" spans="1:15" x14ac:dyDescent="0.3">
      <c r="A70" s="165" t="s">
        <v>1557</v>
      </c>
      <c r="B70" s="265"/>
      <c r="C70" s="265" t="str">
        <f>IFERROR(VLOOKUP(B70,Таблица1[#All],2,FALSE),"-")</f>
        <v>-</v>
      </c>
      <c r="D70" s="265"/>
      <c r="E70" s="265"/>
      <c r="F70" s="265"/>
      <c r="G70" s="265" t="str">
        <f>IFERROR(VLOOKUP(F70,Таблица3[#All],2,FALSE),"-")</f>
        <v>-</v>
      </c>
      <c r="H70" s="265">
        <v>0</v>
      </c>
      <c r="I70" s="265"/>
      <c r="J70" s="265">
        <v>0</v>
      </c>
      <c r="K70" s="265" t="s">
        <v>1445</v>
      </c>
      <c r="L70" s="265" t="s">
        <v>1445</v>
      </c>
      <c r="M70" s="265" t="s">
        <v>1445</v>
      </c>
      <c r="N70" s="265" t="s">
        <v>1445</v>
      </c>
      <c r="O70" s="264">
        <f t="shared" si="1"/>
        <v>0</v>
      </c>
    </row>
    <row r="71" spans="1:15" x14ac:dyDescent="0.3">
      <c r="A71" s="165" t="s">
        <v>1558</v>
      </c>
      <c r="B71" s="265"/>
      <c r="C71" s="265" t="str">
        <f>IFERROR(VLOOKUP(B71,Таблица1[#All],2,FALSE),"-")</f>
        <v>-</v>
      </c>
      <c r="D71" s="265"/>
      <c r="E71" s="265"/>
      <c r="F71" s="265"/>
      <c r="G71" s="265" t="str">
        <f>IFERROR(VLOOKUP(F71,Таблица3[#All],2,FALSE),"-")</f>
        <v>-</v>
      </c>
      <c r="H71" s="265">
        <v>0</v>
      </c>
      <c r="I71" s="265"/>
      <c r="J71" s="265">
        <v>0</v>
      </c>
      <c r="K71" s="265" t="s">
        <v>1445</v>
      </c>
      <c r="L71" s="265" t="s">
        <v>1445</v>
      </c>
      <c r="M71" s="265" t="s">
        <v>1445</v>
      </c>
      <c r="N71" s="265" t="s">
        <v>1445</v>
      </c>
      <c r="O71" s="264">
        <f t="shared" si="1"/>
        <v>0</v>
      </c>
    </row>
    <row r="72" spans="1:15" x14ac:dyDescent="0.3">
      <c r="A72" s="165" t="s">
        <v>1559</v>
      </c>
      <c r="B72" s="265"/>
      <c r="C72" s="265" t="str">
        <f>IFERROR(VLOOKUP(B72,Таблица1[#All],2,FALSE),"-")</f>
        <v>-</v>
      </c>
      <c r="D72" s="265"/>
      <c r="E72" s="265"/>
      <c r="F72" s="265"/>
      <c r="G72" s="265" t="str">
        <f>IFERROR(VLOOKUP(F72,Таблица3[#All],2,FALSE),"-")</f>
        <v>-</v>
      </c>
      <c r="H72" s="265">
        <v>0</v>
      </c>
      <c r="I72" s="265"/>
      <c r="J72" s="265">
        <v>0</v>
      </c>
      <c r="K72" s="265" t="s">
        <v>1445</v>
      </c>
      <c r="L72" s="265" t="s">
        <v>1445</v>
      </c>
      <c r="M72" s="265" t="s">
        <v>1445</v>
      </c>
      <c r="N72" s="265" t="s">
        <v>1445</v>
      </c>
      <c r="O72" s="264">
        <f t="shared" si="1"/>
        <v>0</v>
      </c>
    </row>
    <row r="73" spans="1:15" x14ac:dyDescent="0.3">
      <c r="A73" s="165" t="s">
        <v>1560</v>
      </c>
      <c r="B73" s="265"/>
      <c r="C73" s="265" t="str">
        <f>IFERROR(VLOOKUP(B73,Таблица1[#All],2,FALSE),"-")</f>
        <v>-</v>
      </c>
      <c r="D73" s="265"/>
      <c r="E73" s="265"/>
      <c r="F73" s="265"/>
      <c r="G73" s="265" t="str">
        <f>IFERROR(VLOOKUP(F73,Таблица3[#All],2,FALSE),"-")</f>
        <v>-</v>
      </c>
      <c r="H73" s="265">
        <v>0</v>
      </c>
      <c r="I73" s="265"/>
      <c r="J73" s="265">
        <v>0</v>
      </c>
      <c r="K73" s="265" t="s">
        <v>1445</v>
      </c>
      <c r="L73" s="265" t="s">
        <v>1445</v>
      </c>
      <c r="M73" s="265" t="s">
        <v>1445</v>
      </c>
      <c r="N73" s="265" t="s">
        <v>1445</v>
      </c>
      <c r="O73" s="264">
        <f t="shared" si="1"/>
        <v>0</v>
      </c>
    </row>
    <row r="74" spans="1:15" x14ac:dyDescent="0.3">
      <c r="A74" s="165" t="s">
        <v>1561</v>
      </c>
      <c r="B74" s="265"/>
      <c r="C74" s="265" t="str">
        <f>IFERROR(VLOOKUP(B74,Таблица1[#All],2,FALSE),"-")</f>
        <v>-</v>
      </c>
      <c r="D74" s="265"/>
      <c r="E74" s="265"/>
      <c r="F74" s="265"/>
      <c r="G74" s="265" t="str">
        <f>IFERROR(VLOOKUP(F74,Таблица3[#All],2,FALSE),"-")</f>
        <v>-</v>
      </c>
      <c r="H74" s="265">
        <v>0</v>
      </c>
      <c r="I74" s="265"/>
      <c r="J74" s="265">
        <v>0</v>
      </c>
      <c r="K74" s="265" t="s">
        <v>1445</v>
      </c>
      <c r="L74" s="265" t="s">
        <v>1445</v>
      </c>
      <c r="M74" s="265" t="s">
        <v>1445</v>
      </c>
      <c r="N74" s="265" t="s">
        <v>1445</v>
      </c>
      <c r="O74" s="264">
        <f t="shared" si="1"/>
        <v>0</v>
      </c>
    </row>
    <row r="75" spans="1:15" x14ac:dyDescent="0.3">
      <c r="A75" s="165" t="s">
        <v>1562</v>
      </c>
      <c r="B75" s="265"/>
      <c r="C75" s="265" t="str">
        <f>IFERROR(VLOOKUP(B75,Таблица1[#All],2,FALSE),"-")</f>
        <v>-</v>
      </c>
      <c r="D75" s="265"/>
      <c r="E75" s="265"/>
      <c r="F75" s="265"/>
      <c r="G75" s="265" t="str">
        <f>IFERROR(VLOOKUP(F75,Таблица3[#All],2,FALSE),"-")</f>
        <v>-</v>
      </c>
      <c r="H75" s="265">
        <v>0</v>
      </c>
      <c r="I75" s="265"/>
      <c r="J75" s="265">
        <v>0</v>
      </c>
      <c r="K75" s="265" t="s">
        <v>1445</v>
      </c>
      <c r="L75" s="265" t="s">
        <v>1445</v>
      </c>
      <c r="M75" s="265" t="s">
        <v>1445</v>
      </c>
      <c r="N75" s="265" t="s">
        <v>1445</v>
      </c>
      <c r="O75" s="264">
        <f t="shared" si="1"/>
        <v>0</v>
      </c>
    </row>
    <row r="76" spans="1:15" x14ac:dyDescent="0.3">
      <c r="A76" s="165" t="s">
        <v>1563</v>
      </c>
      <c r="B76" s="265"/>
      <c r="C76" s="265" t="str">
        <f>IFERROR(VLOOKUP(B76,Таблица1[#All],2,FALSE),"-")</f>
        <v>-</v>
      </c>
      <c r="D76" s="265"/>
      <c r="E76" s="265"/>
      <c r="F76" s="265"/>
      <c r="G76" s="265" t="str">
        <f>IFERROR(VLOOKUP(F76,Таблица3[#All],2,FALSE),"-")</f>
        <v>-</v>
      </c>
      <c r="H76" s="265">
        <v>0</v>
      </c>
      <c r="I76" s="265"/>
      <c r="J76" s="265">
        <v>0</v>
      </c>
      <c r="K76" s="265" t="s">
        <v>1445</v>
      </c>
      <c r="L76" s="265" t="s">
        <v>1445</v>
      </c>
      <c r="M76" s="265" t="s">
        <v>1445</v>
      </c>
      <c r="N76" s="265" t="s">
        <v>1445</v>
      </c>
      <c r="O76" s="264">
        <f t="shared" si="1"/>
        <v>0</v>
      </c>
    </row>
    <row r="77" spans="1:15" x14ac:dyDescent="0.3">
      <c r="A77" s="165" t="s">
        <v>1564</v>
      </c>
      <c r="B77" s="265"/>
      <c r="C77" s="265" t="str">
        <f>IFERROR(VLOOKUP(B77,Таблица1[#All],2,FALSE),"-")</f>
        <v>-</v>
      </c>
      <c r="D77" s="265"/>
      <c r="E77" s="265"/>
      <c r="F77" s="265"/>
      <c r="G77" s="265" t="str">
        <f>IFERROR(VLOOKUP(F77,Таблица3[#All],2,FALSE),"-")</f>
        <v>-</v>
      </c>
      <c r="H77" s="265">
        <v>0</v>
      </c>
      <c r="I77" s="265"/>
      <c r="J77" s="265">
        <v>0</v>
      </c>
      <c r="K77" s="265" t="s">
        <v>1445</v>
      </c>
      <c r="L77" s="265" t="s">
        <v>1445</v>
      </c>
      <c r="M77" s="265" t="s">
        <v>1445</v>
      </c>
      <c r="N77" s="265" t="s">
        <v>1445</v>
      </c>
      <c r="O77" s="264">
        <f t="shared" si="1"/>
        <v>0</v>
      </c>
    </row>
    <row r="78" spans="1:15" x14ac:dyDescent="0.3">
      <c r="A78" s="165" t="s">
        <v>1565</v>
      </c>
      <c r="B78" s="265"/>
      <c r="C78" s="265" t="str">
        <f>IFERROR(VLOOKUP(B78,Таблица1[#All],2,FALSE),"-")</f>
        <v>-</v>
      </c>
      <c r="D78" s="265"/>
      <c r="E78" s="265"/>
      <c r="F78" s="265"/>
      <c r="G78" s="265" t="str">
        <f>IFERROR(VLOOKUP(F78,Таблица3[#All],2,FALSE),"-")</f>
        <v>-</v>
      </c>
      <c r="H78" s="265">
        <v>0</v>
      </c>
      <c r="I78" s="265"/>
      <c r="J78" s="265">
        <v>0</v>
      </c>
      <c r="K78" s="265" t="s">
        <v>1445</v>
      </c>
      <c r="L78" s="265" t="s">
        <v>1445</v>
      </c>
      <c r="M78" s="265" t="s">
        <v>1445</v>
      </c>
      <c r="N78" s="265" t="s">
        <v>1445</v>
      </c>
      <c r="O78" s="264">
        <f t="shared" si="1"/>
        <v>0</v>
      </c>
    </row>
    <row r="79" spans="1:15" x14ac:dyDescent="0.3">
      <c r="A79" s="165" t="s">
        <v>1566</v>
      </c>
      <c r="B79" s="265"/>
      <c r="C79" s="265" t="str">
        <f>IFERROR(VLOOKUP(B79,Таблица1[#All],2,FALSE),"-")</f>
        <v>-</v>
      </c>
      <c r="D79" s="265"/>
      <c r="E79" s="265"/>
      <c r="F79" s="265"/>
      <c r="G79" s="265" t="str">
        <f>IFERROR(VLOOKUP(F79,Таблица3[#All],2,FALSE),"-")</f>
        <v>-</v>
      </c>
      <c r="H79" s="265">
        <v>0</v>
      </c>
      <c r="I79" s="265"/>
      <c r="J79" s="265">
        <v>0</v>
      </c>
      <c r="K79" s="265" t="s">
        <v>1445</v>
      </c>
      <c r="L79" s="265" t="s">
        <v>1445</v>
      </c>
      <c r="M79" s="265" t="s">
        <v>1445</v>
      </c>
      <c r="N79" s="265" t="s">
        <v>1445</v>
      </c>
      <c r="O79" s="264">
        <f t="shared" si="1"/>
        <v>0</v>
      </c>
    </row>
    <row r="80" spans="1:15" x14ac:dyDescent="0.3">
      <c r="A80" s="165" t="s">
        <v>1567</v>
      </c>
      <c r="B80" s="265"/>
      <c r="C80" s="265" t="str">
        <f>IFERROR(VLOOKUP(B80,Таблица1[#All],2,FALSE),"-")</f>
        <v>-</v>
      </c>
      <c r="D80" s="265"/>
      <c r="E80" s="265"/>
      <c r="F80" s="265"/>
      <c r="G80" s="265" t="str">
        <f>IFERROR(VLOOKUP(F80,Таблица3[#All],2,FALSE),"-")</f>
        <v>-</v>
      </c>
      <c r="H80" s="265">
        <v>0</v>
      </c>
      <c r="I80" s="265"/>
      <c r="J80" s="265">
        <v>0</v>
      </c>
      <c r="K80" s="265" t="s">
        <v>1445</v>
      </c>
      <c r="L80" s="265" t="s">
        <v>1445</v>
      </c>
      <c r="M80" s="265" t="s">
        <v>1445</v>
      </c>
      <c r="N80" s="265" t="s">
        <v>1445</v>
      </c>
      <c r="O80" s="264">
        <f t="shared" si="1"/>
        <v>0</v>
      </c>
    </row>
    <row r="81" spans="1:15" x14ac:dyDescent="0.3">
      <c r="A81" s="165" t="s">
        <v>1568</v>
      </c>
      <c r="B81" s="265"/>
      <c r="C81" s="265" t="str">
        <f>IFERROR(VLOOKUP(B81,Таблица1[#All],2,FALSE),"-")</f>
        <v>-</v>
      </c>
      <c r="D81" s="265"/>
      <c r="E81" s="265"/>
      <c r="F81" s="265"/>
      <c r="G81" s="265" t="str">
        <f>IFERROR(VLOOKUP(F81,Таблица3[#All],2,FALSE),"-")</f>
        <v>-</v>
      </c>
      <c r="H81" s="265">
        <v>0</v>
      </c>
      <c r="I81" s="265"/>
      <c r="J81" s="265">
        <v>0</v>
      </c>
      <c r="K81" s="265" t="s">
        <v>1445</v>
      </c>
      <c r="L81" s="265" t="s">
        <v>1445</v>
      </c>
      <c r="M81" s="265" t="s">
        <v>1445</v>
      </c>
      <c r="N81" s="265" t="s">
        <v>1445</v>
      </c>
      <c r="O81" s="264">
        <f t="shared" si="1"/>
        <v>0</v>
      </c>
    </row>
    <row r="82" spans="1:15" x14ac:dyDescent="0.3">
      <c r="A82" s="165" t="s">
        <v>1569</v>
      </c>
      <c r="B82" s="265"/>
      <c r="C82" s="265" t="str">
        <f>IFERROR(VLOOKUP(B82,Таблица1[#All],2,FALSE),"-")</f>
        <v>-</v>
      </c>
      <c r="D82" s="265"/>
      <c r="E82" s="265"/>
      <c r="F82" s="265"/>
      <c r="G82" s="265" t="str">
        <f>IFERROR(VLOOKUP(F82,Таблица3[#All],2,FALSE),"-")</f>
        <v>-</v>
      </c>
      <c r="H82" s="265">
        <v>0</v>
      </c>
      <c r="I82" s="265"/>
      <c r="J82" s="265">
        <v>0</v>
      </c>
      <c r="K82" s="265" t="s">
        <v>1445</v>
      </c>
      <c r="L82" s="265" t="s">
        <v>1445</v>
      </c>
      <c r="M82" s="265" t="s">
        <v>1445</v>
      </c>
      <c r="N82" s="265" t="s">
        <v>1445</v>
      </c>
      <c r="O82" s="264">
        <f t="shared" si="1"/>
        <v>0</v>
      </c>
    </row>
    <row r="83" spans="1:15" x14ac:dyDescent="0.3">
      <c r="A83" s="165" t="s">
        <v>1570</v>
      </c>
      <c r="B83" s="265"/>
      <c r="C83" s="265" t="str">
        <f>IFERROR(VLOOKUP(B83,Таблица1[#All],2,FALSE),"-")</f>
        <v>-</v>
      </c>
      <c r="D83" s="265"/>
      <c r="E83" s="265"/>
      <c r="F83" s="265"/>
      <c r="G83" s="265" t="str">
        <f>IFERROR(VLOOKUP(F83,Таблица3[#All],2,FALSE),"-")</f>
        <v>-</v>
      </c>
      <c r="H83" s="265">
        <v>0</v>
      </c>
      <c r="I83" s="265"/>
      <c r="J83" s="265">
        <v>0</v>
      </c>
      <c r="K83" s="265" t="s">
        <v>1445</v>
      </c>
      <c r="L83" s="265" t="s">
        <v>1445</v>
      </c>
      <c r="M83" s="265" t="s">
        <v>1445</v>
      </c>
      <c r="N83" s="265" t="s">
        <v>1445</v>
      </c>
      <c r="O83" s="264">
        <f t="shared" si="1"/>
        <v>0</v>
      </c>
    </row>
    <row r="84" spans="1:15" x14ac:dyDescent="0.3">
      <c r="A84" s="165" t="s">
        <v>1571</v>
      </c>
      <c r="B84" s="265"/>
      <c r="C84" s="265" t="str">
        <f>IFERROR(VLOOKUP(B84,Таблица1[#All],2,FALSE),"-")</f>
        <v>-</v>
      </c>
      <c r="D84" s="265"/>
      <c r="E84" s="265"/>
      <c r="F84" s="265"/>
      <c r="G84" s="265" t="str">
        <f>IFERROR(VLOOKUP(F84,Таблица3[#All],2,FALSE),"-")</f>
        <v>-</v>
      </c>
      <c r="H84" s="265">
        <v>0</v>
      </c>
      <c r="I84" s="265"/>
      <c r="J84" s="265">
        <v>0</v>
      </c>
      <c r="K84" s="265" t="s">
        <v>1445</v>
      </c>
      <c r="L84" s="265" t="s">
        <v>1445</v>
      </c>
      <c r="M84" s="265" t="s">
        <v>1445</v>
      </c>
      <c r="N84" s="265" t="s">
        <v>1445</v>
      </c>
      <c r="O84" s="264">
        <f t="shared" si="1"/>
        <v>0</v>
      </c>
    </row>
    <row r="85" spans="1:15" x14ac:dyDescent="0.3">
      <c r="A85" s="165" t="s">
        <v>1572</v>
      </c>
      <c r="B85" s="265"/>
      <c r="C85" s="265" t="str">
        <f>IFERROR(VLOOKUP(B85,Таблица1[#All],2,FALSE),"-")</f>
        <v>-</v>
      </c>
      <c r="D85" s="265"/>
      <c r="E85" s="265"/>
      <c r="F85" s="265"/>
      <c r="G85" s="265" t="str">
        <f>IFERROR(VLOOKUP(F85,Таблица3[#All],2,FALSE),"-")</f>
        <v>-</v>
      </c>
      <c r="H85" s="265">
        <v>0</v>
      </c>
      <c r="I85" s="265"/>
      <c r="J85" s="265">
        <v>0</v>
      </c>
      <c r="K85" s="265" t="s">
        <v>1445</v>
      </c>
      <c r="L85" s="265" t="s">
        <v>1445</v>
      </c>
      <c r="M85" s="265" t="s">
        <v>1445</v>
      </c>
      <c r="N85" s="265" t="s">
        <v>1445</v>
      </c>
      <c r="O85" s="264">
        <f t="shared" si="1"/>
        <v>0</v>
      </c>
    </row>
    <row r="86" spans="1:15" x14ac:dyDescent="0.3">
      <c r="A86" s="165" t="s">
        <v>1573</v>
      </c>
      <c r="B86" s="265"/>
      <c r="C86" s="265" t="str">
        <f>IFERROR(VLOOKUP(B86,Таблица1[#All],2,FALSE),"-")</f>
        <v>-</v>
      </c>
      <c r="D86" s="265"/>
      <c r="E86" s="265"/>
      <c r="F86" s="265"/>
      <c r="G86" s="265" t="str">
        <f>IFERROR(VLOOKUP(F86,Таблица3[#All],2,FALSE),"-")</f>
        <v>-</v>
      </c>
      <c r="H86" s="265">
        <v>0</v>
      </c>
      <c r="I86" s="265"/>
      <c r="J86" s="265">
        <v>0</v>
      </c>
      <c r="K86" s="265" t="s">
        <v>1445</v>
      </c>
      <c r="L86" s="265" t="s">
        <v>1445</v>
      </c>
      <c r="M86" s="265" t="s">
        <v>1445</v>
      </c>
      <c r="N86" s="265" t="s">
        <v>1445</v>
      </c>
      <c r="O86" s="264">
        <f t="shared" si="1"/>
        <v>0</v>
      </c>
    </row>
    <row r="87" spans="1:15" x14ac:dyDescent="0.3">
      <c r="A87" s="165" t="s">
        <v>1574</v>
      </c>
      <c r="B87" s="265"/>
      <c r="C87" s="265" t="str">
        <f>IFERROR(VLOOKUP(B87,Таблица1[#All],2,FALSE),"-")</f>
        <v>-</v>
      </c>
      <c r="D87" s="265"/>
      <c r="E87" s="265"/>
      <c r="F87" s="265"/>
      <c r="G87" s="265" t="str">
        <f>IFERROR(VLOOKUP(F87,Таблица3[#All],2,FALSE),"-")</f>
        <v>-</v>
      </c>
      <c r="H87" s="265">
        <v>0</v>
      </c>
      <c r="I87" s="265"/>
      <c r="J87" s="265">
        <v>0</v>
      </c>
      <c r="K87" s="265" t="s">
        <v>1445</v>
      </c>
      <c r="L87" s="265" t="s">
        <v>1445</v>
      </c>
      <c r="M87" s="265" t="s">
        <v>1445</v>
      </c>
      <c r="N87" s="265" t="s">
        <v>1445</v>
      </c>
      <c r="O87" s="264">
        <f t="shared" si="1"/>
        <v>0</v>
      </c>
    </row>
    <row r="88" spans="1:15" x14ac:dyDescent="0.3">
      <c r="A88" s="165" t="s">
        <v>1575</v>
      </c>
      <c r="B88" s="265"/>
      <c r="C88" s="265" t="str">
        <f>IFERROR(VLOOKUP(B88,Таблица1[#All],2,FALSE),"-")</f>
        <v>-</v>
      </c>
      <c r="D88" s="265"/>
      <c r="E88" s="265"/>
      <c r="F88" s="265"/>
      <c r="G88" s="265" t="str">
        <f>IFERROR(VLOOKUP(F88,Таблица3[#All],2,FALSE),"-")</f>
        <v>-</v>
      </c>
      <c r="H88" s="265">
        <v>0</v>
      </c>
      <c r="I88" s="265"/>
      <c r="J88" s="265">
        <v>0</v>
      </c>
      <c r="K88" s="265" t="s">
        <v>1445</v>
      </c>
      <c r="L88" s="265" t="s">
        <v>1445</v>
      </c>
      <c r="M88" s="265" t="s">
        <v>1445</v>
      </c>
      <c r="N88" s="265" t="s">
        <v>1445</v>
      </c>
      <c r="O88" s="264">
        <f t="shared" si="1"/>
        <v>0</v>
      </c>
    </row>
    <row r="89" spans="1:15" x14ac:dyDescent="0.3">
      <c r="A89" s="165" t="s">
        <v>1576</v>
      </c>
      <c r="B89" s="265"/>
      <c r="C89" s="265" t="str">
        <f>IFERROR(VLOOKUP(B89,Таблица1[#All],2,FALSE),"-")</f>
        <v>-</v>
      </c>
      <c r="D89" s="265"/>
      <c r="E89" s="265"/>
      <c r="F89" s="265"/>
      <c r="G89" s="265" t="str">
        <f>IFERROR(VLOOKUP(F89,Таблица3[#All],2,FALSE),"-")</f>
        <v>-</v>
      </c>
      <c r="H89" s="265">
        <v>0</v>
      </c>
      <c r="I89" s="265"/>
      <c r="J89" s="265">
        <v>0</v>
      </c>
      <c r="K89" s="265" t="s">
        <v>1445</v>
      </c>
      <c r="L89" s="265" t="s">
        <v>1445</v>
      </c>
      <c r="M89" s="265" t="s">
        <v>1445</v>
      </c>
      <c r="N89" s="265" t="s">
        <v>1445</v>
      </c>
      <c r="O89" s="264">
        <f t="shared" si="1"/>
        <v>0</v>
      </c>
    </row>
    <row r="90" spans="1:15" x14ac:dyDescent="0.3">
      <c r="A90" s="165" t="s">
        <v>1577</v>
      </c>
      <c r="B90" s="265"/>
      <c r="C90" s="265" t="str">
        <f>IFERROR(VLOOKUP(B90,Таблица1[#All],2,FALSE),"-")</f>
        <v>-</v>
      </c>
      <c r="D90" s="265"/>
      <c r="E90" s="265"/>
      <c r="F90" s="265"/>
      <c r="G90" s="265" t="str">
        <f>IFERROR(VLOOKUP(F90,Таблица3[#All],2,FALSE),"-")</f>
        <v>-</v>
      </c>
      <c r="H90" s="265">
        <v>0</v>
      </c>
      <c r="I90" s="265"/>
      <c r="J90" s="265">
        <v>0</v>
      </c>
      <c r="K90" s="265" t="s">
        <v>1445</v>
      </c>
      <c r="L90" s="265" t="s">
        <v>1445</v>
      </c>
      <c r="M90" s="265" t="s">
        <v>1445</v>
      </c>
      <c r="N90" s="265" t="s">
        <v>1445</v>
      </c>
      <c r="O90" s="264">
        <f t="shared" si="1"/>
        <v>0</v>
      </c>
    </row>
    <row r="91" spans="1:15" x14ac:dyDescent="0.3">
      <c r="A91" s="165" t="s">
        <v>1578</v>
      </c>
      <c r="B91" s="265"/>
      <c r="C91" s="265" t="str">
        <f>IFERROR(VLOOKUP(B91,Таблица1[#All],2,FALSE),"-")</f>
        <v>-</v>
      </c>
      <c r="D91" s="265"/>
      <c r="E91" s="265"/>
      <c r="F91" s="265"/>
      <c r="G91" s="265" t="str">
        <f>IFERROR(VLOOKUP(F91,Таблица3[#All],2,FALSE),"-")</f>
        <v>-</v>
      </c>
      <c r="H91" s="265">
        <v>0</v>
      </c>
      <c r="I91" s="265"/>
      <c r="J91" s="265">
        <v>0</v>
      </c>
      <c r="K91" s="265" t="s">
        <v>1445</v>
      </c>
      <c r="L91" s="265" t="s">
        <v>1445</v>
      </c>
      <c r="M91" s="265" t="s">
        <v>1445</v>
      </c>
      <c r="N91" s="265" t="s">
        <v>1445</v>
      </c>
      <c r="O91" s="264">
        <f t="shared" si="1"/>
        <v>0</v>
      </c>
    </row>
    <row r="92" spans="1:15" x14ac:dyDescent="0.3">
      <c r="A92" s="165" t="s">
        <v>1579</v>
      </c>
      <c r="B92" s="265"/>
      <c r="C92" s="265" t="str">
        <f>IFERROR(VLOOKUP(B92,Таблица1[#All],2,FALSE),"-")</f>
        <v>-</v>
      </c>
      <c r="D92" s="265"/>
      <c r="E92" s="265"/>
      <c r="F92" s="265"/>
      <c r="G92" s="265" t="str">
        <f>IFERROR(VLOOKUP(F92,Таблица3[#All],2,FALSE),"-")</f>
        <v>-</v>
      </c>
      <c r="H92" s="265">
        <v>0</v>
      </c>
      <c r="I92" s="265"/>
      <c r="J92" s="265">
        <v>0</v>
      </c>
      <c r="K92" s="265" t="s">
        <v>1445</v>
      </c>
      <c r="L92" s="265" t="s">
        <v>1445</v>
      </c>
      <c r="M92" s="265" t="s">
        <v>1445</v>
      </c>
      <c r="N92" s="265" t="s">
        <v>1445</v>
      </c>
      <c r="O92" s="264">
        <f t="shared" si="1"/>
        <v>0</v>
      </c>
    </row>
    <row r="93" spans="1:15" x14ac:dyDescent="0.3">
      <c r="A93" s="165" t="s">
        <v>1580</v>
      </c>
      <c r="B93" s="265"/>
      <c r="C93" s="265" t="str">
        <f>IFERROR(VLOOKUP(B93,Таблица1[#All],2,FALSE),"-")</f>
        <v>-</v>
      </c>
      <c r="D93" s="265"/>
      <c r="E93" s="265"/>
      <c r="F93" s="265"/>
      <c r="G93" s="265" t="str">
        <f>IFERROR(VLOOKUP(F93,Таблица3[#All],2,FALSE),"-")</f>
        <v>-</v>
      </c>
      <c r="H93" s="265">
        <v>0</v>
      </c>
      <c r="I93" s="265"/>
      <c r="J93" s="265">
        <v>0</v>
      </c>
      <c r="K93" s="265" t="s">
        <v>1445</v>
      </c>
      <c r="L93" s="265" t="s">
        <v>1445</v>
      </c>
      <c r="M93" s="265" t="s">
        <v>1445</v>
      </c>
      <c r="N93" s="265" t="s">
        <v>1445</v>
      </c>
      <c r="O93" s="264">
        <f t="shared" si="1"/>
        <v>0</v>
      </c>
    </row>
    <row r="94" spans="1:15" x14ac:dyDescent="0.3">
      <c r="A94" s="165" t="s">
        <v>1581</v>
      </c>
      <c r="B94" s="265"/>
      <c r="C94" s="265" t="str">
        <f>IFERROR(VLOOKUP(B94,Таблица1[#All],2,FALSE),"-")</f>
        <v>-</v>
      </c>
      <c r="D94" s="265"/>
      <c r="E94" s="265"/>
      <c r="F94" s="265"/>
      <c r="G94" s="265" t="str">
        <f>IFERROR(VLOOKUP(F94,Таблица3[#All],2,FALSE),"-")</f>
        <v>-</v>
      </c>
      <c r="H94" s="265">
        <v>0</v>
      </c>
      <c r="I94" s="265"/>
      <c r="J94" s="265">
        <v>0</v>
      </c>
      <c r="K94" s="265" t="s">
        <v>1445</v>
      </c>
      <c r="L94" s="265" t="s">
        <v>1445</v>
      </c>
      <c r="M94" s="265" t="s">
        <v>1445</v>
      </c>
      <c r="N94" s="265" t="s">
        <v>1445</v>
      </c>
      <c r="O94" s="264">
        <f t="shared" si="1"/>
        <v>0</v>
      </c>
    </row>
    <row r="95" spans="1:15" x14ac:dyDescent="0.3">
      <c r="A95" s="165" t="s">
        <v>1582</v>
      </c>
      <c r="B95" s="265"/>
      <c r="C95" s="265" t="str">
        <f>IFERROR(VLOOKUP(B95,Таблица1[#All],2,FALSE),"-")</f>
        <v>-</v>
      </c>
      <c r="D95" s="265"/>
      <c r="E95" s="265"/>
      <c r="F95" s="265"/>
      <c r="G95" s="265" t="str">
        <f>IFERROR(VLOOKUP(F95,Таблица3[#All],2,FALSE),"-")</f>
        <v>-</v>
      </c>
      <c r="H95" s="265">
        <v>0</v>
      </c>
      <c r="I95" s="265"/>
      <c r="J95" s="265">
        <v>0</v>
      </c>
      <c r="K95" s="265" t="s">
        <v>1445</v>
      </c>
      <c r="L95" s="265" t="s">
        <v>1445</v>
      </c>
      <c r="M95" s="265" t="s">
        <v>1445</v>
      </c>
      <c r="N95" s="265" t="s">
        <v>1445</v>
      </c>
      <c r="O95" s="264">
        <f t="shared" si="1"/>
        <v>0</v>
      </c>
    </row>
    <row r="96" spans="1:15" x14ac:dyDescent="0.3">
      <c r="A96" s="165" t="s">
        <v>1583</v>
      </c>
      <c r="B96" s="265"/>
      <c r="C96" s="265" t="str">
        <f>IFERROR(VLOOKUP(B96,Таблица1[#All],2,FALSE),"-")</f>
        <v>-</v>
      </c>
      <c r="D96" s="265"/>
      <c r="E96" s="265"/>
      <c r="F96" s="265"/>
      <c r="G96" s="265" t="str">
        <f>IFERROR(VLOOKUP(F96,Таблица3[#All],2,FALSE),"-")</f>
        <v>-</v>
      </c>
      <c r="H96" s="265">
        <v>0</v>
      </c>
      <c r="I96" s="265"/>
      <c r="J96" s="265">
        <v>0</v>
      </c>
      <c r="K96" s="265" t="s">
        <v>1445</v>
      </c>
      <c r="L96" s="265" t="s">
        <v>1445</v>
      </c>
      <c r="M96" s="265" t="s">
        <v>1445</v>
      </c>
      <c r="N96" s="265" t="s">
        <v>1445</v>
      </c>
      <c r="O96" s="264">
        <f t="shared" si="1"/>
        <v>0</v>
      </c>
    </row>
    <row r="97" spans="1:15" x14ac:dyDescent="0.3">
      <c r="A97" s="165" t="s">
        <v>1584</v>
      </c>
      <c r="B97" s="265"/>
      <c r="C97" s="265" t="str">
        <f>IFERROR(VLOOKUP(B97,Таблица1[#All],2,FALSE),"-")</f>
        <v>-</v>
      </c>
      <c r="D97" s="265"/>
      <c r="E97" s="265"/>
      <c r="F97" s="265"/>
      <c r="G97" s="265" t="str">
        <f>IFERROR(VLOOKUP(F97,Таблица3[#All],2,FALSE),"-")</f>
        <v>-</v>
      </c>
      <c r="H97" s="265">
        <v>0</v>
      </c>
      <c r="I97" s="265"/>
      <c r="J97" s="265">
        <v>0</v>
      </c>
      <c r="K97" s="265" t="s">
        <v>1445</v>
      </c>
      <c r="L97" s="265" t="s">
        <v>1445</v>
      </c>
      <c r="M97" s="265" t="s">
        <v>1445</v>
      </c>
      <c r="N97" s="265" t="s">
        <v>1445</v>
      </c>
      <c r="O97" s="264">
        <f t="shared" si="1"/>
        <v>0</v>
      </c>
    </row>
    <row r="98" spans="1:15" x14ac:dyDescent="0.3">
      <c r="A98" s="165" t="s">
        <v>1585</v>
      </c>
      <c r="B98" s="265"/>
      <c r="C98" s="265" t="str">
        <f>IFERROR(VLOOKUP(B98,Таблица1[#All],2,FALSE),"-")</f>
        <v>-</v>
      </c>
      <c r="D98" s="265"/>
      <c r="E98" s="265"/>
      <c r="F98" s="265"/>
      <c r="G98" s="265" t="str">
        <f>IFERROR(VLOOKUP(F98,Таблица3[#All],2,FALSE),"-")</f>
        <v>-</v>
      </c>
      <c r="H98" s="265">
        <v>0</v>
      </c>
      <c r="I98" s="265"/>
      <c r="J98" s="265">
        <v>0</v>
      </c>
      <c r="K98" s="265" t="s">
        <v>1445</v>
      </c>
      <c r="L98" s="265" t="s">
        <v>1445</v>
      </c>
      <c r="M98" s="265" t="s">
        <v>1445</v>
      </c>
      <c r="N98" s="265" t="s">
        <v>1445</v>
      </c>
      <c r="O98" s="264">
        <f t="shared" si="1"/>
        <v>0</v>
      </c>
    </row>
    <row r="99" spans="1:15" x14ac:dyDescent="0.3">
      <c r="A99" s="165" t="s">
        <v>1586</v>
      </c>
      <c r="B99" s="265"/>
      <c r="C99" s="265" t="str">
        <f>IFERROR(VLOOKUP(B99,Таблица1[#All],2,FALSE),"-")</f>
        <v>-</v>
      </c>
      <c r="D99" s="265"/>
      <c r="E99" s="265"/>
      <c r="F99" s="265"/>
      <c r="G99" s="265" t="str">
        <f>IFERROR(VLOOKUP(F99,Таблица3[#All],2,FALSE),"-")</f>
        <v>-</v>
      </c>
      <c r="H99" s="265">
        <v>0</v>
      </c>
      <c r="I99" s="265"/>
      <c r="J99" s="265">
        <v>0</v>
      </c>
      <c r="K99" s="265" t="s">
        <v>1445</v>
      </c>
      <c r="L99" s="265" t="s">
        <v>1445</v>
      </c>
      <c r="M99" s="265" t="s">
        <v>1445</v>
      </c>
      <c r="N99" s="265" t="s">
        <v>1445</v>
      </c>
      <c r="O99" s="264">
        <f t="shared" si="1"/>
        <v>0</v>
      </c>
    </row>
    <row r="100" spans="1:15" x14ac:dyDescent="0.3">
      <c r="A100" s="165" t="s">
        <v>1587</v>
      </c>
      <c r="B100" s="265"/>
      <c r="C100" s="265" t="str">
        <f>IFERROR(VLOOKUP(B100,Таблица1[#All],2,FALSE),"-")</f>
        <v>-</v>
      </c>
      <c r="D100" s="265"/>
      <c r="E100" s="265"/>
      <c r="F100" s="265"/>
      <c r="G100" s="265" t="str">
        <f>IFERROR(VLOOKUP(F100,Таблица3[#All],2,FALSE),"-")</f>
        <v>-</v>
      </c>
      <c r="H100" s="265">
        <v>0</v>
      </c>
      <c r="I100" s="265"/>
      <c r="J100" s="265">
        <v>0</v>
      </c>
      <c r="K100" s="265" t="s">
        <v>1445</v>
      </c>
      <c r="L100" s="265" t="s">
        <v>1445</v>
      </c>
      <c r="M100" s="265" t="s">
        <v>1445</v>
      </c>
      <c r="N100" s="265" t="s">
        <v>1445</v>
      </c>
      <c r="O100" s="264">
        <f t="shared" si="1"/>
        <v>0</v>
      </c>
    </row>
    <row r="101" spans="1:15" x14ac:dyDescent="0.3">
      <c r="A101" s="165" t="s">
        <v>1588</v>
      </c>
      <c r="B101" s="265"/>
      <c r="C101" s="265" t="str">
        <f>IFERROR(VLOOKUP(B101,Таблица1[#All],2,FALSE),"-")</f>
        <v>-</v>
      </c>
      <c r="D101" s="265"/>
      <c r="E101" s="265"/>
      <c r="F101" s="265"/>
      <c r="G101" s="265" t="str">
        <f>IFERROR(VLOOKUP(F101,Таблица3[#All],2,FALSE),"-")</f>
        <v>-</v>
      </c>
      <c r="H101" s="265">
        <v>0</v>
      </c>
      <c r="I101" s="265"/>
      <c r="J101" s="265">
        <v>0</v>
      </c>
      <c r="K101" s="265" t="s">
        <v>1445</v>
      </c>
      <c r="L101" s="265" t="s">
        <v>1445</v>
      </c>
      <c r="M101" s="265" t="s">
        <v>1445</v>
      </c>
      <c r="N101" s="265" t="s">
        <v>1445</v>
      </c>
      <c r="O101" s="264">
        <f t="shared" si="1"/>
        <v>0</v>
      </c>
    </row>
    <row r="102" spans="1:15" x14ac:dyDescent="0.3">
      <c r="A102" s="165" t="s">
        <v>1589</v>
      </c>
      <c r="B102" s="265"/>
      <c r="C102" s="265" t="str">
        <f>IFERROR(VLOOKUP(B102,Таблица1[#All],2,FALSE),"-")</f>
        <v>-</v>
      </c>
      <c r="D102" s="265"/>
      <c r="E102" s="265"/>
      <c r="F102" s="265"/>
      <c r="G102" s="265" t="str">
        <f>IFERROR(VLOOKUP(F102,Таблица3[#All],2,FALSE),"-")</f>
        <v>-</v>
      </c>
      <c r="H102" s="265">
        <v>0</v>
      </c>
      <c r="I102" s="265"/>
      <c r="J102" s="265">
        <v>0</v>
      </c>
      <c r="K102" s="265" t="s">
        <v>1445</v>
      </c>
      <c r="L102" s="265" t="s">
        <v>1445</v>
      </c>
      <c r="M102" s="265" t="s">
        <v>1445</v>
      </c>
      <c r="N102" s="265" t="s">
        <v>1445</v>
      </c>
      <c r="O102" s="264">
        <f t="shared" si="1"/>
        <v>0</v>
      </c>
    </row>
    <row r="103" spans="1:15" x14ac:dyDescent="0.3">
      <c r="A103" s="165" t="s">
        <v>1590</v>
      </c>
      <c r="B103" s="265"/>
      <c r="C103" s="265" t="str">
        <f>IFERROR(VLOOKUP(B103,Таблица1[#All],2,FALSE),"-")</f>
        <v>-</v>
      </c>
      <c r="D103" s="265"/>
      <c r="E103" s="265"/>
      <c r="F103" s="265"/>
      <c r="G103" s="265" t="str">
        <f>IFERROR(VLOOKUP(F103,Таблица3[#All],2,FALSE),"-")</f>
        <v>-</v>
      </c>
      <c r="H103" s="265">
        <v>0</v>
      </c>
      <c r="I103" s="265"/>
      <c r="J103" s="265">
        <v>0</v>
      </c>
      <c r="K103" s="265" t="s">
        <v>1445</v>
      </c>
      <c r="L103" s="265" t="s">
        <v>1445</v>
      </c>
      <c r="M103" s="265" t="s">
        <v>1445</v>
      </c>
      <c r="N103" s="265" t="s">
        <v>1445</v>
      </c>
      <c r="O103" s="264">
        <f t="shared" si="1"/>
        <v>0</v>
      </c>
    </row>
    <row r="104" spans="1:15" x14ac:dyDescent="0.3">
      <c r="A104" s="165" t="s">
        <v>1591</v>
      </c>
      <c r="B104" s="265"/>
      <c r="C104" s="265" t="str">
        <f>IFERROR(VLOOKUP(B104,Таблица1[#All],2,FALSE),"-")</f>
        <v>-</v>
      </c>
      <c r="D104" s="265"/>
      <c r="E104" s="265"/>
      <c r="F104" s="265"/>
      <c r="G104" s="265" t="str">
        <f>IFERROR(VLOOKUP(F104,Таблица3[#All],2,FALSE),"-")</f>
        <v>-</v>
      </c>
      <c r="H104" s="265">
        <v>0</v>
      </c>
      <c r="I104" s="265"/>
      <c r="J104" s="265">
        <v>0</v>
      </c>
      <c r="K104" s="265" t="s">
        <v>1445</v>
      </c>
      <c r="L104" s="265" t="s">
        <v>1445</v>
      </c>
      <c r="M104" s="265" t="s">
        <v>1445</v>
      </c>
      <c r="N104" s="265" t="s">
        <v>1445</v>
      </c>
      <c r="O104" s="264">
        <f t="shared" si="1"/>
        <v>0</v>
      </c>
    </row>
    <row r="105" spans="1:15" x14ac:dyDescent="0.3">
      <c r="A105" s="165" t="s">
        <v>1592</v>
      </c>
      <c r="B105" s="265"/>
      <c r="C105" s="265" t="str">
        <f>IFERROR(VLOOKUP(B105,Таблица1[#All],2,FALSE),"-")</f>
        <v>-</v>
      </c>
      <c r="D105" s="265"/>
      <c r="E105" s="265"/>
      <c r="F105" s="265"/>
      <c r="G105" s="265" t="str">
        <f>IFERROR(VLOOKUP(F105,Таблица3[#All],2,FALSE),"-")</f>
        <v>-</v>
      </c>
      <c r="H105" s="265">
        <v>0</v>
      </c>
      <c r="I105" s="265"/>
      <c r="J105" s="265">
        <v>0</v>
      </c>
      <c r="K105" s="265" t="s">
        <v>1445</v>
      </c>
      <c r="L105" s="265" t="s">
        <v>1445</v>
      </c>
      <c r="M105" s="265" t="s">
        <v>1445</v>
      </c>
      <c r="N105" s="265" t="s">
        <v>1445</v>
      </c>
      <c r="O105" s="264">
        <f t="shared" si="1"/>
        <v>0</v>
      </c>
    </row>
    <row r="106" spans="1:15" x14ac:dyDescent="0.3">
      <c r="A106" s="165" t="s">
        <v>1593</v>
      </c>
      <c r="B106" s="265"/>
      <c r="C106" s="265" t="str">
        <f>IFERROR(VLOOKUP(B106,Таблица1[#All],2,FALSE),"-")</f>
        <v>-</v>
      </c>
      <c r="D106" s="265"/>
      <c r="E106" s="265"/>
      <c r="F106" s="265"/>
      <c r="G106" s="265" t="str">
        <f>IFERROR(VLOOKUP(F106,Таблица3[#All],2,FALSE),"-")</f>
        <v>-</v>
      </c>
      <c r="H106" s="265">
        <v>0</v>
      </c>
      <c r="I106" s="265"/>
      <c r="J106" s="265">
        <v>0</v>
      </c>
      <c r="K106" s="265" t="s">
        <v>1445</v>
      </c>
      <c r="L106" s="265" t="s">
        <v>1445</v>
      </c>
      <c r="M106" s="265" t="s">
        <v>1445</v>
      </c>
      <c r="N106" s="265" t="s">
        <v>1445</v>
      </c>
      <c r="O106" s="264">
        <f t="shared" si="1"/>
        <v>0</v>
      </c>
    </row>
    <row r="107" spans="1:15" x14ac:dyDescent="0.3">
      <c r="A107" s="165" t="s">
        <v>1594</v>
      </c>
      <c r="B107" s="265"/>
      <c r="C107" s="265" t="str">
        <f>IFERROR(VLOOKUP(B107,Таблица1[#All],2,FALSE),"-")</f>
        <v>-</v>
      </c>
      <c r="D107" s="265"/>
      <c r="E107" s="265"/>
      <c r="F107" s="265"/>
      <c r="G107" s="265" t="str">
        <f>IFERROR(VLOOKUP(F107,Таблица3[#All],2,FALSE),"-")</f>
        <v>-</v>
      </c>
      <c r="H107" s="265">
        <v>0</v>
      </c>
      <c r="I107" s="265"/>
      <c r="J107" s="265">
        <v>0</v>
      </c>
      <c r="K107" s="265" t="s">
        <v>1445</v>
      </c>
      <c r="L107" s="265" t="s">
        <v>1445</v>
      </c>
      <c r="M107" s="265" t="s">
        <v>1445</v>
      </c>
      <c r="N107" s="265" t="s">
        <v>1445</v>
      </c>
      <c r="O107" s="264">
        <f t="shared" si="1"/>
        <v>0</v>
      </c>
    </row>
    <row r="108" spans="1:15" x14ac:dyDescent="0.3">
      <c r="A108" s="165" t="s">
        <v>1595</v>
      </c>
      <c r="B108" s="265"/>
      <c r="C108" s="265" t="str">
        <f>IFERROR(VLOOKUP(B108,Таблица1[#All],2,FALSE),"-")</f>
        <v>-</v>
      </c>
      <c r="D108" s="265"/>
      <c r="E108" s="265"/>
      <c r="F108" s="265"/>
      <c r="G108" s="265" t="str">
        <f>IFERROR(VLOOKUP(F108,Таблица3[#All],2,FALSE),"-")</f>
        <v>-</v>
      </c>
      <c r="H108" s="265">
        <v>0</v>
      </c>
      <c r="I108" s="265"/>
      <c r="J108" s="265">
        <v>0</v>
      </c>
      <c r="K108" s="265" t="s">
        <v>1445</v>
      </c>
      <c r="L108" s="265" t="s">
        <v>1445</v>
      </c>
      <c r="M108" s="265" t="s">
        <v>1445</v>
      </c>
      <c r="N108" s="265" t="s">
        <v>1445</v>
      </c>
      <c r="O108" s="264">
        <f t="shared" si="1"/>
        <v>0</v>
      </c>
    </row>
    <row r="109" spans="1:15" x14ac:dyDescent="0.3">
      <c r="A109" s="165" t="s">
        <v>1596</v>
      </c>
      <c r="B109" s="265"/>
      <c r="C109" s="265" t="str">
        <f>IFERROR(VLOOKUP(B109,Таблица1[#All],2,FALSE),"-")</f>
        <v>-</v>
      </c>
      <c r="D109" s="265"/>
      <c r="E109" s="265"/>
      <c r="F109" s="265"/>
      <c r="G109" s="265" t="str">
        <f>IFERROR(VLOOKUP(F109,Таблица3[#All],2,FALSE),"-")</f>
        <v>-</v>
      </c>
      <c r="H109" s="265">
        <v>0</v>
      </c>
      <c r="I109" s="265"/>
      <c r="J109" s="265">
        <v>0</v>
      </c>
      <c r="K109" s="265" t="s">
        <v>1445</v>
      </c>
      <c r="L109" s="265" t="s">
        <v>1445</v>
      </c>
      <c r="M109" s="265" t="s">
        <v>1445</v>
      </c>
      <c r="N109" s="265" t="s">
        <v>1445</v>
      </c>
      <c r="O109" s="264">
        <f t="shared" si="1"/>
        <v>0</v>
      </c>
    </row>
    <row r="110" spans="1:15" x14ac:dyDescent="0.3">
      <c r="A110" s="165" t="s">
        <v>1597</v>
      </c>
      <c r="B110" s="265"/>
      <c r="C110" s="265" t="str">
        <f>IFERROR(VLOOKUP(B110,Таблица1[#All],2,FALSE),"-")</f>
        <v>-</v>
      </c>
      <c r="D110" s="265"/>
      <c r="E110" s="265"/>
      <c r="F110" s="265"/>
      <c r="G110" s="265" t="str">
        <f>IFERROR(VLOOKUP(F110,Таблица3[#All],2,FALSE),"-")</f>
        <v>-</v>
      </c>
      <c r="H110" s="265">
        <v>0</v>
      </c>
      <c r="I110" s="265"/>
      <c r="J110" s="265">
        <v>0</v>
      </c>
      <c r="K110" s="265" t="s">
        <v>1445</v>
      </c>
      <c r="L110" s="265" t="s">
        <v>1445</v>
      </c>
      <c r="M110" s="265" t="s">
        <v>1445</v>
      </c>
      <c r="N110" s="265" t="s">
        <v>1445</v>
      </c>
      <c r="O110" s="264">
        <f t="shared" si="1"/>
        <v>0</v>
      </c>
    </row>
    <row r="111" spans="1:15" x14ac:dyDescent="0.3">
      <c r="A111" s="165" t="s">
        <v>1598</v>
      </c>
      <c r="B111" s="265"/>
      <c r="C111" s="265" t="str">
        <f>IFERROR(VLOOKUP(B111,Таблица1[#All],2,FALSE),"-")</f>
        <v>-</v>
      </c>
      <c r="D111" s="265"/>
      <c r="E111" s="265"/>
      <c r="F111" s="265"/>
      <c r="G111" s="265" t="str">
        <f>IFERROR(VLOOKUP(F111,Таблица3[#All],2,FALSE),"-")</f>
        <v>-</v>
      </c>
      <c r="H111" s="265">
        <v>0</v>
      </c>
      <c r="I111" s="265"/>
      <c r="J111" s="265">
        <v>0</v>
      </c>
      <c r="K111" s="265" t="s">
        <v>1445</v>
      </c>
      <c r="L111" s="265" t="s">
        <v>1445</v>
      </c>
      <c r="M111" s="265" t="s">
        <v>1445</v>
      </c>
      <c r="N111" s="265" t="s">
        <v>1445</v>
      </c>
      <c r="O111" s="264">
        <f t="shared" si="1"/>
        <v>0</v>
      </c>
    </row>
    <row r="112" spans="1:15" x14ac:dyDescent="0.3">
      <c r="A112" s="165" t="s">
        <v>1599</v>
      </c>
      <c r="B112" s="265"/>
      <c r="C112" s="265" t="str">
        <f>IFERROR(VLOOKUP(B112,Таблица1[#All],2,FALSE),"-")</f>
        <v>-</v>
      </c>
      <c r="D112" s="265"/>
      <c r="E112" s="265"/>
      <c r="F112" s="265"/>
      <c r="G112" s="265" t="str">
        <f>IFERROR(VLOOKUP(F112,Таблица3[#All],2,FALSE),"-")</f>
        <v>-</v>
      </c>
      <c r="H112" s="265">
        <v>0</v>
      </c>
      <c r="I112" s="265"/>
      <c r="J112" s="265">
        <v>0</v>
      </c>
      <c r="K112" s="265" t="s">
        <v>1445</v>
      </c>
      <c r="L112" s="265" t="s">
        <v>1445</v>
      </c>
      <c r="M112" s="265" t="s">
        <v>1445</v>
      </c>
      <c r="N112" s="265" t="s">
        <v>1445</v>
      </c>
      <c r="O112" s="264">
        <f t="shared" si="1"/>
        <v>0</v>
      </c>
    </row>
    <row r="113" spans="1:15" x14ac:dyDescent="0.3">
      <c r="A113" s="165" t="s">
        <v>1600</v>
      </c>
      <c r="B113" s="265"/>
      <c r="C113" s="265" t="str">
        <f>IFERROR(VLOOKUP(B113,Таблица1[#All],2,FALSE),"-")</f>
        <v>-</v>
      </c>
      <c r="D113" s="265"/>
      <c r="E113" s="265"/>
      <c r="F113" s="265"/>
      <c r="G113" s="265" t="str">
        <f>IFERROR(VLOOKUP(F113,Таблица3[#All],2,FALSE),"-")</f>
        <v>-</v>
      </c>
      <c r="H113" s="265">
        <v>0</v>
      </c>
      <c r="I113" s="265"/>
      <c r="J113" s="265">
        <v>0</v>
      </c>
      <c r="K113" s="265" t="s">
        <v>1445</v>
      </c>
      <c r="L113" s="265" t="s">
        <v>1445</v>
      </c>
      <c r="M113" s="265" t="s">
        <v>1445</v>
      </c>
      <c r="N113" s="265" t="s">
        <v>1445</v>
      </c>
      <c r="O113" s="264">
        <f t="shared" si="1"/>
        <v>0</v>
      </c>
    </row>
    <row r="114" spans="1:15" x14ac:dyDescent="0.3">
      <c r="A114" s="165" t="s">
        <v>1601</v>
      </c>
      <c r="B114" s="265"/>
      <c r="C114" s="265" t="str">
        <f>IFERROR(VLOOKUP(B114,Таблица1[#All],2,FALSE),"-")</f>
        <v>-</v>
      </c>
      <c r="D114" s="265"/>
      <c r="E114" s="265"/>
      <c r="F114" s="265"/>
      <c r="G114" s="265" t="str">
        <f>IFERROR(VLOOKUP(F114,Таблица3[#All],2,FALSE),"-")</f>
        <v>-</v>
      </c>
      <c r="H114" s="265">
        <v>0</v>
      </c>
      <c r="I114" s="265"/>
      <c r="J114" s="265">
        <v>0</v>
      </c>
      <c r="K114" s="265" t="s">
        <v>1445</v>
      </c>
      <c r="L114" s="265" t="s">
        <v>1445</v>
      </c>
      <c r="M114" s="265" t="s">
        <v>1445</v>
      </c>
      <c r="N114" s="265" t="s">
        <v>1445</v>
      </c>
      <c r="O114" s="264">
        <f t="shared" si="1"/>
        <v>0</v>
      </c>
    </row>
    <row r="115" spans="1:15" x14ac:dyDescent="0.3">
      <c r="A115" s="165" t="s">
        <v>1602</v>
      </c>
      <c r="B115" s="265"/>
      <c r="C115" s="265" t="str">
        <f>IFERROR(VLOOKUP(B115,Таблица1[#All],2,FALSE),"-")</f>
        <v>-</v>
      </c>
      <c r="D115" s="265"/>
      <c r="E115" s="265"/>
      <c r="F115" s="265"/>
      <c r="G115" s="265" t="str">
        <f>IFERROR(VLOOKUP(F115,Таблица3[#All],2,FALSE),"-")</f>
        <v>-</v>
      </c>
      <c r="H115" s="265">
        <v>0</v>
      </c>
      <c r="I115" s="265"/>
      <c r="J115" s="265">
        <v>0</v>
      </c>
      <c r="K115" s="265" t="s">
        <v>1445</v>
      </c>
      <c r="L115" s="265" t="s">
        <v>1445</v>
      </c>
      <c r="M115" s="265" t="s">
        <v>1445</v>
      </c>
      <c r="N115" s="265" t="s">
        <v>1445</v>
      </c>
      <c r="O115" s="264">
        <f t="shared" si="1"/>
        <v>0</v>
      </c>
    </row>
    <row r="116" spans="1:15" x14ac:dyDescent="0.3">
      <c r="A116" s="165" t="s">
        <v>1603</v>
      </c>
      <c r="B116" s="265"/>
      <c r="C116" s="265" t="str">
        <f>IFERROR(VLOOKUP(B116,Таблица1[#All],2,FALSE),"-")</f>
        <v>-</v>
      </c>
      <c r="D116" s="265"/>
      <c r="E116" s="265"/>
      <c r="F116" s="265"/>
      <c r="G116" s="265" t="str">
        <f>IFERROR(VLOOKUP(F116,Таблица3[#All],2,FALSE),"-")</f>
        <v>-</v>
      </c>
      <c r="H116" s="265">
        <v>0</v>
      </c>
      <c r="I116" s="265"/>
      <c r="J116" s="265">
        <v>0</v>
      </c>
      <c r="K116" s="265" t="s">
        <v>1445</v>
      </c>
      <c r="L116" s="265" t="s">
        <v>1445</v>
      </c>
      <c r="M116" s="265" t="s">
        <v>1445</v>
      </c>
      <c r="N116" s="265" t="s">
        <v>1445</v>
      </c>
      <c r="O116" s="264">
        <f t="shared" si="1"/>
        <v>0</v>
      </c>
    </row>
    <row r="117" spans="1:15" x14ac:dyDescent="0.3">
      <c r="A117" s="165" t="s">
        <v>1604</v>
      </c>
      <c r="B117" s="265"/>
      <c r="C117" s="265" t="str">
        <f>IFERROR(VLOOKUP(B117,Таблица1[#All],2,FALSE),"-")</f>
        <v>-</v>
      </c>
      <c r="D117" s="265"/>
      <c r="E117" s="265"/>
      <c r="F117" s="265"/>
      <c r="G117" s="265" t="str">
        <f>IFERROR(VLOOKUP(F117,Таблица3[#All],2,FALSE),"-")</f>
        <v>-</v>
      </c>
      <c r="H117" s="265">
        <v>0</v>
      </c>
      <c r="I117" s="265"/>
      <c r="J117" s="265">
        <v>0</v>
      </c>
      <c r="K117" s="265" t="s">
        <v>1445</v>
      </c>
      <c r="L117" s="265" t="s">
        <v>1445</v>
      </c>
      <c r="M117" s="265" t="s">
        <v>1445</v>
      </c>
      <c r="N117" s="265" t="s">
        <v>1445</v>
      </c>
      <c r="O117" s="264">
        <f t="shared" si="1"/>
        <v>0</v>
      </c>
    </row>
    <row r="118" spans="1:15" x14ac:dyDescent="0.3">
      <c r="A118" s="165" t="s">
        <v>1605</v>
      </c>
      <c r="B118" s="265"/>
      <c r="C118" s="265" t="str">
        <f>IFERROR(VLOOKUP(B118,Таблица1[#All],2,FALSE),"-")</f>
        <v>-</v>
      </c>
      <c r="D118" s="265"/>
      <c r="E118" s="265"/>
      <c r="F118" s="265"/>
      <c r="G118" s="265" t="str">
        <f>IFERROR(VLOOKUP(F118,Таблица3[#All],2,FALSE),"-")</f>
        <v>-</v>
      </c>
      <c r="H118" s="265">
        <v>0</v>
      </c>
      <c r="I118" s="265"/>
      <c r="J118" s="265">
        <v>0</v>
      </c>
      <c r="K118" s="265" t="s">
        <v>1445</v>
      </c>
      <c r="L118" s="265" t="s">
        <v>1445</v>
      </c>
      <c r="M118" s="265" t="s">
        <v>1445</v>
      </c>
      <c r="N118" s="265" t="s">
        <v>1445</v>
      </c>
      <c r="O118" s="264">
        <f t="shared" si="1"/>
        <v>0</v>
      </c>
    </row>
    <row r="119" spans="1:15" x14ac:dyDescent="0.3">
      <c r="A119" s="165" t="s">
        <v>1606</v>
      </c>
      <c r="B119" s="265"/>
      <c r="C119" s="265" t="str">
        <f>IFERROR(VLOOKUP(B119,Таблица1[#All],2,FALSE),"-")</f>
        <v>-</v>
      </c>
      <c r="D119" s="265"/>
      <c r="E119" s="265"/>
      <c r="F119" s="265"/>
      <c r="G119" s="265" t="str">
        <f>IFERROR(VLOOKUP(F119,Таблица3[#All],2,FALSE),"-")</f>
        <v>-</v>
      </c>
      <c r="H119" s="265">
        <v>0</v>
      </c>
      <c r="I119" s="265"/>
      <c r="J119" s="265">
        <v>0</v>
      </c>
      <c r="K119" s="265" t="s">
        <v>1445</v>
      </c>
      <c r="L119" s="265" t="s">
        <v>1445</v>
      </c>
      <c r="M119" s="265" t="s">
        <v>1445</v>
      </c>
      <c r="N119" s="265" t="s">
        <v>1445</v>
      </c>
      <c r="O119" s="264">
        <f t="shared" si="1"/>
        <v>0</v>
      </c>
    </row>
    <row r="120" spans="1:15" x14ac:dyDescent="0.3">
      <c r="A120" s="165" t="s">
        <v>1607</v>
      </c>
      <c r="B120" s="265"/>
      <c r="C120" s="265" t="str">
        <f>IFERROR(VLOOKUP(B120,Таблица1[#All],2,FALSE),"-")</f>
        <v>-</v>
      </c>
      <c r="D120" s="265"/>
      <c r="E120" s="265"/>
      <c r="F120" s="265"/>
      <c r="G120" s="265" t="str">
        <f>IFERROR(VLOOKUP(F120,Таблица3[#All],2,FALSE),"-")</f>
        <v>-</v>
      </c>
      <c r="H120" s="265">
        <v>0</v>
      </c>
      <c r="I120" s="265"/>
      <c r="J120" s="265">
        <v>0</v>
      </c>
      <c r="K120" s="265" t="s">
        <v>1445</v>
      </c>
      <c r="L120" s="265" t="s">
        <v>1445</v>
      </c>
      <c r="M120" s="265" t="s">
        <v>1445</v>
      </c>
      <c r="N120" s="265" t="s">
        <v>1445</v>
      </c>
      <c r="O120" s="264">
        <f t="shared" si="1"/>
        <v>0</v>
      </c>
    </row>
    <row r="121" spans="1:15" x14ac:dyDescent="0.3">
      <c r="A121" s="165" t="s">
        <v>1608</v>
      </c>
      <c r="B121" s="265"/>
      <c r="C121" s="265" t="str">
        <f>IFERROR(VLOOKUP(B121,Таблица1[#All],2,FALSE),"-")</f>
        <v>-</v>
      </c>
      <c r="D121" s="265"/>
      <c r="E121" s="265"/>
      <c r="F121" s="265"/>
      <c r="G121" s="265" t="str">
        <f>IFERROR(VLOOKUP(F121,Таблица3[#All],2,FALSE),"-")</f>
        <v>-</v>
      </c>
      <c r="H121" s="265">
        <v>0</v>
      </c>
      <c r="I121" s="265"/>
      <c r="J121" s="265">
        <v>0</v>
      </c>
      <c r="K121" s="265" t="s">
        <v>1445</v>
      </c>
      <c r="L121" s="265" t="s">
        <v>1445</v>
      </c>
      <c r="M121" s="265" t="s">
        <v>1445</v>
      </c>
      <c r="N121" s="265" t="s">
        <v>1445</v>
      </c>
      <c r="O121" s="264">
        <f t="shared" si="1"/>
        <v>0</v>
      </c>
    </row>
    <row r="122" spans="1:15" x14ac:dyDescent="0.3">
      <c r="A122" s="165" t="s">
        <v>1609</v>
      </c>
      <c r="B122" s="265"/>
      <c r="C122" s="265" t="str">
        <f>IFERROR(VLOOKUP(B122,Таблица1[#All],2,FALSE),"-")</f>
        <v>-</v>
      </c>
      <c r="D122" s="265"/>
      <c r="E122" s="265"/>
      <c r="F122" s="265"/>
      <c r="G122" s="265" t="str">
        <f>IFERROR(VLOOKUP(F122,Таблица3[#All],2,FALSE),"-")</f>
        <v>-</v>
      </c>
      <c r="H122" s="265">
        <v>0</v>
      </c>
      <c r="I122" s="265"/>
      <c r="J122" s="265">
        <v>0</v>
      </c>
      <c r="K122" s="265" t="s">
        <v>1445</v>
      </c>
      <c r="L122" s="265" t="s">
        <v>1445</v>
      </c>
      <c r="M122" s="265" t="s">
        <v>1445</v>
      </c>
      <c r="N122" s="265" t="s">
        <v>1445</v>
      </c>
      <c r="O122" s="264">
        <f t="shared" si="1"/>
        <v>0</v>
      </c>
    </row>
    <row r="123" spans="1:15" x14ac:dyDescent="0.3">
      <c r="A123" s="165" t="s">
        <v>1610</v>
      </c>
      <c r="B123" s="265"/>
      <c r="C123" s="265" t="str">
        <f>IFERROR(VLOOKUP(B123,Таблица1[#All],2,FALSE),"-")</f>
        <v>-</v>
      </c>
      <c r="D123" s="265"/>
      <c r="E123" s="265"/>
      <c r="F123" s="265"/>
      <c r="G123" s="265" t="str">
        <f>IFERROR(VLOOKUP(F123,Таблица3[#All],2,FALSE),"-")</f>
        <v>-</v>
      </c>
      <c r="H123" s="265">
        <v>0</v>
      </c>
      <c r="I123" s="265"/>
      <c r="J123" s="265">
        <v>0</v>
      </c>
      <c r="K123" s="265" t="s">
        <v>1445</v>
      </c>
      <c r="L123" s="265" t="s">
        <v>1445</v>
      </c>
      <c r="M123" s="265" t="s">
        <v>1445</v>
      </c>
      <c r="N123" s="265" t="s">
        <v>1445</v>
      </c>
      <c r="O123" s="264">
        <f t="shared" si="1"/>
        <v>0</v>
      </c>
    </row>
    <row r="124" spans="1:15" x14ac:dyDescent="0.3">
      <c r="A124" s="165" t="s">
        <v>1611</v>
      </c>
      <c r="B124" s="265"/>
      <c r="C124" s="265" t="str">
        <f>IFERROR(VLOOKUP(B124,Таблица1[#All],2,FALSE),"-")</f>
        <v>-</v>
      </c>
      <c r="D124" s="265"/>
      <c r="E124" s="265"/>
      <c r="F124" s="265"/>
      <c r="G124" s="265" t="str">
        <f>IFERROR(VLOOKUP(F124,Таблица3[#All],2,FALSE),"-")</f>
        <v>-</v>
      </c>
      <c r="H124" s="265">
        <v>0</v>
      </c>
      <c r="I124" s="265"/>
      <c r="J124" s="265">
        <v>0</v>
      </c>
      <c r="K124" s="265" t="s">
        <v>1445</v>
      </c>
      <c r="L124" s="265" t="s">
        <v>1445</v>
      </c>
      <c r="M124" s="265" t="s">
        <v>1445</v>
      </c>
      <c r="N124" s="265" t="s">
        <v>1445</v>
      </c>
      <c r="O124" s="264">
        <f t="shared" si="1"/>
        <v>0</v>
      </c>
    </row>
    <row r="125" spans="1:15" x14ac:dyDescent="0.3">
      <c r="A125" s="165" t="s">
        <v>1612</v>
      </c>
      <c r="B125" s="265"/>
      <c r="C125" s="265" t="str">
        <f>IFERROR(VLOOKUP(B125,Таблица1[#All],2,FALSE),"-")</f>
        <v>-</v>
      </c>
      <c r="D125" s="265"/>
      <c r="E125" s="265"/>
      <c r="F125" s="265"/>
      <c r="G125" s="265" t="str">
        <f>IFERROR(VLOOKUP(F125,Таблица3[#All],2,FALSE),"-")</f>
        <v>-</v>
      </c>
      <c r="H125" s="265">
        <v>0</v>
      </c>
      <c r="I125" s="265"/>
      <c r="J125" s="265">
        <v>0</v>
      </c>
      <c r="K125" s="265" t="s">
        <v>1445</v>
      </c>
      <c r="L125" s="265" t="s">
        <v>1445</v>
      </c>
      <c r="M125" s="265" t="s">
        <v>1445</v>
      </c>
      <c r="N125" s="265" t="s">
        <v>1445</v>
      </c>
      <c r="O125" s="264">
        <f t="shared" si="1"/>
        <v>0</v>
      </c>
    </row>
    <row r="126" spans="1:15" x14ac:dyDescent="0.3">
      <c r="A126" s="165" t="s">
        <v>1613</v>
      </c>
      <c r="B126" s="265"/>
      <c r="C126" s="265" t="str">
        <f>IFERROR(VLOOKUP(B126,Таблица1[#All],2,FALSE),"-")</f>
        <v>-</v>
      </c>
      <c r="D126" s="265"/>
      <c r="E126" s="265"/>
      <c r="F126" s="265"/>
      <c r="G126" s="265" t="str">
        <f>IFERROR(VLOOKUP(F126,Таблица3[#All],2,FALSE),"-")</f>
        <v>-</v>
      </c>
      <c r="H126" s="265">
        <v>0</v>
      </c>
      <c r="I126" s="265"/>
      <c r="J126" s="265">
        <v>0</v>
      </c>
      <c r="K126" s="265" t="s">
        <v>1445</v>
      </c>
      <c r="L126" s="265" t="s">
        <v>1445</v>
      </c>
      <c r="M126" s="265" t="s">
        <v>1445</v>
      </c>
      <c r="N126" s="265" t="s">
        <v>1445</v>
      </c>
      <c r="O126" s="264">
        <f t="shared" si="1"/>
        <v>0</v>
      </c>
    </row>
    <row r="127" spans="1:15" x14ac:dyDescent="0.3">
      <c r="A127" s="165" t="s">
        <v>1614</v>
      </c>
      <c r="B127" s="265"/>
      <c r="C127" s="265" t="str">
        <f>IFERROR(VLOOKUP(B127,Таблица1[#All],2,FALSE),"-")</f>
        <v>-</v>
      </c>
      <c r="D127" s="265"/>
      <c r="E127" s="265"/>
      <c r="F127" s="265"/>
      <c r="G127" s="265" t="str">
        <f>IFERROR(VLOOKUP(F127,Таблица3[#All],2,FALSE),"-")</f>
        <v>-</v>
      </c>
      <c r="H127" s="265">
        <v>0</v>
      </c>
      <c r="I127" s="265"/>
      <c r="J127" s="265">
        <v>0</v>
      </c>
      <c r="K127" s="265" t="s">
        <v>1445</v>
      </c>
      <c r="L127" s="265" t="s">
        <v>1445</v>
      </c>
      <c r="M127" s="265" t="s">
        <v>1445</v>
      </c>
      <c r="N127" s="265" t="s">
        <v>1445</v>
      </c>
      <c r="O127" s="264">
        <f t="shared" si="1"/>
        <v>0</v>
      </c>
    </row>
    <row r="128" spans="1:15" x14ac:dyDescent="0.3">
      <c r="A128" s="165" t="s">
        <v>1615</v>
      </c>
      <c r="B128" s="265"/>
      <c r="C128" s="265" t="str">
        <f>IFERROR(VLOOKUP(B128,Таблица1[#All],2,FALSE),"-")</f>
        <v>-</v>
      </c>
      <c r="D128" s="265"/>
      <c r="E128" s="265"/>
      <c r="F128" s="265"/>
      <c r="G128" s="265" t="str">
        <f>IFERROR(VLOOKUP(F128,Таблица3[#All],2,FALSE),"-")</f>
        <v>-</v>
      </c>
      <c r="H128" s="265">
        <v>0</v>
      </c>
      <c r="I128" s="265"/>
      <c r="J128" s="265">
        <v>0</v>
      </c>
      <c r="K128" s="265" t="s">
        <v>1445</v>
      </c>
      <c r="L128" s="265" t="s">
        <v>1445</v>
      </c>
      <c r="M128" s="265" t="s">
        <v>1445</v>
      </c>
      <c r="N128" s="265" t="s">
        <v>1445</v>
      </c>
      <c r="O128" s="264">
        <f t="shared" si="1"/>
        <v>0</v>
      </c>
    </row>
    <row r="129" spans="1:15" x14ac:dyDescent="0.3">
      <c r="A129" s="165" t="s">
        <v>1616</v>
      </c>
      <c r="B129" s="265"/>
      <c r="C129" s="265" t="str">
        <f>IFERROR(VLOOKUP(B129,Таблица1[#All],2,FALSE),"-")</f>
        <v>-</v>
      </c>
      <c r="D129" s="265"/>
      <c r="E129" s="265"/>
      <c r="F129" s="265"/>
      <c r="G129" s="265" t="str">
        <f>IFERROR(VLOOKUP(F129,Таблица3[#All],2,FALSE),"-")</f>
        <v>-</v>
      </c>
      <c r="H129" s="265">
        <v>0</v>
      </c>
      <c r="I129" s="265"/>
      <c r="J129" s="265">
        <v>0</v>
      </c>
      <c r="K129" s="265" t="s">
        <v>1445</v>
      </c>
      <c r="L129" s="265" t="s">
        <v>1445</v>
      </c>
      <c r="M129" s="265" t="s">
        <v>1445</v>
      </c>
      <c r="N129" s="265" t="s">
        <v>1445</v>
      </c>
      <c r="O129" s="264">
        <f t="shared" si="1"/>
        <v>0</v>
      </c>
    </row>
    <row r="130" spans="1:15" x14ac:dyDescent="0.3">
      <c r="A130" s="165" t="s">
        <v>1617</v>
      </c>
      <c r="B130" s="265"/>
      <c r="C130" s="265" t="str">
        <f>IFERROR(VLOOKUP(B130,Таблица1[#All],2,FALSE),"-")</f>
        <v>-</v>
      </c>
      <c r="D130" s="265"/>
      <c r="E130" s="265"/>
      <c r="F130" s="265"/>
      <c r="G130" s="265" t="str">
        <f>IFERROR(VLOOKUP(F130,Таблица3[#All],2,FALSE),"-")</f>
        <v>-</v>
      </c>
      <c r="H130" s="265">
        <v>0</v>
      </c>
      <c r="I130" s="265"/>
      <c r="J130" s="265">
        <v>0</v>
      </c>
      <c r="K130" s="265" t="s">
        <v>1445</v>
      </c>
      <c r="L130" s="265" t="s">
        <v>1445</v>
      </c>
      <c r="M130" s="265" t="s">
        <v>1445</v>
      </c>
      <c r="N130" s="265" t="s">
        <v>1445</v>
      </c>
      <c r="O130" s="264">
        <f t="shared" ref="O130:O193" si="2">$R$8*I130*(IF(K130="Да",1,0)*$R$9+IF(L130="Да",1,0)*$R$10+IF(M130="Да",1,0)*$R$11+IF(N130="Да",1,0)*$R$12)*J130*IF($R$3="Да",0.5,1)+$R$8*H130*(IF(K130="Да",1,0)*$R$9+IF(L130="Да",1,0)*$R$10+IF(M130="Да",1,0)*$R$11+IF(N130="Да",1,0)*$R$12)*IF($R$3="Да",0.5,1)</f>
        <v>0</v>
      </c>
    </row>
    <row r="131" spans="1:15" x14ac:dyDescent="0.3">
      <c r="A131" s="165" t="s">
        <v>1618</v>
      </c>
      <c r="B131" s="265"/>
      <c r="C131" s="265" t="str">
        <f>IFERROR(VLOOKUP(B131,Таблица1[#All],2,FALSE),"-")</f>
        <v>-</v>
      </c>
      <c r="D131" s="265"/>
      <c r="E131" s="265"/>
      <c r="F131" s="265"/>
      <c r="G131" s="265" t="str">
        <f>IFERROR(VLOOKUP(F131,Таблица3[#All],2,FALSE),"-")</f>
        <v>-</v>
      </c>
      <c r="H131" s="265">
        <v>0</v>
      </c>
      <c r="I131" s="265"/>
      <c r="J131" s="265">
        <v>0</v>
      </c>
      <c r="K131" s="265" t="s">
        <v>1445</v>
      </c>
      <c r="L131" s="265" t="s">
        <v>1445</v>
      </c>
      <c r="M131" s="265" t="s">
        <v>1445</v>
      </c>
      <c r="N131" s="265" t="s">
        <v>1445</v>
      </c>
      <c r="O131" s="264">
        <f t="shared" si="2"/>
        <v>0</v>
      </c>
    </row>
    <row r="132" spans="1:15" x14ac:dyDescent="0.3">
      <c r="A132" s="165" t="s">
        <v>1619</v>
      </c>
      <c r="B132" s="265"/>
      <c r="C132" s="265" t="str">
        <f>IFERROR(VLOOKUP(B132,Таблица1[#All],2,FALSE),"-")</f>
        <v>-</v>
      </c>
      <c r="D132" s="265"/>
      <c r="E132" s="265"/>
      <c r="F132" s="265"/>
      <c r="G132" s="265" t="str">
        <f>IFERROR(VLOOKUP(F132,Таблица3[#All],2,FALSE),"-")</f>
        <v>-</v>
      </c>
      <c r="H132" s="265">
        <v>0</v>
      </c>
      <c r="I132" s="265"/>
      <c r="J132" s="265">
        <v>0</v>
      </c>
      <c r="K132" s="265" t="s">
        <v>1445</v>
      </c>
      <c r="L132" s="265" t="s">
        <v>1445</v>
      </c>
      <c r="M132" s="265" t="s">
        <v>1445</v>
      </c>
      <c r="N132" s="265" t="s">
        <v>1445</v>
      </c>
      <c r="O132" s="264">
        <f t="shared" si="2"/>
        <v>0</v>
      </c>
    </row>
    <row r="133" spans="1:15" x14ac:dyDescent="0.3">
      <c r="A133" s="165" t="s">
        <v>1620</v>
      </c>
      <c r="B133" s="265"/>
      <c r="C133" s="265" t="str">
        <f>IFERROR(VLOOKUP(B133,Таблица1[#All],2,FALSE),"-")</f>
        <v>-</v>
      </c>
      <c r="D133" s="265"/>
      <c r="E133" s="265"/>
      <c r="F133" s="265"/>
      <c r="G133" s="265" t="str">
        <f>IFERROR(VLOOKUP(F133,Таблица3[#All],2,FALSE),"-")</f>
        <v>-</v>
      </c>
      <c r="H133" s="265">
        <v>0</v>
      </c>
      <c r="I133" s="265"/>
      <c r="J133" s="265">
        <v>0</v>
      </c>
      <c r="K133" s="265" t="s">
        <v>1445</v>
      </c>
      <c r="L133" s="265" t="s">
        <v>1445</v>
      </c>
      <c r="M133" s="265" t="s">
        <v>1445</v>
      </c>
      <c r="N133" s="265" t="s">
        <v>1445</v>
      </c>
      <c r="O133" s="264">
        <f t="shared" si="2"/>
        <v>0</v>
      </c>
    </row>
    <row r="134" spans="1:15" x14ac:dyDescent="0.3">
      <c r="A134" s="165" t="s">
        <v>1621</v>
      </c>
      <c r="B134" s="265"/>
      <c r="C134" s="265" t="str">
        <f>IFERROR(VLOOKUP(B134,Таблица1[#All],2,FALSE),"-")</f>
        <v>-</v>
      </c>
      <c r="D134" s="265"/>
      <c r="E134" s="265"/>
      <c r="F134" s="265"/>
      <c r="G134" s="265" t="str">
        <f>IFERROR(VLOOKUP(F134,Таблица3[#All],2,FALSE),"-")</f>
        <v>-</v>
      </c>
      <c r="H134" s="265">
        <v>0</v>
      </c>
      <c r="I134" s="265"/>
      <c r="J134" s="265">
        <v>0</v>
      </c>
      <c r="K134" s="265" t="s">
        <v>1445</v>
      </c>
      <c r="L134" s="265" t="s">
        <v>1445</v>
      </c>
      <c r="M134" s="265" t="s">
        <v>1445</v>
      </c>
      <c r="N134" s="265" t="s">
        <v>1445</v>
      </c>
      <c r="O134" s="264">
        <f t="shared" si="2"/>
        <v>0</v>
      </c>
    </row>
    <row r="135" spans="1:15" x14ac:dyDescent="0.3">
      <c r="A135" s="165" t="s">
        <v>1622</v>
      </c>
      <c r="B135" s="265"/>
      <c r="C135" s="265" t="str">
        <f>IFERROR(VLOOKUP(B135,Таблица1[#All],2,FALSE),"-")</f>
        <v>-</v>
      </c>
      <c r="D135" s="265"/>
      <c r="E135" s="265"/>
      <c r="F135" s="265"/>
      <c r="G135" s="265" t="str">
        <f>IFERROR(VLOOKUP(F135,Таблица3[#All],2,FALSE),"-")</f>
        <v>-</v>
      </c>
      <c r="H135" s="265">
        <v>0</v>
      </c>
      <c r="I135" s="265"/>
      <c r="J135" s="265">
        <v>0</v>
      </c>
      <c r="K135" s="265" t="s">
        <v>1445</v>
      </c>
      <c r="L135" s="265" t="s">
        <v>1445</v>
      </c>
      <c r="M135" s="265" t="s">
        <v>1445</v>
      </c>
      <c r="N135" s="265" t="s">
        <v>1445</v>
      </c>
      <c r="O135" s="264">
        <f t="shared" si="2"/>
        <v>0</v>
      </c>
    </row>
    <row r="136" spans="1:15" x14ac:dyDescent="0.3">
      <c r="A136" s="165" t="s">
        <v>1623</v>
      </c>
      <c r="B136" s="265"/>
      <c r="C136" s="265" t="str">
        <f>IFERROR(VLOOKUP(B136,Таблица1[#All],2,FALSE),"-")</f>
        <v>-</v>
      </c>
      <c r="D136" s="265"/>
      <c r="E136" s="265"/>
      <c r="F136" s="265"/>
      <c r="G136" s="265" t="str">
        <f>IFERROR(VLOOKUP(F136,Таблица3[#All],2,FALSE),"-")</f>
        <v>-</v>
      </c>
      <c r="H136" s="265">
        <v>0</v>
      </c>
      <c r="I136" s="265"/>
      <c r="J136" s="265">
        <v>0</v>
      </c>
      <c r="K136" s="265" t="s">
        <v>1445</v>
      </c>
      <c r="L136" s="265" t="s">
        <v>1445</v>
      </c>
      <c r="M136" s="265" t="s">
        <v>1445</v>
      </c>
      <c r="N136" s="265" t="s">
        <v>1445</v>
      </c>
      <c r="O136" s="264">
        <f t="shared" si="2"/>
        <v>0</v>
      </c>
    </row>
    <row r="137" spans="1:15" x14ac:dyDescent="0.3">
      <c r="A137" s="165" t="s">
        <v>1624</v>
      </c>
      <c r="B137" s="265"/>
      <c r="C137" s="265" t="str">
        <f>IFERROR(VLOOKUP(B137,Таблица1[#All],2,FALSE),"-")</f>
        <v>-</v>
      </c>
      <c r="D137" s="265"/>
      <c r="E137" s="265"/>
      <c r="F137" s="265"/>
      <c r="G137" s="265" t="str">
        <f>IFERROR(VLOOKUP(F137,Таблица3[#All],2,FALSE),"-")</f>
        <v>-</v>
      </c>
      <c r="H137" s="265">
        <v>0</v>
      </c>
      <c r="I137" s="265"/>
      <c r="J137" s="265">
        <v>0</v>
      </c>
      <c r="K137" s="265" t="s">
        <v>1445</v>
      </c>
      <c r="L137" s="265" t="s">
        <v>1445</v>
      </c>
      <c r="M137" s="265" t="s">
        <v>1445</v>
      </c>
      <c r="N137" s="265" t="s">
        <v>1445</v>
      </c>
      <c r="O137" s="264">
        <f t="shared" si="2"/>
        <v>0</v>
      </c>
    </row>
    <row r="138" spans="1:15" x14ac:dyDescent="0.3">
      <c r="A138" s="165" t="s">
        <v>1625</v>
      </c>
      <c r="B138" s="265"/>
      <c r="C138" s="265" t="str">
        <f>IFERROR(VLOOKUP(B138,Таблица1[#All],2,FALSE),"-")</f>
        <v>-</v>
      </c>
      <c r="D138" s="265"/>
      <c r="E138" s="265"/>
      <c r="F138" s="265"/>
      <c r="G138" s="265" t="str">
        <f>IFERROR(VLOOKUP(F138,Таблица3[#All],2,FALSE),"-")</f>
        <v>-</v>
      </c>
      <c r="H138" s="265">
        <v>0</v>
      </c>
      <c r="I138" s="265"/>
      <c r="J138" s="265">
        <v>0</v>
      </c>
      <c r="K138" s="265" t="s">
        <v>1445</v>
      </c>
      <c r="L138" s="265" t="s">
        <v>1445</v>
      </c>
      <c r="M138" s="265" t="s">
        <v>1445</v>
      </c>
      <c r="N138" s="265" t="s">
        <v>1445</v>
      </c>
      <c r="O138" s="264">
        <f t="shared" si="2"/>
        <v>0</v>
      </c>
    </row>
    <row r="139" spans="1:15" x14ac:dyDescent="0.3">
      <c r="A139" s="165" t="s">
        <v>1626</v>
      </c>
      <c r="B139" s="265"/>
      <c r="C139" s="265" t="str">
        <f>IFERROR(VLOOKUP(B139,Таблица1[#All],2,FALSE),"-")</f>
        <v>-</v>
      </c>
      <c r="D139" s="265"/>
      <c r="E139" s="265"/>
      <c r="F139" s="265"/>
      <c r="G139" s="265" t="str">
        <f>IFERROR(VLOOKUP(F139,Таблица3[#All],2,FALSE),"-")</f>
        <v>-</v>
      </c>
      <c r="H139" s="265">
        <v>0</v>
      </c>
      <c r="I139" s="265"/>
      <c r="J139" s="265">
        <v>0</v>
      </c>
      <c r="K139" s="265" t="s">
        <v>1445</v>
      </c>
      <c r="L139" s="265" t="s">
        <v>1445</v>
      </c>
      <c r="M139" s="265" t="s">
        <v>1445</v>
      </c>
      <c r="N139" s="265" t="s">
        <v>1445</v>
      </c>
      <c r="O139" s="264">
        <f t="shared" si="2"/>
        <v>0</v>
      </c>
    </row>
    <row r="140" spans="1:15" x14ac:dyDescent="0.3">
      <c r="A140" s="165" t="s">
        <v>1627</v>
      </c>
      <c r="B140" s="265"/>
      <c r="C140" s="265" t="str">
        <f>IFERROR(VLOOKUP(B140,Таблица1[#All],2,FALSE),"-")</f>
        <v>-</v>
      </c>
      <c r="D140" s="265"/>
      <c r="E140" s="265"/>
      <c r="F140" s="265"/>
      <c r="G140" s="265" t="str">
        <f>IFERROR(VLOOKUP(F140,Таблица3[#All],2,FALSE),"-")</f>
        <v>-</v>
      </c>
      <c r="H140" s="265">
        <v>0</v>
      </c>
      <c r="I140" s="265"/>
      <c r="J140" s="265">
        <v>0</v>
      </c>
      <c r="K140" s="265" t="s">
        <v>1445</v>
      </c>
      <c r="L140" s="265" t="s">
        <v>1445</v>
      </c>
      <c r="M140" s="265" t="s">
        <v>1445</v>
      </c>
      <c r="N140" s="265" t="s">
        <v>1445</v>
      </c>
      <c r="O140" s="264">
        <f t="shared" si="2"/>
        <v>0</v>
      </c>
    </row>
    <row r="141" spans="1:15" x14ac:dyDescent="0.3">
      <c r="A141" s="165" t="s">
        <v>1628</v>
      </c>
      <c r="B141" s="265"/>
      <c r="C141" s="265" t="str">
        <f>IFERROR(VLOOKUP(B141,Таблица1[#All],2,FALSE),"-")</f>
        <v>-</v>
      </c>
      <c r="D141" s="265"/>
      <c r="E141" s="265"/>
      <c r="F141" s="265"/>
      <c r="G141" s="265" t="str">
        <f>IFERROR(VLOOKUP(F141,Таблица3[#All],2,FALSE),"-")</f>
        <v>-</v>
      </c>
      <c r="H141" s="265">
        <v>0</v>
      </c>
      <c r="I141" s="265"/>
      <c r="J141" s="265">
        <v>0</v>
      </c>
      <c r="K141" s="265" t="s">
        <v>1445</v>
      </c>
      <c r="L141" s="265" t="s">
        <v>1445</v>
      </c>
      <c r="M141" s="265" t="s">
        <v>1445</v>
      </c>
      <c r="N141" s="265" t="s">
        <v>1445</v>
      </c>
      <c r="O141" s="264">
        <f t="shared" si="2"/>
        <v>0</v>
      </c>
    </row>
    <row r="142" spans="1:15" x14ac:dyDescent="0.3">
      <c r="A142" s="165" t="s">
        <v>1629</v>
      </c>
      <c r="B142" s="265"/>
      <c r="C142" s="265" t="str">
        <f>IFERROR(VLOOKUP(B142,Таблица1[#All],2,FALSE),"-")</f>
        <v>-</v>
      </c>
      <c r="D142" s="265"/>
      <c r="E142" s="265"/>
      <c r="F142" s="265"/>
      <c r="G142" s="265" t="str">
        <f>IFERROR(VLOOKUP(F142,Таблица3[#All],2,FALSE),"-")</f>
        <v>-</v>
      </c>
      <c r="H142" s="265">
        <v>0</v>
      </c>
      <c r="I142" s="265"/>
      <c r="J142" s="265">
        <v>0</v>
      </c>
      <c r="K142" s="265" t="s">
        <v>1445</v>
      </c>
      <c r="L142" s="265" t="s">
        <v>1445</v>
      </c>
      <c r="M142" s="265" t="s">
        <v>1445</v>
      </c>
      <c r="N142" s="265" t="s">
        <v>1445</v>
      </c>
      <c r="O142" s="264">
        <f t="shared" si="2"/>
        <v>0</v>
      </c>
    </row>
    <row r="143" spans="1:15" x14ac:dyDescent="0.3">
      <c r="A143" s="165" t="s">
        <v>1630</v>
      </c>
      <c r="B143" s="265"/>
      <c r="C143" s="265" t="str">
        <f>IFERROR(VLOOKUP(B143,Таблица1[#All],2,FALSE),"-")</f>
        <v>-</v>
      </c>
      <c r="D143" s="265"/>
      <c r="E143" s="265"/>
      <c r="F143" s="265"/>
      <c r="G143" s="265" t="str">
        <f>IFERROR(VLOOKUP(F143,Таблица3[#All],2,FALSE),"-")</f>
        <v>-</v>
      </c>
      <c r="H143" s="265">
        <v>0</v>
      </c>
      <c r="I143" s="265"/>
      <c r="J143" s="265">
        <v>0</v>
      </c>
      <c r="K143" s="265" t="s">
        <v>1445</v>
      </c>
      <c r="L143" s="265" t="s">
        <v>1445</v>
      </c>
      <c r="M143" s="265" t="s">
        <v>1445</v>
      </c>
      <c r="N143" s="265" t="s">
        <v>1445</v>
      </c>
      <c r="O143" s="264">
        <f t="shared" si="2"/>
        <v>0</v>
      </c>
    </row>
    <row r="144" spans="1:15" x14ac:dyDescent="0.3">
      <c r="A144" s="165" t="s">
        <v>1631</v>
      </c>
      <c r="B144" s="265"/>
      <c r="C144" s="265" t="str">
        <f>IFERROR(VLOOKUP(B144,Таблица1[#All],2,FALSE),"-")</f>
        <v>-</v>
      </c>
      <c r="D144" s="265"/>
      <c r="E144" s="265"/>
      <c r="F144" s="265"/>
      <c r="G144" s="265" t="str">
        <f>IFERROR(VLOOKUP(F144,Таблица3[#All],2,FALSE),"-")</f>
        <v>-</v>
      </c>
      <c r="H144" s="265">
        <v>0</v>
      </c>
      <c r="I144" s="265"/>
      <c r="J144" s="265">
        <v>0</v>
      </c>
      <c r="K144" s="265" t="s">
        <v>1445</v>
      </c>
      <c r="L144" s="265" t="s">
        <v>1445</v>
      </c>
      <c r="M144" s="265" t="s">
        <v>1445</v>
      </c>
      <c r="N144" s="265" t="s">
        <v>1445</v>
      </c>
      <c r="O144" s="264">
        <f t="shared" si="2"/>
        <v>0</v>
      </c>
    </row>
    <row r="145" spans="1:15" x14ac:dyDescent="0.3">
      <c r="A145" s="165" t="s">
        <v>1632</v>
      </c>
      <c r="B145" s="265"/>
      <c r="C145" s="265" t="str">
        <f>IFERROR(VLOOKUP(B145,Таблица1[#All],2,FALSE),"-")</f>
        <v>-</v>
      </c>
      <c r="D145" s="265"/>
      <c r="E145" s="265"/>
      <c r="F145" s="265"/>
      <c r="G145" s="265" t="str">
        <f>IFERROR(VLOOKUP(F145,Таблица3[#All],2,FALSE),"-")</f>
        <v>-</v>
      </c>
      <c r="H145" s="265">
        <v>0</v>
      </c>
      <c r="I145" s="265"/>
      <c r="J145" s="265">
        <v>0</v>
      </c>
      <c r="K145" s="265" t="s">
        <v>1445</v>
      </c>
      <c r="L145" s="265" t="s">
        <v>1445</v>
      </c>
      <c r="M145" s="265" t="s">
        <v>1445</v>
      </c>
      <c r="N145" s="265" t="s">
        <v>1445</v>
      </c>
      <c r="O145" s="264">
        <f t="shared" si="2"/>
        <v>0</v>
      </c>
    </row>
    <row r="146" spans="1:15" x14ac:dyDescent="0.3">
      <c r="A146" s="165" t="s">
        <v>1633</v>
      </c>
      <c r="B146" s="265"/>
      <c r="C146" s="265" t="str">
        <f>IFERROR(VLOOKUP(B146,Таблица1[#All],2,FALSE),"-")</f>
        <v>-</v>
      </c>
      <c r="D146" s="265"/>
      <c r="E146" s="265"/>
      <c r="F146" s="265"/>
      <c r="G146" s="265" t="str">
        <f>IFERROR(VLOOKUP(F146,Таблица3[#All],2,FALSE),"-")</f>
        <v>-</v>
      </c>
      <c r="H146" s="265">
        <v>0</v>
      </c>
      <c r="I146" s="265"/>
      <c r="J146" s="265">
        <v>0</v>
      </c>
      <c r="K146" s="265" t="s">
        <v>1445</v>
      </c>
      <c r="L146" s="265" t="s">
        <v>1445</v>
      </c>
      <c r="M146" s="265" t="s">
        <v>1445</v>
      </c>
      <c r="N146" s="265" t="s">
        <v>1445</v>
      </c>
      <c r="O146" s="264">
        <f t="shared" si="2"/>
        <v>0</v>
      </c>
    </row>
    <row r="147" spans="1:15" x14ac:dyDescent="0.3">
      <c r="A147" s="165" t="s">
        <v>1634</v>
      </c>
      <c r="B147" s="265"/>
      <c r="C147" s="265" t="str">
        <f>IFERROR(VLOOKUP(B147,Таблица1[#All],2,FALSE),"-")</f>
        <v>-</v>
      </c>
      <c r="D147" s="265"/>
      <c r="E147" s="265"/>
      <c r="F147" s="265"/>
      <c r="G147" s="265" t="str">
        <f>IFERROR(VLOOKUP(F147,Таблица3[#All],2,FALSE),"-")</f>
        <v>-</v>
      </c>
      <c r="H147" s="265">
        <v>0</v>
      </c>
      <c r="I147" s="265"/>
      <c r="J147" s="265">
        <v>0</v>
      </c>
      <c r="K147" s="265" t="s">
        <v>1445</v>
      </c>
      <c r="L147" s="265" t="s">
        <v>1445</v>
      </c>
      <c r="M147" s="265" t="s">
        <v>1445</v>
      </c>
      <c r="N147" s="265" t="s">
        <v>1445</v>
      </c>
      <c r="O147" s="264">
        <f t="shared" si="2"/>
        <v>0</v>
      </c>
    </row>
    <row r="148" spans="1:15" x14ac:dyDescent="0.3">
      <c r="A148" s="165" t="s">
        <v>1635</v>
      </c>
      <c r="B148" s="265"/>
      <c r="C148" s="265" t="str">
        <f>IFERROR(VLOOKUP(B148,Таблица1[#All],2,FALSE),"-")</f>
        <v>-</v>
      </c>
      <c r="D148" s="265"/>
      <c r="E148" s="265"/>
      <c r="F148" s="265"/>
      <c r="G148" s="265" t="str">
        <f>IFERROR(VLOOKUP(F148,Таблица3[#All],2,FALSE),"-")</f>
        <v>-</v>
      </c>
      <c r="H148" s="265">
        <v>0</v>
      </c>
      <c r="I148" s="265"/>
      <c r="J148" s="265">
        <v>0</v>
      </c>
      <c r="K148" s="265" t="s">
        <v>1445</v>
      </c>
      <c r="L148" s="265" t="s">
        <v>1445</v>
      </c>
      <c r="M148" s="265" t="s">
        <v>1445</v>
      </c>
      <c r="N148" s="265" t="s">
        <v>1445</v>
      </c>
      <c r="O148" s="264">
        <f t="shared" si="2"/>
        <v>0</v>
      </c>
    </row>
    <row r="149" spans="1:15" x14ac:dyDescent="0.3">
      <c r="A149" s="165" t="s">
        <v>1636</v>
      </c>
      <c r="B149" s="265"/>
      <c r="C149" s="265" t="str">
        <f>IFERROR(VLOOKUP(B149,Таблица1[#All],2,FALSE),"-")</f>
        <v>-</v>
      </c>
      <c r="D149" s="265"/>
      <c r="E149" s="265"/>
      <c r="F149" s="265"/>
      <c r="G149" s="265" t="str">
        <f>IFERROR(VLOOKUP(F149,Таблица3[#All],2,FALSE),"-")</f>
        <v>-</v>
      </c>
      <c r="H149" s="265">
        <v>0</v>
      </c>
      <c r="I149" s="265"/>
      <c r="J149" s="265">
        <v>0</v>
      </c>
      <c r="K149" s="265" t="s">
        <v>1445</v>
      </c>
      <c r="L149" s="265" t="s">
        <v>1445</v>
      </c>
      <c r="M149" s="265" t="s">
        <v>1445</v>
      </c>
      <c r="N149" s="265" t="s">
        <v>1445</v>
      </c>
      <c r="O149" s="264">
        <f t="shared" si="2"/>
        <v>0</v>
      </c>
    </row>
    <row r="150" spans="1:15" x14ac:dyDescent="0.3">
      <c r="A150" s="165" t="s">
        <v>1637</v>
      </c>
      <c r="B150" s="265"/>
      <c r="C150" s="265" t="str">
        <f>IFERROR(VLOOKUP(B150,Таблица1[#All],2,FALSE),"-")</f>
        <v>-</v>
      </c>
      <c r="D150" s="265"/>
      <c r="E150" s="265"/>
      <c r="F150" s="265"/>
      <c r="G150" s="265" t="str">
        <f>IFERROR(VLOOKUP(F150,Таблица3[#All],2,FALSE),"-")</f>
        <v>-</v>
      </c>
      <c r="H150" s="265">
        <v>0</v>
      </c>
      <c r="I150" s="265"/>
      <c r="J150" s="265">
        <v>0</v>
      </c>
      <c r="K150" s="265" t="s">
        <v>1445</v>
      </c>
      <c r="L150" s="265" t="s">
        <v>1445</v>
      </c>
      <c r="M150" s="265" t="s">
        <v>1445</v>
      </c>
      <c r="N150" s="265" t="s">
        <v>1445</v>
      </c>
      <c r="O150" s="264">
        <f t="shared" si="2"/>
        <v>0</v>
      </c>
    </row>
    <row r="151" spans="1:15" x14ac:dyDescent="0.3">
      <c r="A151" s="165" t="s">
        <v>1638</v>
      </c>
      <c r="B151" s="265"/>
      <c r="C151" s="265" t="str">
        <f>IFERROR(VLOOKUP(B151,Таблица1[#All],2,FALSE),"-")</f>
        <v>-</v>
      </c>
      <c r="D151" s="265"/>
      <c r="E151" s="265"/>
      <c r="F151" s="265"/>
      <c r="G151" s="265" t="str">
        <f>IFERROR(VLOOKUP(F151,Таблица3[#All],2,FALSE),"-")</f>
        <v>-</v>
      </c>
      <c r="H151" s="265">
        <v>0</v>
      </c>
      <c r="I151" s="265"/>
      <c r="J151" s="265">
        <v>0</v>
      </c>
      <c r="K151" s="265" t="s">
        <v>1445</v>
      </c>
      <c r="L151" s="265" t="s">
        <v>1445</v>
      </c>
      <c r="M151" s="265" t="s">
        <v>1445</v>
      </c>
      <c r="N151" s="265" t="s">
        <v>1445</v>
      </c>
      <c r="O151" s="264">
        <f t="shared" si="2"/>
        <v>0</v>
      </c>
    </row>
    <row r="152" spans="1:15" x14ac:dyDescent="0.3">
      <c r="A152" s="165" t="s">
        <v>1639</v>
      </c>
      <c r="B152" s="265"/>
      <c r="C152" s="265" t="str">
        <f>IFERROR(VLOOKUP(B152,Таблица1[#All],2,FALSE),"-")</f>
        <v>-</v>
      </c>
      <c r="D152" s="265"/>
      <c r="E152" s="265"/>
      <c r="F152" s="265"/>
      <c r="G152" s="265" t="str">
        <f>IFERROR(VLOOKUP(F152,Таблица3[#All],2,FALSE),"-")</f>
        <v>-</v>
      </c>
      <c r="H152" s="265">
        <v>0</v>
      </c>
      <c r="I152" s="265"/>
      <c r="J152" s="265">
        <v>0</v>
      </c>
      <c r="K152" s="265" t="s">
        <v>1445</v>
      </c>
      <c r="L152" s="265" t="s">
        <v>1445</v>
      </c>
      <c r="M152" s="265" t="s">
        <v>1445</v>
      </c>
      <c r="N152" s="265" t="s">
        <v>1445</v>
      </c>
      <c r="O152" s="264">
        <f t="shared" si="2"/>
        <v>0</v>
      </c>
    </row>
    <row r="153" spans="1:15" x14ac:dyDescent="0.3">
      <c r="A153" s="165" t="s">
        <v>1640</v>
      </c>
      <c r="B153" s="265"/>
      <c r="C153" s="265" t="str">
        <f>IFERROR(VLOOKUP(B153,Таблица1[#All],2,FALSE),"-")</f>
        <v>-</v>
      </c>
      <c r="D153" s="265"/>
      <c r="E153" s="265"/>
      <c r="F153" s="265"/>
      <c r="G153" s="265" t="str">
        <f>IFERROR(VLOOKUP(F153,Таблица3[#All],2,FALSE),"-")</f>
        <v>-</v>
      </c>
      <c r="H153" s="265">
        <v>0</v>
      </c>
      <c r="I153" s="265"/>
      <c r="J153" s="265">
        <v>0</v>
      </c>
      <c r="K153" s="265" t="s">
        <v>1445</v>
      </c>
      <c r="L153" s="265" t="s">
        <v>1445</v>
      </c>
      <c r="M153" s="265" t="s">
        <v>1445</v>
      </c>
      <c r="N153" s="265" t="s">
        <v>1445</v>
      </c>
      <c r="O153" s="264">
        <f t="shared" si="2"/>
        <v>0</v>
      </c>
    </row>
    <row r="154" spans="1:15" x14ac:dyDescent="0.3">
      <c r="A154" s="165" t="s">
        <v>1641</v>
      </c>
      <c r="B154" s="265"/>
      <c r="C154" s="265" t="str">
        <f>IFERROR(VLOOKUP(B154,Таблица1[#All],2,FALSE),"-")</f>
        <v>-</v>
      </c>
      <c r="D154" s="265"/>
      <c r="E154" s="265"/>
      <c r="F154" s="265"/>
      <c r="G154" s="265" t="str">
        <f>IFERROR(VLOOKUP(F154,Таблица3[#All],2,FALSE),"-")</f>
        <v>-</v>
      </c>
      <c r="H154" s="265">
        <v>0</v>
      </c>
      <c r="I154" s="265"/>
      <c r="J154" s="265">
        <v>0</v>
      </c>
      <c r="K154" s="265" t="s">
        <v>1445</v>
      </c>
      <c r="L154" s="265" t="s">
        <v>1445</v>
      </c>
      <c r="M154" s="265" t="s">
        <v>1445</v>
      </c>
      <c r="N154" s="265" t="s">
        <v>1445</v>
      </c>
      <c r="O154" s="264">
        <f t="shared" si="2"/>
        <v>0</v>
      </c>
    </row>
    <row r="155" spans="1:15" x14ac:dyDescent="0.3">
      <c r="A155" s="165" t="s">
        <v>1642</v>
      </c>
      <c r="B155" s="265"/>
      <c r="C155" s="265" t="str">
        <f>IFERROR(VLOOKUP(B155,Таблица1[#All],2,FALSE),"-")</f>
        <v>-</v>
      </c>
      <c r="D155" s="265"/>
      <c r="E155" s="265"/>
      <c r="F155" s="265"/>
      <c r="G155" s="265" t="str">
        <f>IFERROR(VLOOKUP(F155,Таблица3[#All],2,FALSE),"-")</f>
        <v>-</v>
      </c>
      <c r="H155" s="265">
        <v>0</v>
      </c>
      <c r="I155" s="265"/>
      <c r="J155" s="265">
        <v>0</v>
      </c>
      <c r="K155" s="265" t="s">
        <v>1445</v>
      </c>
      <c r="L155" s="265" t="s">
        <v>1445</v>
      </c>
      <c r="M155" s="265" t="s">
        <v>1445</v>
      </c>
      <c r="N155" s="265" t="s">
        <v>1445</v>
      </c>
      <c r="O155" s="264">
        <f t="shared" si="2"/>
        <v>0</v>
      </c>
    </row>
    <row r="156" spans="1:15" x14ac:dyDescent="0.3">
      <c r="A156" s="165" t="s">
        <v>1643</v>
      </c>
      <c r="B156" s="265"/>
      <c r="C156" s="265" t="str">
        <f>IFERROR(VLOOKUP(B156,Таблица1[#All],2,FALSE),"-")</f>
        <v>-</v>
      </c>
      <c r="D156" s="265"/>
      <c r="E156" s="265"/>
      <c r="F156" s="265"/>
      <c r="G156" s="265" t="str">
        <f>IFERROR(VLOOKUP(F156,Таблица3[#All],2,FALSE),"-")</f>
        <v>-</v>
      </c>
      <c r="H156" s="265">
        <v>0</v>
      </c>
      <c r="I156" s="265"/>
      <c r="J156" s="265">
        <v>0</v>
      </c>
      <c r="K156" s="265" t="s">
        <v>1445</v>
      </c>
      <c r="L156" s="265" t="s">
        <v>1445</v>
      </c>
      <c r="M156" s="265" t="s">
        <v>1445</v>
      </c>
      <c r="N156" s="265" t="s">
        <v>1445</v>
      </c>
      <c r="O156" s="264">
        <f t="shared" si="2"/>
        <v>0</v>
      </c>
    </row>
    <row r="157" spans="1:15" x14ac:dyDescent="0.3">
      <c r="A157" s="165" t="s">
        <v>1644</v>
      </c>
      <c r="B157" s="265"/>
      <c r="C157" s="265" t="str">
        <f>IFERROR(VLOOKUP(B157,Таблица1[#All],2,FALSE),"-")</f>
        <v>-</v>
      </c>
      <c r="D157" s="265"/>
      <c r="E157" s="265"/>
      <c r="F157" s="265"/>
      <c r="G157" s="265" t="str">
        <f>IFERROR(VLOOKUP(F157,Таблица3[#All],2,FALSE),"-")</f>
        <v>-</v>
      </c>
      <c r="H157" s="265">
        <v>0</v>
      </c>
      <c r="I157" s="265"/>
      <c r="J157" s="265">
        <v>0</v>
      </c>
      <c r="K157" s="265" t="s">
        <v>1445</v>
      </c>
      <c r="L157" s="265" t="s">
        <v>1445</v>
      </c>
      <c r="M157" s="265" t="s">
        <v>1445</v>
      </c>
      <c r="N157" s="265" t="s">
        <v>1445</v>
      </c>
      <c r="O157" s="264">
        <f t="shared" si="2"/>
        <v>0</v>
      </c>
    </row>
    <row r="158" spans="1:15" x14ac:dyDescent="0.3">
      <c r="A158" s="165" t="s">
        <v>1645</v>
      </c>
      <c r="B158" s="265"/>
      <c r="C158" s="265" t="str">
        <f>IFERROR(VLOOKUP(B158,Таблица1[#All],2,FALSE),"-")</f>
        <v>-</v>
      </c>
      <c r="D158" s="265"/>
      <c r="E158" s="265"/>
      <c r="F158" s="265"/>
      <c r="G158" s="265" t="str">
        <f>IFERROR(VLOOKUP(F158,Таблица3[#All],2,FALSE),"-")</f>
        <v>-</v>
      </c>
      <c r="H158" s="265">
        <v>0</v>
      </c>
      <c r="I158" s="265"/>
      <c r="J158" s="265">
        <v>0</v>
      </c>
      <c r="K158" s="265" t="s">
        <v>1445</v>
      </c>
      <c r="L158" s="265" t="s">
        <v>1445</v>
      </c>
      <c r="M158" s="265" t="s">
        <v>1445</v>
      </c>
      <c r="N158" s="265" t="s">
        <v>1445</v>
      </c>
      <c r="O158" s="264">
        <f t="shared" si="2"/>
        <v>0</v>
      </c>
    </row>
    <row r="159" spans="1:15" x14ac:dyDescent="0.3">
      <c r="A159" s="165" t="s">
        <v>1646</v>
      </c>
      <c r="B159" s="265"/>
      <c r="C159" s="265" t="str">
        <f>IFERROR(VLOOKUP(B159,Таблица1[#All],2,FALSE),"-")</f>
        <v>-</v>
      </c>
      <c r="D159" s="265"/>
      <c r="E159" s="265"/>
      <c r="F159" s="265"/>
      <c r="G159" s="265" t="str">
        <f>IFERROR(VLOOKUP(F159,Таблица3[#All],2,FALSE),"-")</f>
        <v>-</v>
      </c>
      <c r="H159" s="265">
        <v>0</v>
      </c>
      <c r="I159" s="265"/>
      <c r="J159" s="265">
        <v>0</v>
      </c>
      <c r="K159" s="265" t="s">
        <v>1445</v>
      </c>
      <c r="L159" s="265" t="s">
        <v>1445</v>
      </c>
      <c r="M159" s="265" t="s">
        <v>1445</v>
      </c>
      <c r="N159" s="265" t="s">
        <v>1445</v>
      </c>
      <c r="O159" s="264">
        <f t="shared" si="2"/>
        <v>0</v>
      </c>
    </row>
    <row r="160" spans="1:15" x14ac:dyDescent="0.3">
      <c r="A160" s="165" t="s">
        <v>1647</v>
      </c>
      <c r="B160" s="265"/>
      <c r="C160" s="265" t="str">
        <f>IFERROR(VLOOKUP(B160,Таблица1[#All],2,FALSE),"-")</f>
        <v>-</v>
      </c>
      <c r="D160" s="265"/>
      <c r="E160" s="265"/>
      <c r="F160" s="265"/>
      <c r="G160" s="265" t="str">
        <f>IFERROR(VLOOKUP(F160,Таблица3[#All],2,FALSE),"-")</f>
        <v>-</v>
      </c>
      <c r="H160" s="265">
        <v>0</v>
      </c>
      <c r="I160" s="265"/>
      <c r="J160" s="265">
        <v>0</v>
      </c>
      <c r="K160" s="265" t="s">
        <v>1445</v>
      </c>
      <c r="L160" s="265" t="s">
        <v>1445</v>
      </c>
      <c r="M160" s="265" t="s">
        <v>1445</v>
      </c>
      <c r="N160" s="265" t="s">
        <v>1445</v>
      </c>
      <c r="O160" s="264">
        <f t="shared" si="2"/>
        <v>0</v>
      </c>
    </row>
    <row r="161" spans="1:15" x14ac:dyDescent="0.3">
      <c r="A161" s="165" t="s">
        <v>1648</v>
      </c>
      <c r="B161" s="265"/>
      <c r="C161" s="265" t="str">
        <f>IFERROR(VLOOKUP(B161,Таблица1[#All],2,FALSE),"-")</f>
        <v>-</v>
      </c>
      <c r="D161" s="265"/>
      <c r="E161" s="265"/>
      <c r="F161" s="265"/>
      <c r="G161" s="265" t="str">
        <f>IFERROR(VLOOKUP(F161,Таблица3[#All],2,FALSE),"-")</f>
        <v>-</v>
      </c>
      <c r="H161" s="265">
        <v>0</v>
      </c>
      <c r="I161" s="265"/>
      <c r="J161" s="265">
        <v>0</v>
      </c>
      <c r="K161" s="265" t="s">
        <v>1445</v>
      </c>
      <c r="L161" s="265" t="s">
        <v>1445</v>
      </c>
      <c r="M161" s="265" t="s">
        <v>1445</v>
      </c>
      <c r="N161" s="265" t="s">
        <v>1445</v>
      </c>
      <c r="O161" s="264">
        <f t="shared" si="2"/>
        <v>0</v>
      </c>
    </row>
    <row r="162" spans="1:15" x14ac:dyDescent="0.3">
      <c r="A162" s="165" t="s">
        <v>1649</v>
      </c>
      <c r="B162" s="265"/>
      <c r="C162" s="265" t="str">
        <f>IFERROR(VLOOKUP(B162,Таблица1[#All],2,FALSE),"-")</f>
        <v>-</v>
      </c>
      <c r="D162" s="265"/>
      <c r="E162" s="265"/>
      <c r="F162" s="265"/>
      <c r="G162" s="265" t="str">
        <f>IFERROR(VLOOKUP(F162,Таблица3[#All],2,FALSE),"-")</f>
        <v>-</v>
      </c>
      <c r="H162" s="265">
        <v>0</v>
      </c>
      <c r="I162" s="265"/>
      <c r="J162" s="265">
        <v>0</v>
      </c>
      <c r="K162" s="265" t="s">
        <v>1445</v>
      </c>
      <c r="L162" s="265" t="s">
        <v>1445</v>
      </c>
      <c r="M162" s="265" t="s">
        <v>1445</v>
      </c>
      <c r="N162" s="265" t="s">
        <v>1445</v>
      </c>
      <c r="O162" s="264">
        <f t="shared" si="2"/>
        <v>0</v>
      </c>
    </row>
    <row r="163" spans="1:15" x14ac:dyDescent="0.3">
      <c r="A163" s="165" t="s">
        <v>1650</v>
      </c>
      <c r="B163" s="265"/>
      <c r="C163" s="265" t="str">
        <f>IFERROR(VLOOKUP(B163,Таблица1[#All],2,FALSE),"-")</f>
        <v>-</v>
      </c>
      <c r="D163" s="265"/>
      <c r="E163" s="265"/>
      <c r="F163" s="265"/>
      <c r="G163" s="265" t="str">
        <f>IFERROR(VLOOKUP(F163,Таблица3[#All],2,FALSE),"-")</f>
        <v>-</v>
      </c>
      <c r="H163" s="265">
        <v>0</v>
      </c>
      <c r="I163" s="265"/>
      <c r="J163" s="265">
        <v>0</v>
      </c>
      <c r="K163" s="265" t="s">
        <v>1445</v>
      </c>
      <c r="L163" s="265" t="s">
        <v>1445</v>
      </c>
      <c r="M163" s="265" t="s">
        <v>1445</v>
      </c>
      <c r="N163" s="265" t="s">
        <v>1445</v>
      </c>
      <c r="O163" s="264">
        <f t="shared" si="2"/>
        <v>0</v>
      </c>
    </row>
    <row r="164" spans="1:15" x14ac:dyDescent="0.3">
      <c r="A164" s="165" t="s">
        <v>1651</v>
      </c>
      <c r="B164" s="265"/>
      <c r="C164" s="265" t="str">
        <f>IFERROR(VLOOKUP(B164,Таблица1[#All],2,FALSE),"-")</f>
        <v>-</v>
      </c>
      <c r="D164" s="265"/>
      <c r="E164" s="265"/>
      <c r="F164" s="265"/>
      <c r="G164" s="265" t="str">
        <f>IFERROR(VLOOKUP(F164,Таблица3[#All],2,FALSE),"-")</f>
        <v>-</v>
      </c>
      <c r="H164" s="265">
        <v>0</v>
      </c>
      <c r="I164" s="265"/>
      <c r="J164" s="265">
        <v>0</v>
      </c>
      <c r="K164" s="265" t="s">
        <v>1445</v>
      </c>
      <c r="L164" s="265" t="s">
        <v>1445</v>
      </c>
      <c r="M164" s="265" t="s">
        <v>1445</v>
      </c>
      <c r="N164" s="265" t="s">
        <v>1445</v>
      </c>
      <c r="O164" s="264">
        <f t="shared" si="2"/>
        <v>0</v>
      </c>
    </row>
    <row r="165" spans="1:15" x14ac:dyDescent="0.3">
      <c r="A165" s="165" t="s">
        <v>1652</v>
      </c>
      <c r="B165" s="265"/>
      <c r="C165" s="265" t="str">
        <f>IFERROR(VLOOKUP(B165,Таблица1[#All],2,FALSE),"-")</f>
        <v>-</v>
      </c>
      <c r="D165" s="265"/>
      <c r="E165" s="265"/>
      <c r="F165" s="265"/>
      <c r="G165" s="265" t="str">
        <f>IFERROR(VLOOKUP(F165,Таблица3[#All],2,FALSE),"-")</f>
        <v>-</v>
      </c>
      <c r="H165" s="265">
        <v>0</v>
      </c>
      <c r="I165" s="265"/>
      <c r="J165" s="265">
        <v>0</v>
      </c>
      <c r="K165" s="265" t="s">
        <v>1445</v>
      </c>
      <c r="L165" s="265" t="s">
        <v>1445</v>
      </c>
      <c r="M165" s="265" t="s">
        <v>1445</v>
      </c>
      <c r="N165" s="265" t="s">
        <v>1445</v>
      </c>
      <c r="O165" s="264">
        <f t="shared" si="2"/>
        <v>0</v>
      </c>
    </row>
    <row r="166" spans="1:15" x14ac:dyDescent="0.3">
      <c r="A166" s="165" t="s">
        <v>1653</v>
      </c>
      <c r="B166" s="265"/>
      <c r="C166" s="265" t="str">
        <f>IFERROR(VLOOKUP(B166,Таблица1[#All],2,FALSE),"-")</f>
        <v>-</v>
      </c>
      <c r="D166" s="265"/>
      <c r="E166" s="265"/>
      <c r="F166" s="265"/>
      <c r="G166" s="265" t="str">
        <f>IFERROR(VLOOKUP(F166,Таблица3[#All],2,FALSE),"-")</f>
        <v>-</v>
      </c>
      <c r="H166" s="265">
        <v>0</v>
      </c>
      <c r="I166" s="265"/>
      <c r="J166" s="265">
        <v>0</v>
      </c>
      <c r="K166" s="265" t="s">
        <v>1445</v>
      </c>
      <c r="L166" s="265" t="s">
        <v>1445</v>
      </c>
      <c r="M166" s="265" t="s">
        <v>1445</v>
      </c>
      <c r="N166" s="265" t="s">
        <v>1445</v>
      </c>
      <c r="O166" s="264">
        <f t="shared" si="2"/>
        <v>0</v>
      </c>
    </row>
    <row r="167" spans="1:15" x14ac:dyDescent="0.3">
      <c r="A167" s="165" t="s">
        <v>1654</v>
      </c>
      <c r="B167" s="265"/>
      <c r="C167" s="265" t="str">
        <f>IFERROR(VLOOKUP(B167,Таблица1[#All],2,FALSE),"-")</f>
        <v>-</v>
      </c>
      <c r="D167" s="265"/>
      <c r="E167" s="265"/>
      <c r="F167" s="265"/>
      <c r="G167" s="265" t="str">
        <f>IFERROR(VLOOKUP(F167,Таблица3[#All],2,FALSE),"-")</f>
        <v>-</v>
      </c>
      <c r="H167" s="265">
        <v>0</v>
      </c>
      <c r="I167" s="265"/>
      <c r="J167" s="265">
        <v>0</v>
      </c>
      <c r="K167" s="265" t="s">
        <v>1445</v>
      </c>
      <c r="L167" s="265" t="s">
        <v>1445</v>
      </c>
      <c r="M167" s="265" t="s">
        <v>1445</v>
      </c>
      <c r="N167" s="265" t="s">
        <v>1445</v>
      </c>
      <c r="O167" s="264">
        <f t="shared" si="2"/>
        <v>0</v>
      </c>
    </row>
    <row r="168" spans="1:15" x14ac:dyDescent="0.3">
      <c r="A168" s="165" t="s">
        <v>1655</v>
      </c>
      <c r="B168" s="265"/>
      <c r="C168" s="265" t="str">
        <f>IFERROR(VLOOKUP(B168,Таблица1[#All],2,FALSE),"-")</f>
        <v>-</v>
      </c>
      <c r="D168" s="265"/>
      <c r="E168" s="265"/>
      <c r="F168" s="265"/>
      <c r="G168" s="265" t="str">
        <f>IFERROR(VLOOKUP(F168,Таблица3[#All],2,FALSE),"-")</f>
        <v>-</v>
      </c>
      <c r="H168" s="265">
        <v>0</v>
      </c>
      <c r="I168" s="265"/>
      <c r="J168" s="265">
        <v>0</v>
      </c>
      <c r="K168" s="265" t="s">
        <v>1445</v>
      </c>
      <c r="L168" s="265" t="s">
        <v>1445</v>
      </c>
      <c r="M168" s="265" t="s">
        <v>1445</v>
      </c>
      <c r="N168" s="265" t="s">
        <v>1445</v>
      </c>
      <c r="O168" s="264">
        <f t="shared" si="2"/>
        <v>0</v>
      </c>
    </row>
    <row r="169" spans="1:15" x14ac:dyDescent="0.3">
      <c r="A169" s="165" t="s">
        <v>1656</v>
      </c>
      <c r="B169" s="265"/>
      <c r="C169" s="265" t="str">
        <f>IFERROR(VLOOKUP(B169,Таблица1[#All],2,FALSE),"-")</f>
        <v>-</v>
      </c>
      <c r="D169" s="265"/>
      <c r="E169" s="265"/>
      <c r="F169" s="265"/>
      <c r="G169" s="265" t="str">
        <f>IFERROR(VLOOKUP(F169,Таблица3[#All],2,FALSE),"-")</f>
        <v>-</v>
      </c>
      <c r="H169" s="265">
        <v>0</v>
      </c>
      <c r="I169" s="265"/>
      <c r="J169" s="265">
        <v>0</v>
      </c>
      <c r="K169" s="265" t="s">
        <v>1445</v>
      </c>
      <c r="L169" s="265" t="s">
        <v>1445</v>
      </c>
      <c r="M169" s="265" t="s">
        <v>1445</v>
      </c>
      <c r="N169" s="265" t="s">
        <v>1445</v>
      </c>
      <c r="O169" s="264">
        <f t="shared" si="2"/>
        <v>0</v>
      </c>
    </row>
    <row r="170" spans="1:15" x14ac:dyDescent="0.3">
      <c r="A170" s="165" t="s">
        <v>1657</v>
      </c>
      <c r="B170" s="265"/>
      <c r="C170" s="265" t="str">
        <f>IFERROR(VLOOKUP(B170,Таблица1[#All],2,FALSE),"-")</f>
        <v>-</v>
      </c>
      <c r="D170" s="265"/>
      <c r="E170" s="265"/>
      <c r="F170" s="265"/>
      <c r="G170" s="265" t="str">
        <f>IFERROR(VLOOKUP(F170,Таблица3[#All],2,FALSE),"-")</f>
        <v>-</v>
      </c>
      <c r="H170" s="265">
        <v>0</v>
      </c>
      <c r="I170" s="265"/>
      <c r="J170" s="265">
        <v>0</v>
      </c>
      <c r="K170" s="265" t="s">
        <v>1445</v>
      </c>
      <c r="L170" s="265" t="s">
        <v>1445</v>
      </c>
      <c r="M170" s="265" t="s">
        <v>1445</v>
      </c>
      <c r="N170" s="265" t="s">
        <v>1445</v>
      </c>
      <c r="O170" s="264">
        <f t="shared" si="2"/>
        <v>0</v>
      </c>
    </row>
    <row r="171" spans="1:15" x14ac:dyDescent="0.3">
      <c r="A171" s="165" t="s">
        <v>1658</v>
      </c>
      <c r="B171" s="265"/>
      <c r="C171" s="265" t="str">
        <f>IFERROR(VLOOKUP(B171,Таблица1[#All],2,FALSE),"-")</f>
        <v>-</v>
      </c>
      <c r="D171" s="265"/>
      <c r="E171" s="265"/>
      <c r="F171" s="265"/>
      <c r="G171" s="265" t="str">
        <f>IFERROR(VLOOKUP(F171,Таблица3[#All],2,FALSE),"-")</f>
        <v>-</v>
      </c>
      <c r="H171" s="265">
        <v>0</v>
      </c>
      <c r="I171" s="265"/>
      <c r="J171" s="265">
        <v>0</v>
      </c>
      <c r="K171" s="265" t="s">
        <v>1445</v>
      </c>
      <c r="L171" s="265" t="s">
        <v>1445</v>
      </c>
      <c r="M171" s="265" t="s">
        <v>1445</v>
      </c>
      <c r="N171" s="265" t="s">
        <v>1445</v>
      </c>
      <c r="O171" s="264">
        <f t="shared" si="2"/>
        <v>0</v>
      </c>
    </row>
    <row r="172" spans="1:15" x14ac:dyDescent="0.3">
      <c r="A172" s="165" t="s">
        <v>1659</v>
      </c>
      <c r="B172" s="265"/>
      <c r="C172" s="265" t="str">
        <f>IFERROR(VLOOKUP(B172,Таблица1[#All],2,FALSE),"-")</f>
        <v>-</v>
      </c>
      <c r="D172" s="265"/>
      <c r="E172" s="265"/>
      <c r="F172" s="265"/>
      <c r="G172" s="265" t="str">
        <f>IFERROR(VLOOKUP(F172,Таблица3[#All],2,FALSE),"-")</f>
        <v>-</v>
      </c>
      <c r="H172" s="265">
        <v>0</v>
      </c>
      <c r="I172" s="265"/>
      <c r="J172" s="265">
        <v>0</v>
      </c>
      <c r="K172" s="265" t="s">
        <v>1445</v>
      </c>
      <c r="L172" s="265" t="s">
        <v>1445</v>
      </c>
      <c r="M172" s="265" t="s">
        <v>1445</v>
      </c>
      <c r="N172" s="265" t="s">
        <v>1445</v>
      </c>
      <c r="O172" s="264">
        <f t="shared" si="2"/>
        <v>0</v>
      </c>
    </row>
    <row r="173" spans="1:15" x14ac:dyDescent="0.3">
      <c r="A173" s="165" t="s">
        <v>1660</v>
      </c>
      <c r="B173" s="265"/>
      <c r="C173" s="265" t="str">
        <f>IFERROR(VLOOKUP(B173,Таблица1[#All],2,FALSE),"-")</f>
        <v>-</v>
      </c>
      <c r="D173" s="265"/>
      <c r="E173" s="265"/>
      <c r="F173" s="265"/>
      <c r="G173" s="265" t="str">
        <f>IFERROR(VLOOKUP(F173,Таблица3[#All],2,FALSE),"-")</f>
        <v>-</v>
      </c>
      <c r="H173" s="265">
        <v>0</v>
      </c>
      <c r="I173" s="265"/>
      <c r="J173" s="265">
        <v>0</v>
      </c>
      <c r="K173" s="265" t="s">
        <v>1445</v>
      </c>
      <c r="L173" s="265" t="s">
        <v>1445</v>
      </c>
      <c r="M173" s="265" t="s">
        <v>1445</v>
      </c>
      <c r="N173" s="265" t="s">
        <v>1445</v>
      </c>
      <c r="O173" s="264">
        <f t="shared" si="2"/>
        <v>0</v>
      </c>
    </row>
    <row r="174" spans="1:15" x14ac:dyDescent="0.3">
      <c r="A174" s="165" t="s">
        <v>1661</v>
      </c>
      <c r="B174" s="265"/>
      <c r="C174" s="265" t="str">
        <f>IFERROR(VLOOKUP(B174,Таблица1[#All],2,FALSE),"-")</f>
        <v>-</v>
      </c>
      <c r="D174" s="265"/>
      <c r="E174" s="265"/>
      <c r="F174" s="265"/>
      <c r="G174" s="265" t="str">
        <f>IFERROR(VLOOKUP(F174,Таблица3[#All],2,FALSE),"-")</f>
        <v>-</v>
      </c>
      <c r="H174" s="265">
        <v>0</v>
      </c>
      <c r="I174" s="265"/>
      <c r="J174" s="265">
        <v>0</v>
      </c>
      <c r="K174" s="265" t="s">
        <v>1445</v>
      </c>
      <c r="L174" s="265" t="s">
        <v>1445</v>
      </c>
      <c r="M174" s="265" t="s">
        <v>1445</v>
      </c>
      <c r="N174" s="265" t="s">
        <v>1445</v>
      </c>
      <c r="O174" s="264">
        <f t="shared" si="2"/>
        <v>0</v>
      </c>
    </row>
    <row r="175" spans="1:15" x14ac:dyDescent="0.3">
      <c r="A175" s="165" t="s">
        <v>1662</v>
      </c>
      <c r="B175" s="265"/>
      <c r="C175" s="265" t="str">
        <f>IFERROR(VLOOKUP(B175,Таблица1[#All],2,FALSE),"-")</f>
        <v>-</v>
      </c>
      <c r="D175" s="265"/>
      <c r="E175" s="265"/>
      <c r="F175" s="265"/>
      <c r="G175" s="265" t="str">
        <f>IFERROR(VLOOKUP(F175,Таблица3[#All],2,FALSE),"-")</f>
        <v>-</v>
      </c>
      <c r="H175" s="265">
        <v>0</v>
      </c>
      <c r="I175" s="265"/>
      <c r="J175" s="265">
        <v>0</v>
      </c>
      <c r="K175" s="265" t="s">
        <v>1445</v>
      </c>
      <c r="L175" s="265" t="s">
        <v>1445</v>
      </c>
      <c r="M175" s="265" t="s">
        <v>1445</v>
      </c>
      <c r="N175" s="265" t="s">
        <v>1445</v>
      </c>
      <c r="O175" s="264">
        <f t="shared" si="2"/>
        <v>0</v>
      </c>
    </row>
    <row r="176" spans="1:15" x14ac:dyDescent="0.3">
      <c r="A176" s="165" t="s">
        <v>1663</v>
      </c>
      <c r="B176" s="265"/>
      <c r="C176" s="265" t="str">
        <f>IFERROR(VLOOKUP(B176,Таблица1[#All],2,FALSE),"-")</f>
        <v>-</v>
      </c>
      <c r="D176" s="265"/>
      <c r="E176" s="265"/>
      <c r="F176" s="265"/>
      <c r="G176" s="265" t="str">
        <f>IFERROR(VLOOKUP(F176,Таблица3[#All],2,FALSE),"-")</f>
        <v>-</v>
      </c>
      <c r="H176" s="265">
        <v>0</v>
      </c>
      <c r="I176" s="265"/>
      <c r="J176" s="265">
        <v>0</v>
      </c>
      <c r="K176" s="265" t="s">
        <v>1445</v>
      </c>
      <c r="L176" s="265" t="s">
        <v>1445</v>
      </c>
      <c r="M176" s="265" t="s">
        <v>1445</v>
      </c>
      <c r="N176" s="265" t="s">
        <v>1445</v>
      </c>
      <c r="O176" s="264">
        <f t="shared" si="2"/>
        <v>0</v>
      </c>
    </row>
    <row r="177" spans="1:15" x14ac:dyDescent="0.3">
      <c r="A177" s="165" t="s">
        <v>1664</v>
      </c>
      <c r="B177" s="265"/>
      <c r="C177" s="265" t="str">
        <f>IFERROR(VLOOKUP(B177,Таблица1[#All],2,FALSE),"-")</f>
        <v>-</v>
      </c>
      <c r="D177" s="265"/>
      <c r="E177" s="265"/>
      <c r="F177" s="265"/>
      <c r="G177" s="265" t="str">
        <f>IFERROR(VLOOKUP(F177,Таблица3[#All],2,FALSE),"-")</f>
        <v>-</v>
      </c>
      <c r="H177" s="265">
        <v>0</v>
      </c>
      <c r="I177" s="265"/>
      <c r="J177" s="265">
        <v>0</v>
      </c>
      <c r="K177" s="265" t="s">
        <v>1445</v>
      </c>
      <c r="L177" s="265" t="s">
        <v>1445</v>
      </c>
      <c r="M177" s="265" t="s">
        <v>1445</v>
      </c>
      <c r="N177" s="265" t="s">
        <v>1445</v>
      </c>
      <c r="O177" s="264">
        <f t="shared" si="2"/>
        <v>0</v>
      </c>
    </row>
    <row r="178" spans="1:15" x14ac:dyDescent="0.3">
      <c r="A178" s="165" t="s">
        <v>1665</v>
      </c>
      <c r="B178" s="265"/>
      <c r="C178" s="265" t="str">
        <f>IFERROR(VLOOKUP(B178,Таблица1[#All],2,FALSE),"-")</f>
        <v>-</v>
      </c>
      <c r="D178" s="265"/>
      <c r="E178" s="265"/>
      <c r="F178" s="265"/>
      <c r="G178" s="265" t="str">
        <f>IFERROR(VLOOKUP(F178,Таблица3[#All],2,FALSE),"-")</f>
        <v>-</v>
      </c>
      <c r="H178" s="265">
        <v>0</v>
      </c>
      <c r="I178" s="265"/>
      <c r="J178" s="265">
        <v>0</v>
      </c>
      <c r="K178" s="265" t="s">
        <v>1445</v>
      </c>
      <c r="L178" s="265" t="s">
        <v>1445</v>
      </c>
      <c r="M178" s="265" t="s">
        <v>1445</v>
      </c>
      <c r="N178" s="265" t="s">
        <v>1445</v>
      </c>
      <c r="O178" s="264">
        <f t="shared" si="2"/>
        <v>0</v>
      </c>
    </row>
    <row r="179" spans="1:15" x14ac:dyDescent="0.3">
      <c r="A179" s="165" t="s">
        <v>1666</v>
      </c>
      <c r="B179" s="265"/>
      <c r="C179" s="265" t="str">
        <f>IFERROR(VLOOKUP(B179,Таблица1[#All],2,FALSE),"-")</f>
        <v>-</v>
      </c>
      <c r="D179" s="265"/>
      <c r="E179" s="265"/>
      <c r="F179" s="265"/>
      <c r="G179" s="265" t="str">
        <f>IFERROR(VLOOKUP(F179,Таблица3[#All],2,FALSE),"-")</f>
        <v>-</v>
      </c>
      <c r="H179" s="265">
        <v>0</v>
      </c>
      <c r="I179" s="265"/>
      <c r="J179" s="265">
        <v>0</v>
      </c>
      <c r="K179" s="265" t="s">
        <v>1445</v>
      </c>
      <c r="L179" s="265" t="s">
        <v>1445</v>
      </c>
      <c r="M179" s="265" t="s">
        <v>1445</v>
      </c>
      <c r="N179" s="265" t="s">
        <v>1445</v>
      </c>
      <c r="O179" s="264">
        <f t="shared" si="2"/>
        <v>0</v>
      </c>
    </row>
    <row r="180" spans="1:15" x14ac:dyDescent="0.3">
      <c r="A180" s="165" t="s">
        <v>1667</v>
      </c>
      <c r="B180" s="265"/>
      <c r="C180" s="265" t="str">
        <f>IFERROR(VLOOKUP(B180,Таблица1[#All],2,FALSE),"-")</f>
        <v>-</v>
      </c>
      <c r="D180" s="265"/>
      <c r="E180" s="265"/>
      <c r="F180" s="265"/>
      <c r="G180" s="265" t="str">
        <f>IFERROR(VLOOKUP(F180,Таблица3[#All],2,FALSE),"-")</f>
        <v>-</v>
      </c>
      <c r="H180" s="265">
        <v>0</v>
      </c>
      <c r="I180" s="265"/>
      <c r="J180" s="265">
        <v>0</v>
      </c>
      <c r="K180" s="265" t="s">
        <v>1445</v>
      </c>
      <c r="L180" s="265" t="s">
        <v>1445</v>
      </c>
      <c r="M180" s="265" t="s">
        <v>1445</v>
      </c>
      <c r="N180" s="265" t="s">
        <v>1445</v>
      </c>
      <c r="O180" s="264">
        <f t="shared" si="2"/>
        <v>0</v>
      </c>
    </row>
    <row r="181" spans="1:15" x14ac:dyDescent="0.3">
      <c r="A181" s="165" t="s">
        <v>1668</v>
      </c>
      <c r="B181" s="265"/>
      <c r="C181" s="265" t="str">
        <f>IFERROR(VLOOKUP(B181,Таблица1[#All],2,FALSE),"-")</f>
        <v>-</v>
      </c>
      <c r="D181" s="265"/>
      <c r="E181" s="265"/>
      <c r="F181" s="265"/>
      <c r="G181" s="265" t="str">
        <f>IFERROR(VLOOKUP(F181,Таблица3[#All],2,FALSE),"-")</f>
        <v>-</v>
      </c>
      <c r="H181" s="265">
        <v>0</v>
      </c>
      <c r="I181" s="265"/>
      <c r="J181" s="265">
        <v>0</v>
      </c>
      <c r="K181" s="265" t="s">
        <v>1445</v>
      </c>
      <c r="L181" s="265" t="s">
        <v>1445</v>
      </c>
      <c r="M181" s="265" t="s">
        <v>1445</v>
      </c>
      <c r="N181" s="265" t="s">
        <v>1445</v>
      </c>
      <c r="O181" s="264">
        <f t="shared" si="2"/>
        <v>0</v>
      </c>
    </row>
    <row r="182" spans="1:15" x14ac:dyDescent="0.3">
      <c r="A182" s="165" t="s">
        <v>1669</v>
      </c>
      <c r="B182" s="265"/>
      <c r="C182" s="265" t="str">
        <f>IFERROR(VLOOKUP(B182,Таблица1[#All],2,FALSE),"-")</f>
        <v>-</v>
      </c>
      <c r="D182" s="265"/>
      <c r="E182" s="265"/>
      <c r="F182" s="265"/>
      <c r="G182" s="265" t="str">
        <f>IFERROR(VLOOKUP(F182,Таблица3[#All],2,FALSE),"-")</f>
        <v>-</v>
      </c>
      <c r="H182" s="265">
        <v>0</v>
      </c>
      <c r="I182" s="265"/>
      <c r="J182" s="265">
        <v>0</v>
      </c>
      <c r="K182" s="265" t="s">
        <v>1445</v>
      </c>
      <c r="L182" s="265" t="s">
        <v>1445</v>
      </c>
      <c r="M182" s="265" t="s">
        <v>1445</v>
      </c>
      <c r="N182" s="265" t="s">
        <v>1445</v>
      </c>
      <c r="O182" s="264">
        <f t="shared" si="2"/>
        <v>0</v>
      </c>
    </row>
    <row r="183" spans="1:15" x14ac:dyDescent="0.3">
      <c r="A183" s="165" t="s">
        <v>1670</v>
      </c>
      <c r="B183" s="265"/>
      <c r="C183" s="265" t="str">
        <f>IFERROR(VLOOKUP(B183,Таблица1[#All],2,FALSE),"-")</f>
        <v>-</v>
      </c>
      <c r="D183" s="265"/>
      <c r="E183" s="265"/>
      <c r="F183" s="265"/>
      <c r="G183" s="265" t="str">
        <f>IFERROR(VLOOKUP(F183,Таблица3[#All],2,FALSE),"-")</f>
        <v>-</v>
      </c>
      <c r="H183" s="265">
        <v>0</v>
      </c>
      <c r="I183" s="265"/>
      <c r="J183" s="265">
        <v>0</v>
      </c>
      <c r="K183" s="265" t="s">
        <v>1445</v>
      </c>
      <c r="L183" s="265" t="s">
        <v>1445</v>
      </c>
      <c r="M183" s="265" t="s">
        <v>1445</v>
      </c>
      <c r="N183" s="265" t="s">
        <v>1445</v>
      </c>
      <c r="O183" s="264">
        <f t="shared" si="2"/>
        <v>0</v>
      </c>
    </row>
    <row r="184" spans="1:15" x14ac:dyDescent="0.3">
      <c r="A184" s="165" t="s">
        <v>1671</v>
      </c>
      <c r="B184" s="265"/>
      <c r="C184" s="265" t="str">
        <f>IFERROR(VLOOKUP(B184,Таблица1[#All],2,FALSE),"-")</f>
        <v>-</v>
      </c>
      <c r="D184" s="265"/>
      <c r="E184" s="265"/>
      <c r="F184" s="265"/>
      <c r="G184" s="265" t="str">
        <f>IFERROR(VLOOKUP(F184,Таблица3[#All],2,FALSE),"-")</f>
        <v>-</v>
      </c>
      <c r="H184" s="265">
        <v>0</v>
      </c>
      <c r="I184" s="265"/>
      <c r="J184" s="265">
        <v>0</v>
      </c>
      <c r="K184" s="265" t="s">
        <v>1445</v>
      </c>
      <c r="L184" s="265" t="s">
        <v>1445</v>
      </c>
      <c r="M184" s="265" t="s">
        <v>1445</v>
      </c>
      <c r="N184" s="265" t="s">
        <v>1445</v>
      </c>
      <c r="O184" s="264">
        <f t="shared" si="2"/>
        <v>0</v>
      </c>
    </row>
    <row r="185" spans="1:15" x14ac:dyDescent="0.3">
      <c r="A185" s="165" t="s">
        <v>1672</v>
      </c>
      <c r="B185" s="265"/>
      <c r="C185" s="265" t="str">
        <f>IFERROR(VLOOKUP(B185,Таблица1[#All],2,FALSE),"-")</f>
        <v>-</v>
      </c>
      <c r="D185" s="265"/>
      <c r="E185" s="265"/>
      <c r="F185" s="265"/>
      <c r="G185" s="265" t="str">
        <f>IFERROR(VLOOKUP(F185,Таблица3[#All],2,FALSE),"-")</f>
        <v>-</v>
      </c>
      <c r="H185" s="265">
        <v>0</v>
      </c>
      <c r="I185" s="265"/>
      <c r="J185" s="265">
        <v>0</v>
      </c>
      <c r="K185" s="265" t="s">
        <v>1445</v>
      </c>
      <c r="L185" s="265" t="s">
        <v>1445</v>
      </c>
      <c r="M185" s="265" t="s">
        <v>1445</v>
      </c>
      <c r="N185" s="265" t="s">
        <v>1445</v>
      </c>
      <c r="O185" s="264">
        <f t="shared" si="2"/>
        <v>0</v>
      </c>
    </row>
    <row r="186" spans="1:15" x14ac:dyDescent="0.3">
      <c r="A186" s="165" t="s">
        <v>1673</v>
      </c>
      <c r="B186" s="265"/>
      <c r="C186" s="265" t="str">
        <f>IFERROR(VLOOKUP(B186,Таблица1[#All],2,FALSE),"-")</f>
        <v>-</v>
      </c>
      <c r="D186" s="265"/>
      <c r="E186" s="265"/>
      <c r="F186" s="265"/>
      <c r="G186" s="265" t="str">
        <f>IFERROR(VLOOKUP(F186,Таблица3[#All],2,FALSE),"-")</f>
        <v>-</v>
      </c>
      <c r="H186" s="265">
        <v>0</v>
      </c>
      <c r="I186" s="265"/>
      <c r="J186" s="265">
        <v>0</v>
      </c>
      <c r="K186" s="265" t="s">
        <v>1445</v>
      </c>
      <c r="L186" s="265" t="s">
        <v>1445</v>
      </c>
      <c r="M186" s="265" t="s">
        <v>1445</v>
      </c>
      <c r="N186" s="265" t="s">
        <v>1445</v>
      </c>
      <c r="O186" s="264">
        <f t="shared" si="2"/>
        <v>0</v>
      </c>
    </row>
    <row r="187" spans="1:15" x14ac:dyDescent="0.3">
      <c r="A187" s="165" t="s">
        <v>1674</v>
      </c>
      <c r="B187" s="265"/>
      <c r="C187" s="265" t="str">
        <f>IFERROR(VLOOKUP(B187,Таблица1[#All],2,FALSE),"-")</f>
        <v>-</v>
      </c>
      <c r="D187" s="265"/>
      <c r="E187" s="265"/>
      <c r="F187" s="265"/>
      <c r="G187" s="265" t="str">
        <f>IFERROR(VLOOKUP(F187,Таблица3[#All],2,FALSE),"-")</f>
        <v>-</v>
      </c>
      <c r="H187" s="265">
        <v>0</v>
      </c>
      <c r="I187" s="265"/>
      <c r="J187" s="265">
        <v>0</v>
      </c>
      <c r="K187" s="265" t="s">
        <v>1445</v>
      </c>
      <c r="L187" s="265" t="s">
        <v>1445</v>
      </c>
      <c r="M187" s="265" t="s">
        <v>1445</v>
      </c>
      <c r="N187" s="265" t="s">
        <v>1445</v>
      </c>
      <c r="O187" s="264">
        <f t="shared" si="2"/>
        <v>0</v>
      </c>
    </row>
    <row r="188" spans="1:15" x14ac:dyDescent="0.3">
      <c r="A188" s="165" t="s">
        <v>1675</v>
      </c>
      <c r="B188" s="265"/>
      <c r="C188" s="265" t="str">
        <f>IFERROR(VLOOKUP(B188,Таблица1[#All],2,FALSE),"-")</f>
        <v>-</v>
      </c>
      <c r="D188" s="265"/>
      <c r="E188" s="265"/>
      <c r="F188" s="265"/>
      <c r="G188" s="265" t="str">
        <f>IFERROR(VLOOKUP(F188,Таблица3[#All],2,FALSE),"-")</f>
        <v>-</v>
      </c>
      <c r="H188" s="265">
        <v>0</v>
      </c>
      <c r="I188" s="265"/>
      <c r="J188" s="265">
        <v>0</v>
      </c>
      <c r="K188" s="265" t="s">
        <v>1445</v>
      </c>
      <c r="L188" s="265" t="s">
        <v>1445</v>
      </c>
      <c r="M188" s="265" t="s">
        <v>1445</v>
      </c>
      <c r="N188" s="265" t="s">
        <v>1445</v>
      </c>
      <c r="O188" s="264">
        <f t="shared" si="2"/>
        <v>0</v>
      </c>
    </row>
    <row r="189" spans="1:15" x14ac:dyDescent="0.3">
      <c r="A189" s="165" t="s">
        <v>1676</v>
      </c>
      <c r="B189" s="265"/>
      <c r="C189" s="265" t="str">
        <f>IFERROR(VLOOKUP(B189,Таблица1[#All],2,FALSE),"-")</f>
        <v>-</v>
      </c>
      <c r="D189" s="265"/>
      <c r="E189" s="265"/>
      <c r="F189" s="265"/>
      <c r="G189" s="265" t="str">
        <f>IFERROR(VLOOKUP(F189,Таблица3[#All],2,FALSE),"-")</f>
        <v>-</v>
      </c>
      <c r="H189" s="265">
        <v>0</v>
      </c>
      <c r="I189" s="265"/>
      <c r="J189" s="265">
        <v>0</v>
      </c>
      <c r="K189" s="265" t="s">
        <v>1445</v>
      </c>
      <c r="L189" s="265" t="s">
        <v>1445</v>
      </c>
      <c r="M189" s="265" t="s">
        <v>1445</v>
      </c>
      <c r="N189" s="265" t="s">
        <v>1445</v>
      </c>
      <c r="O189" s="264">
        <f t="shared" si="2"/>
        <v>0</v>
      </c>
    </row>
    <row r="190" spans="1:15" x14ac:dyDescent="0.3">
      <c r="A190" s="165" t="s">
        <v>1677</v>
      </c>
      <c r="B190" s="265"/>
      <c r="C190" s="265" t="str">
        <f>IFERROR(VLOOKUP(B190,Таблица1[#All],2,FALSE),"-")</f>
        <v>-</v>
      </c>
      <c r="D190" s="265"/>
      <c r="E190" s="265"/>
      <c r="F190" s="265"/>
      <c r="G190" s="265" t="str">
        <f>IFERROR(VLOOKUP(F190,Таблица3[#All],2,FALSE),"-")</f>
        <v>-</v>
      </c>
      <c r="H190" s="265">
        <v>0</v>
      </c>
      <c r="I190" s="265"/>
      <c r="J190" s="265">
        <v>0</v>
      </c>
      <c r="K190" s="265" t="s">
        <v>1445</v>
      </c>
      <c r="L190" s="265" t="s">
        <v>1445</v>
      </c>
      <c r="M190" s="265" t="s">
        <v>1445</v>
      </c>
      <c r="N190" s="265" t="s">
        <v>1445</v>
      </c>
      <c r="O190" s="264">
        <f t="shared" si="2"/>
        <v>0</v>
      </c>
    </row>
    <row r="191" spans="1:15" x14ac:dyDescent="0.3">
      <c r="A191" s="165" t="s">
        <v>1678</v>
      </c>
      <c r="B191" s="265"/>
      <c r="C191" s="265" t="str">
        <f>IFERROR(VLOOKUP(B191,Таблица1[#All],2,FALSE),"-")</f>
        <v>-</v>
      </c>
      <c r="D191" s="265"/>
      <c r="E191" s="265"/>
      <c r="F191" s="265"/>
      <c r="G191" s="265" t="str">
        <f>IFERROR(VLOOKUP(F191,Таблица3[#All],2,FALSE),"-")</f>
        <v>-</v>
      </c>
      <c r="H191" s="265">
        <v>0</v>
      </c>
      <c r="I191" s="265"/>
      <c r="J191" s="265">
        <v>0</v>
      </c>
      <c r="K191" s="265" t="s">
        <v>1445</v>
      </c>
      <c r="L191" s="265" t="s">
        <v>1445</v>
      </c>
      <c r="M191" s="265" t="s">
        <v>1445</v>
      </c>
      <c r="N191" s="265" t="s">
        <v>1445</v>
      </c>
      <c r="O191" s="264">
        <f t="shared" si="2"/>
        <v>0</v>
      </c>
    </row>
    <row r="192" spans="1:15" x14ac:dyDescent="0.3">
      <c r="A192" s="165" t="s">
        <v>1679</v>
      </c>
      <c r="B192" s="265"/>
      <c r="C192" s="265" t="str">
        <f>IFERROR(VLOOKUP(B192,Таблица1[#All],2,FALSE),"-")</f>
        <v>-</v>
      </c>
      <c r="D192" s="265"/>
      <c r="E192" s="265"/>
      <c r="F192" s="265"/>
      <c r="G192" s="265" t="str">
        <f>IFERROR(VLOOKUP(F192,Таблица3[#All],2,FALSE),"-")</f>
        <v>-</v>
      </c>
      <c r="H192" s="265">
        <v>0</v>
      </c>
      <c r="I192" s="265"/>
      <c r="J192" s="265">
        <v>0</v>
      </c>
      <c r="K192" s="265" t="s">
        <v>1445</v>
      </c>
      <c r="L192" s="265" t="s">
        <v>1445</v>
      </c>
      <c r="M192" s="265" t="s">
        <v>1445</v>
      </c>
      <c r="N192" s="265" t="s">
        <v>1445</v>
      </c>
      <c r="O192" s="264">
        <f t="shared" si="2"/>
        <v>0</v>
      </c>
    </row>
    <row r="193" spans="1:15" x14ac:dyDescent="0.3">
      <c r="A193" s="165" t="s">
        <v>1680</v>
      </c>
      <c r="B193" s="265"/>
      <c r="C193" s="265" t="str">
        <f>IFERROR(VLOOKUP(B193,Таблица1[#All],2,FALSE),"-")</f>
        <v>-</v>
      </c>
      <c r="D193" s="265"/>
      <c r="E193" s="265"/>
      <c r="F193" s="265"/>
      <c r="G193" s="265" t="str">
        <f>IFERROR(VLOOKUP(F193,Таблица3[#All],2,FALSE),"-")</f>
        <v>-</v>
      </c>
      <c r="H193" s="265">
        <v>0</v>
      </c>
      <c r="I193" s="265"/>
      <c r="J193" s="265">
        <v>0</v>
      </c>
      <c r="K193" s="265" t="s">
        <v>1445</v>
      </c>
      <c r="L193" s="265" t="s">
        <v>1445</v>
      </c>
      <c r="M193" s="265" t="s">
        <v>1445</v>
      </c>
      <c r="N193" s="265" t="s">
        <v>1445</v>
      </c>
      <c r="O193" s="264">
        <f t="shared" si="2"/>
        <v>0</v>
      </c>
    </row>
    <row r="194" spans="1:15" x14ac:dyDescent="0.3">
      <c r="A194" s="165" t="s">
        <v>1681</v>
      </c>
      <c r="B194" s="265"/>
      <c r="C194" s="265" t="str">
        <f>IFERROR(VLOOKUP(B194,Таблица1[#All],2,FALSE),"-")</f>
        <v>-</v>
      </c>
      <c r="D194" s="265"/>
      <c r="E194" s="265"/>
      <c r="F194" s="265"/>
      <c r="G194" s="265" t="str">
        <f>IFERROR(VLOOKUP(F194,Таблица3[#All],2,FALSE),"-")</f>
        <v>-</v>
      </c>
      <c r="H194" s="265">
        <v>0</v>
      </c>
      <c r="I194" s="265"/>
      <c r="J194" s="265">
        <v>0</v>
      </c>
      <c r="K194" s="265" t="s">
        <v>1445</v>
      </c>
      <c r="L194" s="265" t="s">
        <v>1445</v>
      </c>
      <c r="M194" s="265" t="s">
        <v>1445</v>
      </c>
      <c r="N194" s="265" t="s">
        <v>1445</v>
      </c>
      <c r="O194" s="264">
        <f t="shared" ref="O194:O257" si="3">$R$8*I194*(IF(K194="Да",1,0)*$R$9+IF(L194="Да",1,0)*$R$10+IF(M194="Да",1,0)*$R$11+IF(N194="Да",1,0)*$R$12)*J194*IF($R$3="Да",0.5,1)+$R$8*H194*(IF(K194="Да",1,0)*$R$9+IF(L194="Да",1,0)*$R$10+IF(M194="Да",1,0)*$R$11+IF(N194="Да",1,0)*$R$12)*IF($R$3="Да",0.5,1)</f>
        <v>0</v>
      </c>
    </row>
    <row r="195" spans="1:15" x14ac:dyDescent="0.3">
      <c r="A195" s="165" t="s">
        <v>1682</v>
      </c>
      <c r="B195" s="265"/>
      <c r="C195" s="265" t="str">
        <f>IFERROR(VLOOKUP(B195,Таблица1[#All],2,FALSE),"-")</f>
        <v>-</v>
      </c>
      <c r="D195" s="265"/>
      <c r="E195" s="265"/>
      <c r="F195" s="265"/>
      <c r="G195" s="265" t="str">
        <f>IFERROR(VLOOKUP(F195,Таблица3[#All],2,FALSE),"-")</f>
        <v>-</v>
      </c>
      <c r="H195" s="265">
        <v>0</v>
      </c>
      <c r="I195" s="265"/>
      <c r="J195" s="265">
        <v>0</v>
      </c>
      <c r="K195" s="265" t="s">
        <v>1445</v>
      </c>
      <c r="L195" s="265" t="s">
        <v>1445</v>
      </c>
      <c r="M195" s="265" t="s">
        <v>1445</v>
      </c>
      <c r="N195" s="265" t="s">
        <v>1445</v>
      </c>
      <c r="O195" s="264">
        <f t="shared" si="3"/>
        <v>0</v>
      </c>
    </row>
    <row r="196" spans="1:15" x14ac:dyDescent="0.3">
      <c r="A196" s="165" t="s">
        <v>1683</v>
      </c>
      <c r="B196" s="265"/>
      <c r="C196" s="265" t="str">
        <f>IFERROR(VLOOKUP(B196,Таблица1[#All],2,FALSE),"-")</f>
        <v>-</v>
      </c>
      <c r="D196" s="265"/>
      <c r="E196" s="265"/>
      <c r="F196" s="265"/>
      <c r="G196" s="265" t="str">
        <f>IFERROR(VLOOKUP(F196,Таблица3[#All],2,FALSE),"-")</f>
        <v>-</v>
      </c>
      <c r="H196" s="265">
        <v>0</v>
      </c>
      <c r="I196" s="265"/>
      <c r="J196" s="265">
        <v>0</v>
      </c>
      <c r="K196" s="265" t="s">
        <v>1445</v>
      </c>
      <c r="L196" s="265" t="s">
        <v>1445</v>
      </c>
      <c r="M196" s="265" t="s">
        <v>1445</v>
      </c>
      <c r="N196" s="265" t="s">
        <v>1445</v>
      </c>
      <c r="O196" s="264">
        <f t="shared" si="3"/>
        <v>0</v>
      </c>
    </row>
    <row r="197" spans="1:15" x14ac:dyDescent="0.3">
      <c r="A197" s="165" t="s">
        <v>1684</v>
      </c>
      <c r="B197" s="265"/>
      <c r="C197" s="265" t="str">
        <f>IFERROR(VLOOKUP(B197,Таблица1[#All],2,FALSE),"-")</f>
        <v>-</v>
      </c>
      <c r="D197" s="265"/>
      <c r="E197" s="265"/>
      <c r="F197" s="265"/>
      <c r="G197" s="265" t="str">
        <f>IFERROR(VLOOKUP(F197,Таблица3[#All],2,FALSE),"-")</f>
        <v>-</v>
      </c>
      <c r="H197" s="265">
        <v>0</v>
      </c>
      <c r="I197" s="265"/>
      <c r="J197" s="265">
        <v>0</v>
      </c>
      <c r="K197" s="265" t="s">
        <v>1445</v>
      </c>
      <c r="L197" s="265" t="s">
        <v>1445</v>
      </c>
      <c r="M197" s="265" t="s">
        <v>1445</v>
      </c>
      <c r="N197" s="265" t="s">
        <v>1445</v>
      </c>
      <c r="O197" s="264">
        <f t="shared" si="3"/>
        <v>0</v>
      </c>
    </row>
    <row r="198" spans="1:15" x14ac:dyDescent="0.3">
      <c r="A198" s="165" t="s">
        <v>1685</v>
      </c>
      <c r="B198" s="265"/>
      <c r="C198" s="265" t="str">
        <f>IFERROR(VLOOKUP(B198,Таблица1[#All],2,FALSE),"-")</f>
        <v>-</v>
      </c>
      <c r="D198" s="265"/>
      <c r="E198" s="265"/>
      <c r="F198" s="265"/>
      <c r="G198" s="265" t="str">
        <f>IFERROR(VLOOKUP(F198,Таблица3[#All],2,FALSE),"-")</f>
        <v>-</v>
      </c>
      <c r="H198" s="265">
        <v>0</v>
      </c>
      <c r="I198" s="265"/>
      <c r="J198" s="265">
        <v>0</v>
      </c>
      <c r="K198" s="265" t="s">
        <v>1445</v>
      </c>
      <c r="L198" s="265" t="s">
        <v>1445</v>
      </c>
      <c r="M198" s="265" t="s">
        <v>1445</v>
      </c>
      <c r="N198" s="265" t="s">
        <v>1445</v>
      </c>
      <c r="O198" s="264">
        <f t="shared" si="3"/>
        <v>0</v>
      </c>
    </row>
    <row r="199" spans="1:15" x14ac:dyDescent="0.3">
      <c r="A199" s="165" t="s">
        <v>1686</v>
      </c>
      <c r="B199" s="265"/>
      <c r="C199" s="265" t="str">
        <f>IFERROR(VLOOKUP(B199,Таблица1[#All],2,FALSE),"-")</f>
        <v>-</v>
      </c>
      <c r="D199" s="265"/>
      <c r="E199" s="265"/>
      <c r="F199" s="265"/>
      <c r="G199" s="265" t="str">
        <f>IFERROR(VLOOKUP(F199,Таблица3[#All],2,FALSE),"-")</f>
        <v>-</v>
      </c>
      <c r="H199" s="265">
        <v>0</v>
      </c>
      <c r="I199" s="265"/>
      <c r="J199" s="265">
        <v>0</v>
      </c>
      <c r="K199" s="265" t="s">
        <v>1445</v>
      </c>
      <c r="L199" s="265" t="s">
        <v>1445</v>
      </c>
      <c r="M199" s="265" t="s">
        <v>1445</v>
      </c>
      <c r="N199" s="265" t="s">
        <v>1445</v>
      </c>
      <c r="O199" s="264">
        <f t="shared" si="3"/>
        <v>0</v>
      </c>
    </row>
    <row r="200" spans="1:15" x14ac:dyDescent="0.3">
      <c r="A200" s="165" t="s">
        <v>1687</v>
      </c>
      <c r="B200" s="265"/>
      <c r="C200" s="265" t="str">
        <f>IFERROR(VLOOKUP(B200,Таблица1[#All],2,FALSE),"-")</f>
        <v>-</v>
      </c>
      <c r="D200" s="265"/>
      <c r="E200" s="265"/>
      <c r="F200" s="265"/>
      <c r="G200" s="265" t="str">
        <f>IFERROR(VLOOKUP(F200,Таблица3[#All],2,FALSE),"-")</f>
        <v>-</v>
      </c>
      <c r="H200" s="265">
        <v>0</v>
      </c>
      <c r="I200" s="265"/>
      <c r="J200" s="265">
        <v>0</v>
      </c>
      <c r="K200" s="265" t="s">
        <v>1445</v>
      </c>
      <c r="L200" s="265" t="s">
        <v>1445</v>
      </c>
      <c r="M200" s="265" t="s">
        <v>1445</v>
      </c>
      <c r="N200" s="265" t="s">
        <v>1445</v>
      </c>
      <c r="O200" s="264">
        <f t="shared" si="3"/>
        <v>0</v>
      </c>
    </row>
    <row r="201" spans="1:15" x14ac:dyDescent="0.3">
      <c r="A201" s="165" t="s">
        <v>1688</v>
      </c>
      <c r="B201" s="265"/>
      <c r="C201" s="265" t="str">
        <f>IFERROR(VLOOKUP(B201,Таблица1[#All],2,FALSE),"-")</f>
        <v>-</v>
      </c>
      <c r="D201" s="265"/>
      <c r="E201" s="265"/>
      <c r="F201" s="265"/>
      <c r="G201" s="265" t="str">
        <f>IFERROR(VLOOKUP(F201,Таблица3[#All],2,FALSE),"-")</f>
        <v>-</v>
      </c>
      <c r="H201" s="265">
        <v>0</v>
      </c>
      <c r="I201" s="265"/>
      <c r="J201" s="265">
        <v>0</v>
      </c>
      <c r="K201" s="265" t="s">
        <v>1445</v>
      </c>
      <c r="L201" s="265" t="s">
        <v>1445</v>
      </c>
      <c r="M201" s="265" t="s">
        <v>1445</v>
      </c>
      <c r="N201" s="265" t="s">
        <v>1445</v>
      </c>
      <c r="O201" s="264">
        <f t="shared" si="3"/>
        <v>0</v>
      </c>
    </row>
    <row r="202" spans="1:15" x14ac:dyDescent="0.3">
      <c r="A202" s="165" t="s">
        <v>1689</v>
      </c>
      <c r="B202" s="265"/>
      <c r="C202" s="265" t="str">
        <f>IFERROR(VLOOKUP(B202,Таблица1[#All],2,FALSE),"-")</f>
        <v>-</v>
      </c>
      <c r="D202" s="265"/>
      <c r="E202" s="265"/>
      <c r="F202" s="265"/>
      <c r="G202" s="265" t="str">
        <f>IFERROR(VLOOKUP(F202,Таблица3[#All],2,FALSE),"-")</f>
        <v>-</v>
      </c>
      <c r="H202" s="265">
        <v>0</v>
      </c>
      <c r="I202" s="265"/>
      <c r="J202" s="265">
        <v>0</v>
      </c>
      <c r="K202" s="265" t="s">
        <v>1445</v>
      </c>
      <c r="L202" s="265" t="s">
        <v>1445</v>
      </c>
      <c r="M202" s="265" t="s">
        <v>1445</v>
      </c>
      <c r="N202" s="265" t="s">
        <v>1445</v>
      </c>
      <c r="O202" s="264">
        <f t="shared" si="3"/>
        <v>0</v>
      </c>
    </row>
    <row r="203" spans="1:15" x14ac:dyDescent="0.3">
      <c r="A203" s="165" t="s">
        <v>1690</v>
      </c>
      <c r="B203" s="265"/>
      <c r="C203" s="265" t="str">
        <f>IFERROR(VLOOKUP(B203,Таблица1[#All],2,FALSE),"-")</f>
        <v>-</v>
      </c>
      <c r="D203" s="265"/>
      <c r="E203" s="265"/>
      <c r="F203" s="265"/>
      <c r="G203" s="265" t="str">
        <f>IFERROR(VLOOKUP(F203,Таблица3[#All],2,FALSE),"-")</f>
        <v>-</v>
      </c>
      <c r="H203" s="265">
        <v>0</v>
      </c>
      <c r="I203" s="265"/>
      <c r="J203" s="265">
        <v>0</v>
      </c>
      <c r="K203" s="265" t="s">
        <v>1445</v>
      </c>
      <c r="L203" s="265" t="s">
        <v>1445</v>
      </c>
      <c r="M203" s="265" t="s">
        <v>1445</v>
      </c>
      <c r="N203" s="265" t="s">
        <v>1445</v>
      </c>
      <c r="O203" s="264">
        <f t="shared" si="3"/>
        <v>0</v>
      </c>
    </row>
    <row r="204" spans="1:15" x14ac:dyDescent="0.3">
      <c r="A204" s="165" t="s">
        <v>1691</v>
      </c>
      <c r="B204" s="265"/>
      <c r="C204" s="265" t="str">
        <f>IFERROR(VLOOKUP(B204,Таблица1[#All],2,FALSE),"-")</f>
        <v>-</v>
      </c>
      <c r="D204" s="265"/>
      <c r="E204" s="265"/>
      <c r="F204" s="265"/>
      <c r="G204" s="265" t="str">
        <f>IFERROR(VLOOKUP(F204,Таблица3[#All],2,FALSE),"-")</f>
        <v>-</v>
      </c>
      <c r="H204" s="265">
        <v>0</v>
      </c>
      <c r="I204" s="265"/>
      <c r="J204" s="265">
        <v>0</v>
      </c>
      <c r="K204" s="265" t="s">
        <v>1445</v>
      </c>
      <c r="L204" s="265" t="s">
        <v>1445</v>
      </c>
      <c r="M204" s="265" t="s">
        <v>1445</v>
      </c>
      <c r="N204" s="265" t="s">
        <v>1445</v>
      </c>
      <c r="O204" s="264">
        <f t="shared" si="3"/>
        <v>0</v>
      </c>
    </row>
    <row r="205" spans="1:15" x14ac:dyDescent="0.3">
      <c r="A205" s="165" t="s">
        <v>1692</v>
      </c>
      <c r="B205" s="265"/>
      <c r="C205" s="265" t="str">
        <f>IFERROR(VLOOKUP(B205,Таблица1[#All],2,FALSE),"-")</f>
        <v>-</v>
      </c>
      <c r="D205" s="265"/>
      <c r="E205" s="265"/>
      <c r="F205" s="265"/>
      <c r="G205" s="265" t="str">
        <f>IFERROR(VLOOKUP(F205,Таблица3[#All],2,FALSE),"-")</f>
        <v>-</v>
      </c>
      <c r="H205" s="265">
        <v>0</v>
      </c>
      <c r="I205" s="265"/>
      <c r="J205" s="265">
        <v>0</v>
      </c>
      <c r="K205" s="265" t="s">
        <v>1445</v>
      </c>
      <c r="L205" s="265" t="s">
        <v>1445</v>
      </c>
      <c r="M205" s="265" t="s">
        <v>1445</v>
      </c>
      <c r="N205" s="265" t="s">
        <v>1445</v>
      </c>
      <c r="O205" s="264">
        <f t="shared" si="3"/>
        <v>0</v>
      </c>
    </row>
    <row r="206" spans="1:15" x14ac:dyDescent="0.3">
      <c r="A206" s="165" t="s">
        <v>1693</v>
      </c>
      <c r="B206" s="265"/>
      <c r="C206" s="265" t="str">
        <f>IFERROR(VLOOKUP(B206,Таблица1[#All],2,FALSE),"-")</f>
        <v>-</v>
      </c>
      <c r="D206" s="265"/>
      <c r="E206" s="265"/>
      <c r="F206" s="265"/>
      <c r="G206" s="265" t="str">
        <f>IFERROR(VLOOKUP(F206,Таблица3[#All],2,FALSE),"-")</f>
        <v>-</v>
      </c>
      <c r="H206" s="265">
        <v>0</v>
      </c>
      <c r="I206" s="265"/>
      <c r="J206" s="265">
        <v>0</v>
      </c>
      <c r="K206" s="265" t="s">
        <v>1445</v>
      </c>
      <c r="L206" s="265" t="s">
        <v>1445</v>
      </c>
      <c r="M206" s="265" t="s">
        <v>1445</v>
      </c>
      <c r="N206" s="265" t="s">
        <v>1445</v>
      </c>
      <c r="O206" s="264">
        <f t="shared" si="3"/>
        <v>0</v>
      </c>
    </row>
    <row r="207" spans="1:15" x14ac:dyDescent="0.3">
      <c r="A207" s="165" t="s">
        <v>1694</v>
      </c>
      <c r="B207" s="265"/>
      <c r="C207" s="265" t="str">
        <f>IFERROR(VLOOKUP(B207,Таблица1[#All],2,FALSE),"-")</f>
        <v>-</v>
      </c>
      <c r="D207" s="265"/>
      <c r="E207" s="265"/>
      <c r="F207" s="265"/>
      <c r="G207" s="265" t="str">
        <f>IFERROR(VLOOKUP(F207,Таблица3[#All],2,FALSE),"-")</f>
        <v>-</v>
      </c>
      <c r="H207" s="265">
        <v>0</v>
      </c>
      <c r="I207" s="265"/>
      <c r="J207" s="265">
        <v>0</v>
      </c>
      <c r="K207" s="265" t="s">
        <v>1445</v>
      </c>
      <c r="L207" s="265" t="s">
        <v>1445</v>
      </c>
      <c r="M207" s="265" t="s">
        <v>1445</v>
      </c>
      <c r="N207" s="265" t="s">
        <v>1445</v>
      </c>
      <c r="O207" s="264">
        <f t="shared" si="3"/>
        <v>0</v>
      </c>
    </row>
    <row r="208" spans="1:15" x14ac:dyDescent="0.3">
      <c r="A208" s="165" t="s">
        <v>1695</v>
      </c>
      <c r="B208" s="265"/>
      <c r="C208" s="265" t="str">
        <f>IFERROR(VLOOKUP(B208,Таблица1[#All],2,FALSE),"-")</f>
        <v>-</v>
      </c>
      <c r="D208" s="265"/>
      <c r="E208" s="265"/>
      <c r="F208" s="265"/>
      <c r="G208" s="265" t="str">
        <f>IFERROR(VLOOKUP(F208,Таблица3[#All],2,FALSE),"-")</f>
        <v>-</v>
      </c>
      <c r="H208" s="265">
        <v>0</v>
      </c>
      <c r="I208" s="265"/>
      <c r="J208" s="265">
        <v>0</v>
      </c>
      <c r="K208" s="265" t="s">
        <v>1445</v>
      </c>
      <c r="L208" s="265" t="s">
        <v>1445</v>
      </c>
      <c r="M208" s="265" t="s">
        <v>1445</v>
      </c>
      <c r="N208" s="265" t="s">
        <v>1445</v>
      </c>
      <c r="O208" s="264">
        <f t="shared" si="3"/>
        <v>0</v>
      </c>
    </row>
    <row r="209" spans="1:15" x14ac:dyDescent="0.3">
      <c r="A209" s="165" t="s">
        <v>1696</v>
      </c>
      <c r="B209" s="265"/>
      <c r="C209" s="265" t="str">
        <f>IFERROR(VLOOKUP(B209,Таблица1[#All],2,FALSE),"-")</f>
        <v>-</v>
      </c>
      <c r="D209" s="265"/>
      <c r="E209" s="265"/>
      <c r="F209" s="265"/>
      <c r="G209" s="265" t="str">
        <f>IFERROR(VLOOKUP(F209,Таблица3[#All],2,FALSE),"-")</f>
        <v>-</v>
      </c>
      <c r="H209" s="265">
        <v>0</v>
      </c>
      <c r="I209" s="265"/>
      <c r="J209" s="265">
        <v>0</v>
      </c>
      <c r="K209" s="265" t="s">
        <v>1445</v>
      </c>
      <c r="L209" s="265" t="s">
        <v>1445</v>
      </c>
      <c r="M209" s="265" t="s">
        <v>1445</v>
      </c>
      <c r="N209" s="265" t="s">
        <v>1445</v>
      </c>
      <c r="O209" s="264">
        <f t="shared" si="3"/>
        <v>0</v>
      </c>
    </row>
    <row r="210" spans="1:15" x14ac:dyDescent="0.3">
      <c r="A210" s="165" t="s">
        <v>1697</v>
      </c>
      <c r="B210" s="265"/>
      <c r="C210" s="265" t="str">
        <f>IFERROR(VLOOKUP(B210,Таблица1[#All],2,FALSE),"-")</f>
        <v>-</v>
      </c>
      <c r="D210" s="265"/>
      <c r="E210" s="265"/>
      <c r="F210" s="265"/>
      <c r="G210" s="265" t="str">
        <f>IFERROR(VLOOKUP(F210,Таблица3[#All],2,FALSE),"-")</f>
        <v>-</v>
      </c>
      <c r="H210" s="265">
        <v>0</v>
      </c>
      <c r="I210" s="265"/>
      <c r="J210" s="265">
        <v>0</v>
      </c>
      <c r="K210" s="265" t="s">
        <v>1445</v>
      </c>
      <c r="L210" s="265" t="s">
        <v>1445</v>
      </c>
      <c r="M210" s="265" t="s">
        <v>1445</v>
      </c>
      <c r="N210" s="265" t="s">
        <v>1445</v>
      </c>
      <c r="O210" s="264">
        <f t="shared" si="3"/>
        <v>0</v>
      </c>
    </row>
    <row r="211" spans="1:15" x14ac:dyDescent="0.3">
      <c r="A211" s="165" t="s">
        <v>1698</v>
      </c>
      <c r="B211" s="265"/>
      <c r="C211" s="265" t="str">
        <f>IFERROR(VLOOKUP(B211,Таблица1[#All],2,FALSE),"-")</f>
        <v>-</v>
      </c>
      <c r="D211" s="265"/>
      <c r="E211" s="265"/>
      <c r="F211" s="265"/>
      <c r="G211" s="265" t="str">
        <f>IFERROR(VLOOKUP(F211,Таблица3[#All],2,FALSE),"-")</f>
        <v>-</v>
      </c>
      <c r="H211" s="265">
        <v>0</v>
      </c>
      <c r="I211" s="265"/>
      <c r="J211" s="265">
        <v>0</v>
      </c>
      <c r="K211" s="265" t="s">
        <v>1445</v>
      </c>
      <c r="L211" s="265" t="s">
        <v>1445</v>
      </c>
      <c r="M211" s="265" t="s">
        <v>1445</v>
      </c>
      <c r="N211" s="265" t="s">
        <v>1445</v>
      </c>
      <c r="O211" s="264">
        <f t="shared" si="3"/>
        <v>0</v>
      </c>
    </row>
    <row r="212" spans="1:15" x14ac:dyDescent="0.3">
      <c r="A212" s="165" t="s">
        <v>1699</v>
      </c>
      <c r="B212" s="265"/>
      <c r="C212" s="265" t="str">
        <f>IFERROR(VLOOKUP(B212,Таблица1[#All],2,FALSE),"-")</f>
        <v>-</v>
      </c>
      <c r="D212" s="265"/>
      <c r="E212" s="265"/>
      <c r="F212" s="265"/>
      <c r="G212" s="265" t="str">
        <f>IFERROR(VLOOKUP(F212,Таблица3[#All],2,FALSE),"-")</f>
        <v>-</v>
      </c>
      <c r="H212" s="265">
        <v>0</v>
      </c>
      <c r="I212" s="265"/>
      <c r="J212" s="265">
        <v>0</v>
      </c>
      <c r="K212" s="265" t="s">
        <v>1445</v>
      </c>
      <c r="L212" s="265" t="s">
        <v>1445</v>
      </c>
      <c r="M212" s="265" t="s">
        <v>1445</v>
      </c>
      <c r="N212" s="265" t="s">
        <v>1445</v>
      </c>
      <c r="O212" s="264">
        <f t="shared" si="3"/>
        <v>0</v>
      </c>
    </row>
    <row r="213" spans="1:15" x14ac:dyDescent="0.3">
      <c r="A213" s="165" t="s">
        <v>1700</v>
      </c>
      <c r="B213" s="265"/>
      <c r="C213" s="265" t="str">
        <f>IFERROR(VLOOKUP(B213,Таблица1[#All],2,FALSE),"-")</f>
        <v>-</v>
      </c>
      <c r="D213" s="265"/>
      <c r="E213" s="265"/>
      <c r="F213" s="265"/>
      <c r="G213" s="265" t="str">
        <f>IFERROR(VLOOKUP(F213,Таблица3[#All],2,FALSE),"-")</f>
        <v>-</v>
      </c>
      <c r="H213" s="265">
        <v>0</v>
      </c>
      <c r="I213" s="265"/>
      <c r="J213" s="265">
        <v>0</v>
      </c>
      <c r="K213" s="265" t="s">
        <v>1445</v>
      </c>
      <c r="L213" s="265" t="s">
        <v>1445</v>
      </c>
      <c r="M213" s="265" t="s">
        <v>1445</v>
      </c>
      <c r="N213" s="265" t="s">
        <v>1445</v>
      </c>
      <c r="O213" s="264">
        <f t="shared" si="3"/>
        <v>0</v>
      </c>
    </row>
    <row r="214" spans="1:15" x14ac:dyDescent="0.3">
      <c r="A214" s="165" t="s">
        <v>1701</v>
      </c>
      <c r="B214" s="265"/>
      <c r="C214" s="265" t="str">
        <f>IFERROR(VLOOKUP(B214,Таблица1[#All],2,FALSE),"-")</f>
        <v>-</v>
      </c>
      <c r="D214" s="265"/>
      <c r="E214" s="265"/>
      <c r="F214" s="265"/>
      <c r="G214" s="265" t="str">
        <f>IFERROR(VLOOKUP(F214,Таблица3[#All],2,FALSE),"-")</f>
        <v>-</v>
      </c>
      <c r="H214" s="265">
        <v>0</v>
      </c>
      <c r="I214" s="265"/>
      <c r="J214" s="265">
        <v>0</v>
      </c>
      <c r="K214" s="265" t="s">
        <v>1445</v>
      </c>
      <c r="L214" s="265" t="s">
        <v>1445</v>
      </c>
      <c r="M214" s="265" t="s">
        <v>1445</v>
      </c>
      <c r="N214" s="265" t="s">
        <v>1445</v>
      </c>
      <c r="O214" s="264">
        <f t="shared" si="3"/>
        <v>0</v>
      </c>
    </row>
    <row r="215" spans="1:15" x14ac:dyDescent="0.3">
      <c r="A215" s="165" t="s">
        <v>1702</v>
      </c>
      <c r="B215" s="265"/>
      <c r="C215" s="265" t="str">
        <f>IFERROR(VLOOKUP(B215,Таблица1[#All],2,FALSE),"-")</f>
        <v>-</v>
      </c>
      <c r="D215" s="265"/>
      <c r="E215" s="265"/>
      <c r="F215" s="265"/>
      <c r="G215" s="265" t="str">
        <f>IFERROR(VLOOKUP(F215,Таблица3[#All],2,FALSE),"-")</f>
        <v>-</v>
      </c>
      <c r="H215" s="265">
        <v>0</v>
      </c>
      <c r="I215" s="265"/>
      <c r="J215" s="265">
        <v>0</v>
      </c>
      <c r="K215" s="265" t="s">
        <v>1445</v>
      </c>
      <c r="L215" s="265" t="s">
        <v>1445</v>
      </c>
      <c r="M215" s="265" t="s">
        <v>1445</v>
      </c>
      <c r="N215" s="265" t="s">
        <v>1445</v>
      </c>
      <c r="O215" s="264">
        <f t="shared" si="3"/>
        <v>0</v>
      </c>
    </row>
    <row r="216" spans="1:15" x14ac:dyDescent="0.3">
      <c r="A216" s="165" t="s">
        <v>1703</v>
      </c>
      <c r="B216" s="265"/>
      <c r="C216" s="265" t="str">
        <f>IFERROR(VLOOKUP(B216,Таблица1[#All],2,FALSE),"-")</f>
        <v>-</v>
      </c>
      <c r="D216" s="265"/>
      <c r="E216" s="265"/>
      <c r="F216" s="265"/>
      <c r="G216" s="265" t="str">
        <f>IFERROR(VLOOKUP(F216,Таблица3[#All],2,FALSE),"-")</f>
        <v>-</v>
      </c>
      <c r="H216" s="265">
        <v>0</v>
      </c>
      <c r="I216" s="265"/>
      <c r="J216" s="265">
        <v>0</v>
      </c>
      <c r="K216" s="265" t="s">
        <v>1445</v>
      </c>
      <c r="L216" s="265" t="s">
        <v>1445</v>
      </c>
      <c r="M216" s="265" t="s">
        <v>1445</v>
      </c>
      <c r="N216" s="265" t="s">
        <v>1445</v>
      </c>
      <c r="O216" s="264">
        <f t="shared" si="3"/>
        <v>0</v>
      </c>
    </row>
    <row r="217" spans="1:15" x14ac:dyDescent="0.3">
      <c r="A217" s="165" t="s">
        <v>1704</v>
      </c>
      <c r="B217" s="265"/>
      <c r="C217" s="265" t="str">
        <f>IFERROR(VLOOKUP(B217,Таблица1[#All],2,FALSE),"-")</f>
        <v>-</v>
      </c>
      <c r="D217" s="265"/>
      <c r="E217" s="265"/>
      <c r="F217" s="265"/>
      <c r="G217" s="265" t="str">
        <f>IFERROR(VLOOKUP(F217,Таблица3[#All],2,FALSE),"-")</f>
        <v>-</v>
      </c>
      <c r="H217" s="265">
        <v>0</v>
      </c>
      <c r="I217" s="265"/>
      <c r="J217" s="265">
        <v>0</v>
      </c>
      <c r="K217" s="265" t="s">
        <v>1445</v>
      </c>
      <c r="L217" s="265" t="s">
        <v>1445</v>
      </c>
      <c r="M217" s="265" t="s">
        <v>1445</v>
      </c>
      <c r="N217" s="265" t="s">
        <v>1445</v>
      </c>
      <c r="O217" s="264">
        <f t="shared" si="3"/>
        <v>0</v>
      </c>
    </row>
    <row r="218" spans="1:15" x14ac:dyDescent="0.3">
      <c r="A218" s="165" t="s">
        <v>1705</v>
      </c>
      <c r="B218" s="265"/>
      <c r="C218" s="265" t="str">
        <f>IFERROR(VLOOKUP(B218,Таблица1[#All],2,FALSE),"-")</f>
        <v>-</v>
      </c>
      <c r="D218" s="265"/>
      <c r="E218" s="265"/>
      <c r="F218" s="265"/>
      <c r="G218" s="265" t="str">
        <f>IFERROR(VLOOKUP(F218,Таблица3[#All],2,FALSE),"-")</f>
        <v>-</v>
      </c>
      <c r="H218" s="265">
        <v>0</v>
      </c>
      <c r="I218" s="265"/>
      <c r="J218" s="265">
        <v>0</v>
      </c>
      <c r="K218" s="265" t="s">
        <v>1445</v>
      </c>
      <c r="L218" s="265" t="s">
        <v>1445</v>
      </c>
      <c r="M218" s="265" t="s">
        <v>1445</v>
      </c>
      <c r="N218" s="265" t="s">
        <v>1445</v>
      </c>
      <c r="O218" s="264">
        <f t="shared" si="3"/>
        <v>0</v>
      </c>
    </row>
    <row r="219" spans="1:15" x14ac:dyDescent="0.3">
      <c r="A219" s="165" t="s">
        <v>1706</v>
      </c>
      <c r="B219" s="265"/>
      <c r="C219" s="265" t="str">
        <f>IFERROR(VLOOKUP(B219,Таблица1[#All],2,FALSE),"-")</f>
        <v>-</v>
      </c>
      <c r="D219" s="265"/>
      <c r="E219" s="265"/>
      <c r="F219" s="265"/>
      <c r="G219" s="265" t="str">
        <f>IFERROR(VLOOKUP(F219,Таблица3[#All],2,FALSE),"-")</f>
        <v>-</v>
      </c>
      <c r="H219" s="265">
        <v>0</v>
      </c>
      <c r="I219" s="265"/>
      <c r="J219" s="265">
        <v>0</v>
      </c>
      <c r="K219" s="265" t="s">
        <v>1445</v>
      </c>
      <c r="L219" s="265" t="s">
        <v>1445</v>
      </c>
      <c r="M219" s="265" t="s">
        <v>1445</v>
      </c>
      <c r="N219" s="265" t="s">
        <v>1445</v>
      </c>
      <c r="O219" s="264">
        <f t="shared" si="3"/>
        <v>0</v>
      </c>
    </row>
    <row r="220" spans="1:15" x14ac:dyDescent="0.3">
      <c r="A220" s="165" t="s">
        <v>1707</v>
      </c>
      <c r="B220" s="265"/>
      <c r="C220" s="265" t="str">
        <f>IFERROR(VLOOKUP(B220,Таблица1[#All],2,FALSE),"-")</f>
        <v>-</v>
      </c>
      <c r="D220" s="265"/>
      <c r="E220" s="265"/>
      <c r="F220" s="265"/>
      <c r="G220" s="265" t="str">
        <f>IFERROR(VLOOKUP(F220,Таблица3[#All],2,FALSE),"-")</f>
        <v>-</v>
      </c>
      <c r="H220" s="265">
        <v>0</v>
      </c>
      <c r="I220" s="265"/>
      <c r="J220" s="265">
        <v>0</v>
      </c>
      <c r="K220" s="265" t="s">
        <v>1445</v>
      </c>
      <c r="L220" s="265" t="s">
        <v>1445</v>
      </c>
      <c r="M220" s="265" t="s">
        <v>1445</v>
      </c>
      <c r="N220" s="265" t="s">
        <v>1445</v>
      </c>
      <c r="O220" s="264">
        <f t="shared" si="3"/>
        <v>0</v>
      </c>
    </row>
    <row r="221" spans="1:15" x14ac:dyDescent="0.3">
      <c r="A221" s="165" t="s">
        <v>1708</v>
      </c>
      <c r="B221" s="265"/>
      <c r="C221" s="265" t="str">
        <f>IFERROR(VLOOKUP(B221,Таблица1[#All],2,FALSE),"-")</f>
        <v>-</v>
      </c>
      <c r="D221" s="265"/>
      <c r="E221" s="265"/>
      <c r="F221" s="265"/>
      <c r="G221" s="265" t="str">
        <f>IFERROR(VLOOKUP(F221,Таблица3[#All],2,FALSE),"-")</f>
        <v>-</v>
      </c>
      <c r="H221" s="265">
        <v>0</v>
      </c>
      <c r="I221" s="265"/>
      <c r="J221" s="265">
        <v>0</v>
      </c>
      <c r="K221" s="265" t="s">
        <v>1445</v>
      </c>
      <c r="L221" s="265" t="s">
        <v>1445</v>
      </c>
      <c r="M221" s="265" t="s">
        <v>1445</v>
      </c>
      <c r="N221" s="265" t="s">
        <v>1445</v>
      </c>
      <c r="O221" s="264">
        <f t="shared" si="3"/>
        <v>0</v>
      </c>
    </row>
    <row r="222" spans="1:15" x14ac:dyDescent="0.3">
      <c r="A222" s="165" t="s">
        <v>1709</v>
      </c>
      <c r="B222" s="265"/>
      <c r="C222" s="265" t="str">
        <f>IFERROR(VLOOKUP(B222,Таблица1[#All],2,FALSE),"-")</f>
        <v>-</v>
      </c>
      <c r="D222" s="265"/>
      <c r="E222" s="265"/>
      <c r="F222" s="265"/>
      <c r="G222" s="265" t="str">
        <f>IFERROR(VLOOKUP(F222,Таблица3[#All],2,FALSE),"-")</f>
        <v>-</v>
      </c>
      <c r="H222" s="265">
        <v>0</v>
      </c>
      <c r="I222" s="265"/>
      <c r="J222" s="265">
        <v>0</v>
      </c>
      <c r="K222" s="265" t="s">
        <v>1445</v>
      </c>
      <c r="L222" s="265" t="s">
        <v>1445</v>
      </c>
      <c r="M222" s="265" t="s">
        <v>1445</v>
      </c>
      <c r="N222" s="265" t="s">
        <v>1445</v>
      </c>
      <c r="O222" s="264">
        <f t="shared" si="3"/>
        <v>0</v>
      </c>
    </row>
    <row r="223" spans="1:15" x14ac:dyDescent="0.3">
      <c r="A223" s="165" t="s">
        <v>1710</v>
      </c>
      <c r="B223" s="265"/>
      <c r="C223" s="265" t="str">
        <f>IFERROR(VLOOKUP(B223,Таблица1[#All],2,FALSE),"-")</f>
        <v>-</v>
      </c>
      <c r="D223" s="265"/>
      <c r="E223" s="265"/>
      <c r="F223" s="265"/>
      <c r="G223" s="265" t="str">
        <f>IFERROR(VLOOKUP(F223,Таблица3[#All],2,FALSE),"-")</f>
        <v>-</v>
      </c>
      <c r="H223" s="265">
        <v>0</v>
      </c>
      <c r="I223" s="265"/>
      <c r="J223" s="265">
        <v>0</v>
      </c>
      <c r="K223" s="265" t="s">
        <v>1445</v>
      </c>
      <c r="L223" s="265" t="s">
        <v>1445</v>
      </c>
      <c r="M223" s="265" t="s">
        <v>1445</v>
      </c>
      <c r="N223" s="265" t="s">
        <v>1445</v>
      </c>
      <c r="O223" s="264">
        <f t="shared" si="3"/>
        <v>0</v>
      </c>
    </row>
    <row r="224" spans="1:15" x14ac:dyDescent="0.3">
      <c r="A224" s="165" t="s">
        <v>1711</v>
      </c>
      <c r="B224" s="265"/>
      <c r="C224" s="265" t="str">
        <f>IFERROR(VLOOKUP(B224,Таблица1[#All],2,FALSE),"-")</f>
        <v>-</v>
      </c>
      <c r="D224" s="265"/>
      <c r="E224" s="265"/>
      <c r="F224" s="265"/>
      <c r="G224" s="265" t="str">
        <f>IFERROR(VLOOKUP(F224,Таблица3[#All],2,FALSE),"-")</f>
        <v>-</v>
      </c>
      <c r="H224" s="265">
        <v>0</v>
      </c>
      <c r="I224" s="265"/>
      <c r="J224" s="265">
        <v>0</v>
      </c>
      <c r="K224" s="265" t="s">
        <v>1445</v>
      </c>
      <c r="L224" s="265" t="s">
        <v>1445</v>
      </c>
      <c r="M224" s="265" t="s">
        <v>1445</v>
      </c>
      <c r="N224" s="265" t="s">
        <v>1445</v>
      </c>
      <c r="O224" s="264">
        <f t="shared" si="3"/>
        <v>0</v>
      </c>
    </row>
    <row r="225" spans="1:15" x14ac:dyDescent="0.3">
      <c r="A225" s="165" t="s">
        <v>1712</v>
      </c>
      <c r="B225" s="265"/>
      <c r="C225" s="265" t="str">
        <f>IFERROR(VLOOKUP(B225,Таблица1[#All],2,FALSE),"-")</f>
        <v>-</v>
      </c>
      <c r="D225" s="265"/>
      <c r="E225" s="265"/>
      <c r="F225" s="265"/>
      <c r="G225" s="265" t="str">
        <f>IFERROR(VLOOKUP(F225,Таблица3[#All],2,FALSE),"-")</f>
        <v>-</v>
      </c>
      <c r="H225" s="265">
        <v>0</v>
      </c>
      <c r="I225" s="265"/>
      <c r="J225" s="265">
        <v>0</v>
      </c>
      <c r="K225" s="265" t="s">
        <v>1445</v>
      </c>
      <c r="L225" s="265" t="s">
        <v>1445</v>
      </c>
      <c r="M225" s="265" t="s">
        <v>1445</v>
      </c>
      <c r="N225" s="265" t="s">
        <v>1445</v>
      </c>
      <c r="O225" s="264">
        <f t="shared" si="3"/>
        <v>0</v>
      </c>
    </row>
    <row r="226" spans="1:15" x14ac:dyDescent="0.3">
      <c r="A226" s="165" t="s">
        <v>1713</v>
      </c>
      <c r="B226" s="265"/>
      <c r="C226" s="265" t="str">
        <f>IFERROR(VLOOKUP(B226,Таблица1[#All],2,FALSE),"-")</f>
        <v>-</v>
      </c>
      <c r="D226" s="265"/>
      <c r="E226" s="265"/>
      <c r="F226" s="265"/>
      <c r="G226" s="265" t="str">
        <f>IFERROR(VLOOKUP(F226,Таблица3[#All],2,FALSE),"-")</f>
        <v>-</v>
      </c>
      <c r="H226" s="265">
        <v>0</v>
      </c>
      <c r="I226" s="265"/>
      <c r="J226" s="265">
        <v>0</v>
      </c>
      <c r="K226" s="265" t="s">
        <v>1445</v>
      </c>
      <c r="L226" s="265" t="s">
        <v>1445</v>
      </c>
      <c r="M226" s="265" t="s">
        <v>1445</v>
      </c>
      <c r="N226" s="265" t="s">
        <v>1445</v>
      </c>
      <c r="O226" s="264">
        <f t="shared" si="3"/>
        <v>0</v>
      </c>
    </row>
    <row r="227" spans="1:15" x14ac:dyDescent="0.3">
      <c r="A227" s="165" t="s">
        <v>1714</v>
      </c>
      <c r="B227" s="265"/>
      <c r="C227" s="265" t="str">
        <f>IFERROR(VLOOKUP(B227,Таблица1[#All],2,FALSE),"-")</f>
        <v>-</v>
      </c>
      <c r="D227" s="265"/>
      <c r="E227" s="265"/>
      <c r="F227" s="265"/>
      <c r="G227" s="265" t="str">
        <f>IFERROR(VLOOKUP(F227,Таблица3[#All],2,FALSE),"-")</f>
        <v>-</v>
      </c>
      <c r="H227" s="265">
        <v>0</v>
      </c>
      <c r="I227" s="265"/>
      <c r="J227" s="265">
        <v>0</v>
      </c>
      <c r="K227" s="265" t="s">
        <v>1445</v>
      </c>
      <c r="L227" s="265" t="s">
        <v>1445</v>
      </c>
      <c r="M227" s="265" t="s">
        <v>1445</v>
      </c>
      <c r="N227" s="265" t="s">
        <v>1445</v>
      </c>
      <c r="O227" s="264">
        <f t="shared" si="3"/>
        <v>0</v>
      </c>
    </row>
    <row r="228" spans="1:15" x14ac:dyDescent="0.3">
      <c r="A228" s="165" t="s">
        <v>1715</v>
      </c>
      <c r="B228" s="265"/>
      <c r="C228" s="265" t="str">
        <f>IFERROR(VLOOKUP(B228,Таблица1[#All],2,FALSE),"-")</f>
        <v>-</v>
      </c>
      <c r="D228" s="265"/>
      <c r="E228" s="265"/>
      <c r="F228" s="265"/>
      <c r="G228" s="265" t="str">
        <f>IFERROR(VLOOKUP(F228,Таблица3[#All],2,FALSE),"-")</f>
        <v>-</v>
      </c>
      <c r="H228" s="265">
        <v>0</v>
      </c>
      <c r="I228" s="265"/>
      <c r="J228" s="265">
        <v>0</v>
      </c>
      <c r="K228" s="265" t="s">
        <v>1445</v>
      </c>
      <c r="L228" s="265" t="s">
        <v>1445</v>
      </c>
      <c r="M228" s="265" t="s">
        <v>1445</v>
      </c>
      <c r="N228" s="265" t="s">
        <v>1445</v>
      </c>
      <c r="O228" s="264">
        <f t="shared" si="3"/>
        <v>0</v>
      </c>
    </row>
    <row r="229" spans="1:15" x14ac:dyDescent="0.3">
      <c r="A229" s="165" t="s">
        <v>1716</v>
      </c>
      <c r="B229" s="265"/>
      <c r="C229" s="265" t="str">
        <f>IFERROR(VLOOKUP(B229,Таблица1[#All],2,FALSE),"-")</f>
        <v>-</v>
      </c>
      <c r="D229" s="265"/>
      <c r="E229" s="265"/>
      <c r="F229" s="265"/>
      <c r="G229" s="265" t="str">
        <f>IFERROR(VLOOKUP(F229,Таблица3[#All],2,FALSE),"-")</f>
        <v>-</v>
      </c>
      <c r="H229" s="265">
        <v>0</v>
      </c>
      <c r="I229" s="265"/>
      <c r="J229" s="265">
        <v>0</v>
      </c>
      <c r="K229" s="265" t="s">
        <v>1445</v>
      </c>
      <c r="L229" s="265" t="s">
        <v>1445</v>
      </c>
      <c r="M229" s="265" t="s">
        <v>1445</v>
      </c>
      <c r="N229" s="265" t="s">
        <v>1445</v>
      </c>
      <c r="O229" s="264">
        <f t="shared" si="3"/>
        <v>0</v>
      </c>
    </row>
    <row r="230" spans="1:15" x14ac:dyDescent="0.3">
      <c r="A230" s="165" t="s">
        <v>1717</v>
      </c>
      <c r="B230" s="265"/>
      <c r="C230" s="265" t="str">
        <f>IFERROR(VLOOKUP(B230,Таблица1[#All],2,FALSE),"-")</f>
        <v>-</v>
      </c>
      <c r="D230" s="265"/>
      <c r="E230" s="265"/>
      <c r="F230" s="265"/>
      <c r="G230" s="265" t="str">
        <f>IFERROR(VLOOKUP(F230,Таблица3[#All],2,FALSE),"-")</f>
        <v>-</v>
      </c>
      <c r="H230" s="265">
        <v>0</v>
      </c>
      <c r="I230" s="265"/>
      <c r="J230" s="265">
        <v>0</v>
      </c>
      <c r="K230" s="265" t="s">
        <v>1445</v>
      </c>
      <c r="L230" s="265" t="s">
        <v>1445</v>
      </c>
      <c r="M230" s="265" t="s">
        <v>1445</v>
      </c>
      <c r="N230" s="265" t="s">
        <v>1445</v>
      </c>
      <c r="O230" s="264">
        <f t="shared" si="3"/>
        <v>0</v>
      </c>
    </row>
    <row r="231" spans="1:15" x14ac:dyDescent="0.3">
      <c r="A231" s="165" t="s">
        <v>1718</v>
      </c>
      <c r="B231" s="265"/>
      <c r="C231" s="265" t="str">
        <f>IFERROR(VLOOKUP(B231,Таблица1[#All],2,FALSE),"-")</f>
        <v>-</v>
      </c>
      <c r="D231" s="265"/>
      <c r="E231" s="265"/>
      <c r="F231" s="265"/>
      <c r="G231" s="265" t="str">
        <f>IFERROR(VLOOKUP(F231,Таблица3[#All],2,FALSE),"-")</f>
        <v>-</v>
      </c>
      <c r="H231" s="265">
        <v>0</v>
      </c>
      <c r="I231" s="265"/>
      <c r="J231" s="265">
        <v>0</v>
      </c>
      <c r="K231" s="265" t="s">
        <v>1445</v>
      </c>
      <c r="L231" s="265" t="s">
        <v>1445</v>
      </c>
      <c r="M231" s="265" t="s">
        <v>1445</v>
      </c>
      <c r="N231" s="265" t="s">
        <v>1445</v>
      </c>
      <c r="O231" s="264">
        <f t="shared" si="3"/>
        <v>0</v>
      </c>
    </row>
    <row r="232" spans="1:15" x14ac:dyDescent="0.3">
      <c r="A232" s="165" t="s">
        <v>1719</v>
      </c>
      <c r="B232" s="265"/>
      <c r="C232" s="265" t="str">
        <f>IFERROR(VLOOKUP(B232,Таблица1[#All],2,FALSE),"-")</f>
        <v>-</v>
      </c>
      <c r="D232" s="265"/>
      <c r="E232" s="265"/>
      <c r="F232" s="265"/>
      <c r="G232" s="265" t="str">
        <f>IFERROR(VLOOKUP(F232,Таблица3[#All],2,FALSE),"-")</f>
        <v>-</v>
      </c>
      <c r="H232" s="265">
        <v>0</v>
      </c>
      <c r="I232" s="265"/>
      <c r="J232" s="265">
        <v>0</v>
      </c>
      <c r="K232" s="265" t="s">
        <v>1445</v>
      </c>
      <c r="L232" s="265" t="s">
        <v>1445</v>
      </c>
      <c r="M232" s="265" t="s">
        <v>1445</v>
      </c>
      <c r="N232" s="265" t="s">
        <v>1445</v>
      </c>
      <c r="O232" s="264">
        <f t="shared" si="3"/>
        <v>0</v>
      </c>
    </row>
    <row r="233" spans="1:15" x14ac:dyDescent="0.3">
      <c r="A233" s="165" t="s">
        <v>1720</v>
      </c>
      <c r="B233" s="265"/>
      <c r="C233" s="265" t="str">
        <f>IFERROR(VLOOKUP(B233,Таблица1[#All],2,FALSE),"-")</f>
        <v>-</v>
      </c>
      <c r="D233" s="265"/>
      <c r="E233" s="265"/>
      <c r="F233" s="265"/>
      <c r="G233" s="265" t="str">
        <f>IFERROR(VLOOKUP(F233,Таблица3[#All],2,FALSE),"-")</f>
        <v>-</v>
      </c>
      <c r="H233" s="265">
        <v>0</v>
      </c>
      <c r="I233" s="265"/>
      <c r="J233" s="265">
        <v>0</v>
      </c>
      <c r="K233" s="265" t="s">
        <v>1445</v>
      </c>
      <c r="L233" s="265" t="s">
        <v>1445</v>
      </c>
      <c r="M233" s="265" t="s">
        <v>1445</v>
      </c>
      <c r="N233" s="265" t="s">
        <v>1445</v>
      </c>
      <c r="O233" s="264">
        <f t="shared" si="3"/>
        <v>0</v>
      </c>
    </row>
    <row r="234" spans="1:15" x14ac:dyDescent="0.3">
      <c r="A234" s="165" t="s">
        <v>1721</v>
      </c>
      <c r="B234" s="265"/>
      <c r="C234" s="265" t="str">
        <f>IFERROR(VLOOKUP(B234,Таблица1[#All],2,FALSE),"-")</f>
        <v>-</v>
      </c>
      <c r="D234" s="265"/>
      <c r="E234" s="265"/>
      <c r="F234" s="265"/>
      <c r="G234" s="265" t="str">
        <f>IFERROR(VLOOKUP(F234,Таблица3[#All],2,FALSE),"-")</f>
        <v>-</v>
      </c>
      <c r="H234" s="265">
        <v>0</v>
      </c>
      <c r="I234" s="265"/>
      <c r="J234" s="265">
        <v>0</v>
      </c>
      <c r="K234" s="265" t="s">
        <v>1445</v>
      </c>
      <c r="L234" s="265" t="s">
        <v>1445</v>
      </c>
      <c r="M234" s="265" t="s">
        <v>1445</v>
      </c>
      <c r="N234" s="265" t="s">
        <v>1445</v>
      </c>
      <c r="O234" s="264">
        <f t="shared" si="3"/>
        <v>0</v>
      </c>
    </row>
    <row r="235" spans="1:15" x14ac:dyDescent="0.3">
      <c r="A235" s="165" t="s">
        <v>1722</v>
      </c>
      <c r="B235" s="265"/>
      <c r="C235" s="265" t="str">
        <f>IFERROR(VLOOKUP(B235,Таблица1[#All],2,FALSE),"-")</f>
        <v>-</v>
      </c>
      <c r="D235" s="265"/>
      <c r="E235" s="265"/>
      <c r="F235" s="265"/>
      <c r="G235" s="265" t="str">
        <f>IFERROR(VLOOKUP(F235,Таблица3[#All],2,FALSE),"-")</f>
        <v>-</v>
      </c>
      <c r="H235" s="265">
        <v>0</v>
      </c>
      <c r="I235" s="265"/>
      <c r="J235" s="265">
        <v>0</v>
      </c>
      <c r="K235" s="265" t="s">
        <v>1445</v>
      </c>
      <c r="L235" s="265" t="s">
        <v>1445</v>
      </c>
      <c r="M235" s="265" t="s">
        <v>1445</v>
      </c>
      <c r="N235" s="265" t="s">
        <v>1445</v>
      </c>
      <c r="O235" s="264">
        <f t="shared" si="3"/>
        <v>0</v>
      </c>
    </row>
    <row r="236" spans="1:15" x14ac:dyDescent="0.3">
      <c r="A236" s="165" t="s">
        <v>1723</v>
      </c>
      <c r="B236" s="265"/>
      <c r="C236" s="265" t="str">
        <f>IFERROR(VLOOKUP(B236,Таблица1[#All],2,FALSE),"-")</f>
        <v>-</v>
      </c>
      <c r="D236" s="265"/>
      <c r="E236" s="265"/>
      <c r="F236" s="265"/>
      <c r="G236" s="265" t="str">
        <f>IFERROR(VLOOKUP(F236,Таблица3[#All],2,FALSE),"-")</f>
        <v>-</v>
      </c>
      <c r="H236" s="265">
        <v>0</v>
      </c>
      <c r="I236" s="265"/>
      <c r="J236" s="265">
        <v>0</v>
      </c>
      <c r="K236" s="265" t="s">
        <v>1445</v>
      </c>
      <c r="L236" s="265" t="s">
        <v>1445</v>
      </c>
      <c r="M236" s="265" t="s">
        <v>1445</v>
      </c>
      <c r="N236" s="265" t="s">
        <v>1445</v>
      </c>
      <c r="O236" s="264">
        <f t="shared" si="3"/>
        <v>0</v>
      </c>
    </row>
    <row r="237" spans="1:15" x14ac:dyDescent="0.3">
      <c r="A237" s="165" t="s">
        <v>1724</v>
      </c>
      <c r="B237" s="265"/>
      <c r="C237" s="265" t="str">
        <f>IFERROR(VLOOKUP(B237,Таблица1[#All],2,FALSE),"-")</f>
        <v>-</v>
      </c>
      <c r="D237" s="265"/>
      <c r="E237" s="265"/>
      <c r="F237" s="265"/>
      <c r="G237" s="265" t="str">
        <f>IFERROR(VLOOKUP(F237,Таблица3[#All],2,FALSE),"-")</f>
        <v>-</v>
      </c>
      <c r="H237" s="265">
        <v>0</v>
      </c>
      <c r="I237" s="265"/>
      <c r="J237" s="265">
        <v>0</v>
      </c>
      <c r="K237" s="265" t="s">
        <v>1445</v>
      </c>
      <c r="L237" s="265" t="s">
        <v>1445</v>
      </c>
      <c r="M237" s="265" t="s">
        <v>1445</v>
      </c>
      <c r="N237" s="265" t="s">
        <v>1445</v>
      </c>
      <c r="O237" s="264">
        <f t="shared" si="3"/>
        <v>0</v>
      </c>
    </row>
    <row r="238" spans="1:15" x14ac:dyDescent="0.3">
      <c r="A238" s="165" t="s">
        <v>1725</v>
      </c>
      <c r="B238" s="265"/>
      <c r="C238" s="265" t="str">
        <f>IFERROR(VLOOKUP(B238,Таблица1[#All],2,FALSE),"-")</f>
        <v>-</v>
      </c>
      <c r="D238" s="265"/>
      <c r="E238" s="265"/>
      <c r="F238" s="265"/>
      <c r="G238" s="265" t="str">
        <f>IFERROR(VLOOKUP(F238,Таблица3[#All],2,FALSE),"-")</f>
        <v>-</v>
      </c>
      <c r="H238" s="265">
        <v>0</v>
      </c>
      <c r="I238" s="265"/>
      <c r="J238" s="265">
        <v>0</v>
      </c>
      <c r="K238" s="265" t="s">
        <v>1445</v>
      </c>
      <c r="L238" s="265" t="s">
        <v>1445</v>
      </c>
      <c r="M238" s="265" t="s">
        <v>1445</v>
      </c>
      <c r="N238" s="265" t="s">
        <v>1445</v>
      </c>
      <c r="O238" s="264">
        <f t="shared" si="3"/>
        <v>0</v>
      </c>
    </row>
    <row r="239" spans="1:15" x14ac:dyDescent="0.3">
      <c r="A239" s="165" t="s">
        <v>1726</v>
      </c>
      <c r="B239" s="265"/>
      <c r="C239" s="265" t="str">
        <f>IFERROR(VLOOKUP(B239,Таблица1[#All],2,FALSE),"-")</f>
        <v>-</v>
      </c>
      <c r="D239" s="265"/>
      <c r="E239" s="265"/>
      <c r="F239" s="265"/>
      <c r="G239" s="265" t="str">
        <f>IFERROR(VLOOKUP(F239,Таблица3[#All],2,FALSE),"-")</f>
        <v>-</v>
      </c>
      <c r="H239" s="265">
        <v>0</v>
      </c>
      <c r="I239" s="265"/>
      <c r="J239" s="265">
        <v>0</v>
      </c>
      <c r="K239" s="265" t="s">
        <v>1445</v>
      </c>
      <c r="L239" s="265" t="s">
        <v>1445</v>
      </c>
      <c r="M239" s="265" t="s">
        <v>1445</v>
      </c>
      <c r="N239" s="265" t="s">
        <v>1445</v>
      </c>
      <c r="O239" s="264">
        <f t="shared" si="3"/>
        <v>0</v>
      </c>
    </row>
    <row r="240" spans="1:15" x14ac:dyDescent="0.3">
      <c r="A240" s="165" t="s">
        <v>1727</v>
      </c>
      <c r="B240" s="265"/>
      <c r="C240" s="265" t="str">
        <f>IFERROR(VLOOKUP(B240,Таблица1[#All],2,FALSE),"-")</f>
        <v>-</v>
      </c>
      <c r="D240" s="265"/>
      <c r="E240" s="265"/>
      <c r="F240" s="265"/>
      <c r="G240" s="265" t="str">
        <f>IFERROR(VLOOKUP(F240,Таблица3[#All],2,FALSE),"-")</f>
        <v>-</v>
      </c>
      <c r="H240" s="265">
        <v>0</v>
      </c>
      <c r="I240" s="265"/>
      <c r="J240" s="265">
        <v>0</v>
      </c>
      <c r="K240" s="265" t="s">
        <v>1445</v>
      </c>
      <c r="L240" s="265" t="s">
        <v>1445</v>
      </c>
      <c r="M240" s="265" t="s">
        <v>1445</v>
      </c>
      <c r="N240" s="265" t="s">
        <v>1445</v>
      </c>
      <c r="O240" s="264">
        <f t="shared" si="3"/>
        <v>0</v>
      </c>
    </row>
    <row r="241" spans="1:15" x14ac:dyDescent="0.3">
      <c r="A241" s="165" t="s">
        <v>1728</v>
      </c>
      <c r="B241" s="265"/>
      <c r="C241" s="265" t="str">
        <f>IFERROR(VLOOKUP(B241,Таблица1[#All],2,FALSE),"-")</f>
        <v>-</v>
      </c>
      <c r="D241" s="265"/>
      <c r="E241" s="265"/>
      <c r="F241" s="265"/>
      <c r="G241" s="265" t="str">
        <f>IFERROR(VLOOKUP(F241,Таблица3[#All],2,FALSE),"-")</f>
        <v>-</v>
      </c>
      <c r="H241" s="265">
        <v>0</v>
      </c>
      <c r="I241" s="265"/>
      <c r="J241" s="265">
        <v>0</v>
      </c>
      <c r="K241" s="265" t="s">
        <v>1445</v>
      </c>
      <c r="L241" s="265" t="s">
        <v>1445</v>
      </c>
      <c r="M241" s="265" t="s">
        <v>1445</v>
      </c>
      <c r="N241" s="265" t="s">
        <v>1445</v>
      </c>
      <c r="O241" s="264">
        <f t="shared" si="3"/>
        <v>0</v>
      </c>
    </row>
    <row r="242" spans="1:15" x14ac:dyDescent="0.3">
      <c r="A242" s="165" t="s">
        <v>1729</v>
      </c>
      <c r="B242" s="265"/>
      <c r="C242" s="265" t="str">
        <f>IFERROR(VLOOKUP(B242,Таблица1[#All],2,FALSE),"-")</f>
        <v>-</v>
      </c>
      <c r="D242" s="265"/>
      <c r="E242" s="265"/>
      <c r="F242" s="265"/>
      <c r="G242" s="265" t="str">
        <f>IFERROR(VLOOKUP(F242,Таблица3[#All],2,FALSE),"-")</f>
        <v>-</v>
      </c>
      <c r="H242" s="265">
        <v>0</v>
      </c>
      <c r="I242" s="265"/>
      <c r="J242" s="265">
        <v>0</v>
      </c>
      <c r="K242" s="265" t="s">
        <v>1445</v>
      </c>
      <c r="L242" s="265" t="s">
        <v>1445</v>
      </c>
      <c r="M242" s="265" t="s">
        <v>1445</v>
      </c>
      <c r="N242" s="265" t="s">
        <v>1445</v>
      </c>
      <c r="O242" s="264">
        <f t="shared" si="3"/>
        <v>0</v>
      </c>
    </row>
    <row r="243" spans="1:15" x14ac:dyDescent="0.3">
      <c r="A243" s="165" t="s">
        <v>1730</v>
      </c>
      <c r="B243" s="265"/>
      <c r="C243" s="265" t="str">
        <f>IFERROR(VLOOKUP(B243,Таблица1[#All],2,FALSE),"-")</f>
        <v>-</v>
      </c>
      <c r="D243" s="265"/>
      <c r="E243" s="265"/>
      <c r="F243" s="265"/>
      <c r="G243" s="265" t="str">
        <f>IFERROR(VLOOKUP(F243,Таблица3[#All],2,FALSE),"-")</f>
        <v>-</v>
      </c>
      <c r="H243" s="265">
        <v>0</v>
      </c>
      <c r="I243" s="265"/>
      <c r="J243" s="265">
        <v>0</v>
      </c>
      <c r="K243" s="265" t="s">
        <v>1445</v>
      </c>
      <c r="L243" s="265" t="s">
        <v>1445</v>
      </c>
      <c r="M243" s="265" t="s">
        <v>1445</v>
      </c>
      <c r="N243" s="265" t="s">
        <v>1445</v>
      </c>
      <c r="O243" s="264">
        <f t="shared" si="3"/>
        <v>0</v>
      </c>
    </row>
    <row r="244" spans="1:15" x14ac:dyDescent="0.3">
      <c r="A244" s="165" t="s">
        <v>1731</v>
      </c>
      <c r="B244" s="265"/>
      <c r="C244" s="265" t="str">
        <f>IFERROR(VLOOKUP(B244,Таблица1[#All],2,FALSE),"-")</f>
        <v>-</v>
      </c>
      <c r="D244" s="265"/>
      <c r="E244" s="265"/>
      <c r="F244" s="265"/>
      <c r="G244" s="265" t="str">
        <f>IFERROR(VLOOKUP(F244,Таблица3[#All],2,FALSE),"-")</f>
        <v>-</v>
      </c>
      <c r="H244" s="265">
        <v>0</v>
      </c>
      <c r="I244" s="265"/>
      <c r="J244" s="265">
        <v>0</v>
      </c>
      <c r="K244" s="265" t="s">
        <v>1445</v>
      </c>
      <c r="L244" s="265" t="s">
        <v>1445</v>
      </c>
      <c r="M244" s="265" t="s">
        <v>1445</v>
      </c>
      <c r="N244" s="265" t="s">
        <v>1445</v>
      </c>
      <c r="O244" s="264">
        <f t="shared" si="3"/>
        <v>0</v>
      </c>
    </row>
    <row r="245" spans="1:15" x14ac:dyDescent="0.3">
      <c r="A245" s="165" t="s">
        <v>1732</v>
      </c>
      <c r="B245" s="265"/>
      <c r="C245" s="265" t="str">
        <f>IFERROR(VLOOKUP(B245,Таблица1[#All],2,FALSE),"-")</f>
        <v>-</v>
      </c>
      <c r="D245" s="265"/>
      <c r="E245" s="265"/>
      <c r="F245" s="265"/>
      <c r="G245" s="265" t="str">
        <f>IFERROR(VLOOKUP(F245,Таблица3[#All],2,FALSE),"-")</f>
        <v>-</v>
      </c>
      <c r="H245" s="265">
        <v>0</v>
      </c>
      <c r="I245" s="265"/>
      <c r="J245" s="265">
        <v>0</v>
      </c>
      <c r="K245" s="265" t="s">
        <v>1445</v>
      </c>
      <c r="L245" s="265" t="s">
        <v>1445</v>
      </c>
      <c r="M245" s="265" t="s">
        <v>1445</v>
      </c>
      <c r="N245" s="265" t="s">
        <v>1445</v>
      </c>
      <c r="O245" s="264">
        <f t="shared" si="3"/>
        <v>0</v>
      </c>
    </row>
    <row r="246" spans="1:15" x14ac:dyDescent="0.3">
      <c r="A246" s="165" t="s">
        <v>1733</v>
      </c>
      <c r="B246" s="265"/>
      <c r="C246" s="265" t="str">
        <f>IFERROR(VLOOKUP(B246,Таблица1[#All],2,FALSE),"-")</f>
        <v>-</v>
      </c>
      <c r="D246" s="265"/>
      <c r="E246" s="265"/>
      <c r="F246" s="265"/>
      <c r="G246" s="265" t="str">
        <f>IFERROR(VLOOKUP(F246,Таблица3[#All],2,FALSE),"-")</f>
        <v>-</v>
      </c>
      <c r="H246" s="265">
        <v>0</v>
      </c>
      <c r="I246" s="265"/>
      <c r="J246" s="265">
        <v>0</v>
      </c>
      <c r="K246" s="265" t="s">
        <v>1445</v>
      </c>
      <c r="L246" s="265" t="s">
        <v>1445</v>
      </c>
      <c r="M246" s="265" t="s">
        <v>1445</v>
      </c>
      <c r="N246" s="265" t="s">
        <v>1445</v>
      </c>
      <c r="O246" s="264">
        <f t="shared" si="3"/>
        <v>0</v>
      </c>
    </row>
    <row r="247" spans="1:15" x14ac:dyDescent="0.3">
      <c r="A247" s="165" t="s">
        <v>1734</v>
      </c>
      <c r="B247" s="265"/>
      <c r="C247" s="265" t="str">
        <f>IFERROR(VLOOKUP(B247,Таблица1[#All],2,FALSE),"-")</f>
        <v>-</v>
      </c>
      <c r="D247" s="265"/>
      <c r="E247" s="265"/>
      <c r="F247" s="265"/>
      <c r="G247" s="265" t="str">
        <f>IFERROR(VLOOKUP(F247,Таблица3[#All],2,FALSE),"-")</f>
        <v>-</v>
      </c>
      <c r="H247" s="265">
        <v>0</v>
      </c>
      <c r="I247" s="265"/>
      <c r="J247" s="265">
        <v>0</v>
      </c>
      <c r="K247" s="265" t="s">
        <v>1445</v>
      </c>
      <c r="L247" s="265" t="s">
        <v>1445</v>
      </c>
      <c r="M247" s="265" t="s">
        <v>1445</v>
      </c>
      <c r="N247" s="265" t="s">
        <v>1445</v>
      </c>
      <c r="O247" s="264">
        <f t="shared" si="3"/>
        <v>0</v>
      </c>
    </row>
    <row r="248" spans="1:15" x14ac:dyDescent="0.3">
      <c r="A248" s="165" t="s">
        <v>1735</v>
      </c>
      <c r="B248" s="265"/>
      <c r="C248" s="265" t="str">
        <f>IFERROR(VLOOKUP(B248,Таблица1[#All],2,FALSE),"-")</f>
        <v>-</v>
      </c>
      <c r="D248" s="265"/>
      <c r="E248" s="265"/>
      <c r="F248" s="265"/>
      <c r="G248" s="265" t="str">
        <f>IFERROR(VLOOKUP(F248,Таблица3[#All],2,FALSE),"-")</f>
        <v>-</v>
      </c>
      <c r="H248" s="265">
        <v>0</v>
      </c>
      <c r="I248" s="265"/>
      <c r="J248" s="265">
        <v>0</v>
      </c>
      <c r="K248" s="265" t="s">
        <v>1445</v>
      </c>
      <c r="L248" s="265" t="s">
        <v>1445</v>
      </c>
      <c r="M248" s="265" t="s">
        <v>1445</v>
      </c>
      <c r="N248" s="265" t="s">
        <v>1445</v>
      </c>
      <c r="O248" s="264">
        <f t="shared" si="3"/>
        <v>0</v>
      </c>
    </row>
    <row r="249" spans="1:15" x14ac:dyDescent="0.3">
      <c r="A249" s="165" t="s">
        <v>1736</v>
      </c>
      <c r="B249" s="265"/>
      <c r="C249" s="265" t="str">
        <f>IFERROR(VLOOKUP(B249,Таблица1[#All],2,FALSE),"-")</f>
        <v>-</v>
      </c>
      <c r="D249" s="265"/>
      <c r="E249" s="265"/>
      <c r="F249" s="265"/>
      <c r="G249" s="265" t="str">
        <f>IFERROR(VLOOKUP(F249,Таблица3[#All],2,FALSE),"-")</f>
        <v>-</v>
      </c>
      <c r="H249" s="265">
        <v>0</v>
      </c>
      <c r="I249" s="265"/>
      <c r="J249" s="265">
        <v>0</v>
      </c>
      <c r="K249" s="265" t="s">
        <v>1445</v>
      </c>
      <c r="L249" s="265" t="s">
        <v>1445</v>
      </c>
      <c r="M249" s="265" t="s">
        <v>1445</v>
      </c>
      <c r="N249" s="265" t="s">
        <v>1445</v>
      </c>
      <c r="O249" s="264">
        <f t="shared" si="3"/>
        <v>0</v>
      </c>
    </row>
    <row r="250" spans="1:15" x14ac:dyDescent="0.3">
      <c r="A250" s="165" t="s">
        <v>1737</v>
      </c>
      <c r="B250" s="265"/>
      <c r="C250" s="265" t="str">
        <f>IFERROR(VLOOKUP(B250,Таблица1[#All],2,FALSE),"-")</f>
        <v>-</v>
      </c>
      <c r="D250" s="265"/>
      <c r="E250" s="265"/>
      <c r="F250" s="265"/>
      <c r="G250" s="265" t="str">
        <f>IFERROR(VLOOKUP(F250,Таблица3[#All],2,FALSE),"-")</f>
        <v>-</v>
      </c>
      <c r="H250" s="265">
        <v>0</v>
      </c>
      <c r="I250" s="265"/>
      <c r="J250" s="265">
        <v>0</v>
      </c>
      <c r="K250" s="265" t="s">
        <v>1445</v>
      </c>
      <c r="L250" s="265" t="s">
        <v>1445</v>
      </c>
      <c r="M250" s="265" t="s">
        <v>1445</v>
      </c>
      <c r="N250" s="265" t="s">
        <v>1445</v>
      </c>
      <c r="O250" s="264">
        <f t="shared" si="3"/>
        <v>0</v>
      </c>
    </row>
    <row r="251" spans="1:15" x14ac:dyDescent="0.3">
      <c r="A251" s="165" t="s">
        <v>1738</v>
      </c>
      <c r="B251" s="265"/>
      <c r="C251" s="265" t="str">
        <f>IFERROR(VLOOKUP(B251,Таблица1[#All],2,FALSE),"-")</f>
        <v>-</v>
      </c>
      <c r="D251" s="265"/>
      <c r="E251" s="265"/>
      <c r="F251" s="265"/>
      <c r="G251" s="265" t="str">
        <f>IFERROR(VLOOKUP(F251,Таблица3[#All],2,FALSE),"-")</f>
        <v>-</v>
      </c>
      <c r="H251" s="265">
        <v>0</v>
      </c>
      <c r="I251" s="265"/>
      <c r="J251" s="265">
        <v>0</v>
      </c>
      <c r="K251" s="265" t="s">
        <v>1445</v>
      </c>
      <c r="L251" s="265" t="s">
        <v>1445</v>
      </c>
      <c r="M251" s="265" t="s">
        <v>1445</v>
      </c>
      <c r="N251" s="265" t="s">
        <v>1445</v>
      </c>
      <c r="O251" s="264">
        <f t="shared" si="3"/>
        <v>0</v>
      </c>
    </row>
    <row r="252" spans="1:15" x14ac:dyDescent="0.3">
      <c r="A252" s="165" t="s">
        <v>1739</v>
      </c>
      <c r="B252" s="265"/>
      <c r="C252" s="265" t="str">
        <f>IFERROR(VLOOKUP(B252,Таблица1[#All],2,FALSE),"-")</f>
        <v>-</v>
      </c>
      <c r="D252" s="265"/>
      <c r="E252" s="265"/>
      <c r="F252" s="265"/>
      <c r="G252" s="265" t="str">
        <f>IFERROR(VLOOKUP(F252,Таблица3[#All],2,FALSE),"-")</f>
        <v>-</v>
      </c>
      <c r="H252" s="265">
        <v>0</v>
      </c>
      <c r="I252" s="265"/>
      <c r="J252" s="265">
        <v>0</v>
      </c>
      <c r="K252" s="265" t="s">
        <v>1445</v>
      </c>
      <c r="L252" s="265" t="s">
        <v>1445</v>
      </c>
      <c r="M252" s="265" t="s">
        <v>1445</v>
      </c>
      <c r="N252" s="265" t="s">
        <v>1445</v>
      </c>
      <c r="O252" s="264">
        <f t="shared" si="3"/>
        <v>0</v>
      </c>
    </row>
    <row r="253" spans="1:15" x14ac:dyDescent="0.3">
      <c r="A253" s="165" t="s">
        <v>1740</v>
      </c>
      <c r="B253" s="265"/>
      <c r="C253" s="265" t="str">
        <f>IFERROR(VLOOKUP(B253,Таблица1[#All],2,FALSE),"-")</f>
        <v>-</v>
      </c>
      <c r="D253" s="265"/>
      <c r="E253" s="265"/>
      <c r="F253" s="265"/>
      <c r="G253" s="265" t="str">
        <f>IFERROR(VLOOKUP(F253,Таблица3[#All],2,FALSE),"-")</f>
        <v>-</v>
      </c>
      <c r="H253" s="265">
        <v>0</v>
      </c>
      <c r="I253" s="265"/>
      <c r="J253" s="265">
        <v>0</v>
      </c>
      <c r="K253" s="265" t="s">
        <v>1445</v>
      </c>
      <c r="L253" s="265" t="s">
        <v>1445</v>
      </c>
      <c r="M253" s="265" t="s">
        <v>1445</v>
      </c>
      <c r="N253" s="265" t="s">
        <v>1445</v>
      </c>
      <c r="O253" s="264">
        <f t="shared" si="3"/>
        <v>0</v>
      </c>
    </row>
    <row r="254" spans="1:15" x14ac:dyDescent="0.3">
      <c r="A254" s="165" t="s">
        <v>1741</v>
      </c>
      <c r="B254" s="265"/>
      <c r="C254" s="265" t="str">
        <f>IFERROR(VLOOKUP(B254,Таблица1[#All],2,FALSE),"-")</f>
        <v>-</v>
      </c>
      <c r="D254" s="265"/>
      <c r="E254" s="265"/>
      <c r="F254" s="265"/>
      <c r="G254" s="265" t="str">
        <f>IFERROR(VLOOKUP(F254,Таблица3[#All],2,FALSE),"-")</f>
        <v>-</v>
      </c>
      <c r="H254" s="265">
        <v>0</v>
      </c>
      <c r="I254" s="265"/>
      <c r="J254" s="265">
        <v>0</v>
      </c>
      <c r="K254" s="265" t="s">
        <v>1445</v>
      </c>
      <c r="L254" s="265" t="s">
        <v>1445</v>
      </c>
      <c r="M254" s="265" t="s">
        <v>1445</v>
      </c>
      <c r="N254" s="265" t="s">
        <v>1445</v>
      </c>
      <c r="O254" s="264">
        <f t="shared" si="3"/>
        <v>0</v>
      </c>
    </row>
    <row r="255" spans="1:15" x14ac:dyDescent="0.3">
      <c r="A255" s="165" t="s">
        <v>1742</v>
      </c>
      <c r="B255" s="265"/>
      <c r="C255" s="265" t="str">
        <f>IFERROR(VLOOKUP(B255,Таблица1[#All],2,FALSE),"-")</f>
        <v>-</v>
      </c>
      <c r="D255" s="265"/>
      <c r="E255" s="265"/>
      <c r="F255" s="265"/>
      <c r="G255" s="265" t="str">
        <f>IFERROR(VLOOKUP(F255,Таблица3[#All],2,FALSE),"-")</f>
        <v>-</v>
      </c>
      <c r="H255" s="265">
        <v>0</v>
      </c>
      <c r="I255" s="265"/>
      <c r="J255" s="265">
        <v>0</v>
      </c>
      <c r="K255" s="265" t="s">
        <v>1445</v>
      </c>
      <c r="L255" s="265" t="s">
        <v>1445</v>
      </c>
      <c r="M255" s="265" t="s">
        <v>1445</v>
      </c>
      <c r="N255" s="265" t="s">
        <v>1445</v>
      </c>
      <c r="O255" s="264">
        <f t="shared" si="3"/>
        <v>0</v>
      </c>
    </row>
    <row r="256" spans="1:15" x14ac:dyDescent="0.3">
      <c r="A256" s="165" t="s">
        <v>1743</v>
      </c>
      <c r="B256" s="265"/>
      <c r="C256" s="265" t="str">
        <f>IFERROR(VLOOKUP(B256,Таблица1[#All],2,FALSE),"-")</f>
        <v>-</v>
      </c>
      <c r="D256" s="265"/>
      <c r="E256" s="265"/>
      <c r="F256" s="265"/>
      <c r="G256" s="265" t="str">
        <f>IFERROR(VLOOKUP(F256,Таблица3[#All],2,FALSE),"-")</f>
        <v>-</v>
      </c>
      <c r="H256" s="265">
        <v>0</v>
      </c>
      <c r="I256" s="265"/>
      <c r="J256" s="265">
        <v>0</v>
      </c>
      <c r="K256" s="265" t="s">
        <v>1445</v>
      </c>
      <c r="L256" s="265" t="s">
        <v>1445</v>
      </c>
      <c r="M256" s="265" t="s">
        <v>1445</v>
      </c>
      <c r="N256" s="265" t="s">
        <v>1445</v>
      </c>
      <c r="O256" s="264">
        <f t="shared" si="3"/>
        <v>0</v>
      </c>
    </row>
    <row r="257" spans="1:15" x14ac:dyDescent="0.3">
      <c r="A257" s="165" t="s">
        <v>1744</v>
      </c>
      <c r="B257" s="265"/>
      <c r="C257" s="265" t="str">
        <f>IFERROR(VLOOKUP(B257,Таблица1[#All],2,FALSE),"-")</f>
        <v>-</v>
      </c>
      <c r="D257" s="265"/>
      <c r="E257" s="265"/>
      <c r="F257" s="265"/>
      <c r="G257" s="265" t="str">
        <f>IFERROR(VLOOKUP(F257,Таблица3[#All],2,FALSE),"-")</f>
        <v>-</v>
      </c>
      <c r="H257" s="265">
        <v>0</v>
      </c>
      <c r="I257" s="265"/>
      <c r="J257" s="265">
        <v>0</v>
      </c>
      <c r="K257" s="265" t="s">
        <v>1445</v>
      </c>
      <c r="L257" s="265" t="s">
        <v>1445</v>
      </c>
      <c r="M257" s="265" t="s">
        <v>1445</v>
      </c>
      <c r="N257" s="265" t="s">
        <v>1445</v>
      </c>
      <c r="O257" s="264">
        <f t="shared" si="3"/>
        <v>0</v>
      </c>
    </row>
    <row r="258" spans="1:15" x14ac:dyDescent="0.3">
      <c r="A258" s="165" t="s">
        <v>1745</v>
      </c>
      <c r="B258" s="265"/>
      <c r="C258" s="265" t="str">
        <f>IFERROR(VLOOKUP(B258,Таблица1[#All],2,FALSE),"-")</f>
        <v>-</v>
      </c>
      <c r="D258" s="265"/>
      <c r="E258" s="265"/>
      <c r="F258" s="265"/>
      <c r="G258" s="265" t="str">
        <f>IFERROR(VLOOKUP(F258,Таблица3[#All],2,FALSE),"-")</f>
        <v>-</v>
      </c>
      <c r="H258" s="265">
        <v>0</v>
      </c>
      <c r="I258" s="265"/>
      <c r="J258" s="265">
        <v>0</v>
      </c>
      <c r="K258" s="265" t="s">
        <v>1445</v>
      </c>
      <c r="L258" s="265" t="s">
        <v>1445</v>
      </c>
      <c r="M258" s="265" t="s">
        <v>1445</v>
      </c>
      <c r="N258" s="265" t="s">
        <v>1445</v>
      </c>
      <c r="O258" s="264">
        <f t="shared" ref="O258:O301" si="4">$R$8*I258*(IF(K258="Да",1,0)*$R$9+IF(L258="Да",1,0)*$R$10+IF(M258="Да",1,0)*$R$11+IF(N258="Да",1,0)*$R$12)*J258*IF($R$3="Да",0.5,1)+$R$8*H258*(IF(K258="Да",1,0)*$R$9+IF(L258="Да",1,0)*$R$10+IF(M258="Да",1,0)*$R$11+IF(N258="Да",1,0)*$R$12)*IF($R$3="Да",0.5,1)</f>
        <v>0</v>
      </c>
    </row>
    <row r="259" spans="1:15" x14ac:dyDescent="0.3">
      <c r="A259" s="165" t="s">
        <v>1746</v>
      </c>
      <c r="B259" s="265"/>
      <c r="C259" s="265" t="str">
        <f>IFERROR(VLOOKUP(B259,Таблица1[#All],2,FALSE),"-")</f>
        <v>-</v>
      </c>
      <c r="D259" s="265"/>
      <c r="E259" s="265"/>
      <c r="F259" s="265"/>
      <c r="G259" s="265" t="str">
        <f>IFERROR(VLOOKUP(F259,Таблица3[#All],2,FALSE),"-")</f>
        <v>-</v>
      </c>
      <c r="H259" s="265">
        <v>0</v>
      </c>
      <c r="I259" s="265"/>
      <c r="J259" s="265">
        <v>0</v>
      </c>
      <c r="K259" s="265" t="s">
        <v>1445</v>
      </c>
      <c r="L259" s="265" t="s">
        <v>1445</v>
      </c>
      <c r="M259" s="265" t="s">
        <v>1445</v>
      </c>
      <c r="N259" s="265" t="s">
        <v>1445</v>
      </c>
      <c r="O259" s="264">
        <f t="shared" si="4"/>
        <v>0</v>
      </c>
    </row>
    <row r="260" spans="1:15" x14ac:dyDescent="0.3">
      <c r="A260" s="165" t="s">
        <v>1747</v>
      </c>
      <c r="B260" s="265"/>
      <c r="C260" s="265" t="str">
        <f>IFERROR(VLOOKUP(B260,Таблица1[#All],2,FALSE),"-")</f>
        <v>-</v>
      </c>
      <c r="D260" s="265"/>
      <c r="E260" s="265"/>
      <c r="F260" s="265"/>
      <c r="G260" s="265" t="str">
        <f>IFERROR(VLOOKUP(F260,Таблица3[#All],2,FALSE),"-")</f>
        <v>-</v>
      </c>
      <c r="H260" s="265">
        <v>0</v>
      </c>
      <c r="I260" s="265"/>
      <c r="J260" s="265">
        <v>0</v>
      </c>
      <c r="K260" s="265" t="s">
        <v>1445</v>
      </c>
      <c r="L260" s="265" t="s">
        <v>1445</v>
      </c>
      <c r="M260" s="265" t="s">
        <v>1445</v>
      </c>
      <c r="N260" s="265" t="s">
        <v>1445</v>
      </c>
      <c r="O260" s="264">
        <f t="shared" si="4"/>
        <v>0</v>
      </c>
    </row>
    <row r="261" spans="1:15" x14ac:dyDescent="0.3">
      <c r="A261" s="165" t="s">
        <v>1748</v>
      </c>
      <c r="B261" s="265"/>
      <c r="C261" s="265" t="str">
        <f>IFERROR(VLOOKUP(B261,Таблица1[#All],2,FALSE),"-")</f>
        <v>-</v>
      </c>
      <c r="D261" s="265"/>
      <c r="E261" s="265"/>
      <c r="F261" s="265"/>
      <c r="G261" s="265" t="str">
        <f>IFERROR(VLOOKUP(F261,Таблица3[#All],2,FALSE),"-")</f>
        <v>-</v>
      </c>
      <c r="H261" s="265">
        <v>0</v>
      </c>
      <c r="I261" s="265"/>
      <c r="J261" s="265">
        <v>0</v>
      </c>
      <c r="K261" s="265" t="s">
        <v>1445</v>
      </c>
      <c r="L261" s="265" t="s">
        <v>1445</v>
      </c>
      <c r="M261" s="265" t="s">
        <v>1445</v>
      </c>
      <c r="N261" s="265" t="s">
        <v>1445</v>
      </c>
      <c r="O261" s="264">
        <f t="shared" si="4"/>
        <v>0</v>
      </c>
    </row>
    <row r="262" spans="1:15" x14ac:dyDescent="0.3">
      <c r="A262" s="165" t="s">
        <v>1749</v>
      </c>
      <c r="B262" s="265"/>
      <c r="C262" s="265" t="str">
        <f>IFERROR(VLOOKUP(B262,Таблица1[#All],2,FALSE),"-")</f>
        <v>-</v>
      </c>
      <c r="D262" s="265"/>
      <c r="E262" s="265"/>
      <c r="F262" s="265"/>
      <c r="G262" s="265" t="str">
        <f>IFERROR(VLOOKUP(F262,Таблица3[#All],2,FALSE),"-")</f>
        <v>-</v>
      </c>
      <c r="H262" s="265">
        <v>0</v>
      </c>
      <c r="I262" s="265"/>
      <c r="J262" s="265">
        <v>0</v>
      </c>
      <c r="K262" s="265" t="s">
        <v>1445</v>
      </c>
      <c r="L262" s="265" t="s">
        <v>1445</v>
      </c>
      <c r="M262" s="265" t="s">
        <v>1445</v>
      </c>
      <c r="N262" s="265" t="s">
        <v>1445</v>
      </c>
      <c r="O262" s="264">
        <f t="shared" si="4"/>
        <v>0</v>
      </c>
    </row>
    <row r="263" spans="1:15" x14ac:dyDescent="0.3">
      <c r="A263" s="165" t="s">
        <v>1750</v>
      </c>
      <c r="B263" s="265"/>
      <c r="C263" s="265" t="str">
        <f>IFERROR(VLOOKUP(B263,Таблица1[#All],2,FALSE),"-")</f>
        <v>-</v>
      </c>
      <c r="D263" s="265"/>
      <c r="E263" s="265"/>
      <c r="F263" s="265"/>
      <c r="G263" s="265" t="str">
        <f>IFERROR(VLOOKUP(F263,Таблица3[#All],2,FALSE),"-")</f>
        <v>-</v>
      </c>
      <c r="H263" s="265">
        <v>0</v>
      </c>
      <c r="I263" s="265"/>
      <c r="J263" s="265">
        <v>0</v>
      </c>
      <c r="K263" s="265" t="s">
        <v>1445</v>
      </c>
      <c r="L263" s="265" t="s">
        <v>1445</v>
      </c>
      <c r="M263" s="265" t="s">
        <v>1445</v>
      </c>
      <c r="N263" s="265" t="s">
        <v>1445</v>
      </c>
      <c r="O263" s="264">
        <f t="shared" si="4"/>
        <v>0</v>
      </c>
    </row>
    <row r="264" spans="1:15" x14ac:dyDescent="0.3">
      <c r="A264" s="165" t="s">
        <v>1751</v>
      </c>
      <c r="B264" s="265"/>
      <c r="C264" s="265" t="str">
        <f>IFERROR(VLOOKUP(B264,Таблица1[#All],2,FALSE),"-")</f>
        <v>-</v>
      </c>
      <c r="D264" s="265"/>
      <c r="E264" s="265"/>
      <c r="F264" s="265"/>
      <c r="G264" s="265" t="str">
        <f>IFERROR(VLOOKUP(F264,Таблица3[#All],2,FALSE),"-")</f>
        <v>-</v>
      </c>
      <c r="H264" s="265">
        <v>0</v>
      </c>
      <c r="I264" s="265"/>
      <c r="J264" s="265">
        <v>0</v>
      </c>
      <c r="K264" s="265" t="s">
        <v>1445</v>
      </c>
      <c r="L264" s="265" t="s">
        <v>1445</v>
      </c>
      <c r="M264" s="265" t="s">
        <v>1445</v>
      </c>
      <c r="N264" s="265" t="s">
        <v>1445</v>
      </c>
      <c r="O264" s="264">
        <f t="shared" si="4"/>
        <v>0</v>
      </c>
    </row>
    <row r="265" spans="1:15" x14ac:dyDescent="0.3">
      <c r="A265" s="165" t="s">
        <v>1752</v>
      </c>
      <c r="B265" s="265"/>
      <c r="C265" s="265" t="str">
        <f>IFERROR(VLOOKUP(B265,Таблица1[#All],2,FALSE),"-")</f>
        <v>-</v>
      </c>
      <c r="D265" s="265"/>
      <c r="E265" s="265"/>
      <c r="F265" s="265"/>
      <c r="G265" s="265" t="str">
        <f>IFERROR(VLOOKUP(F265,Таблица3[#All],2,FALSE),"-")</f>
        <v>-</v>
      </c>
      <c r="H265" s="265">
        <v>0</v>
      </c>
      <c r="I265" s="265"/>
      <c r="J265" s="265">
        <v>0</v>
      </c>
      <c r="K265" s="265" t="s">
        <v>1445</v>
      </c>
      <c r="L265" s="265" t="s">
        <v>1445</v>
      </c>
      <c r="M265" s="265" t="s">
        <v>1445</v>
      </c>
      <c r="N265" s="265" t="s">
        <v>1445</v>
      </c>
      <c r="O265" s="264">
        <f t="shared" si="4"/>
        <v>0</v>
      </c>
    </row>
    <row r="266" spans="1:15" x14ac:dyDescent="0.3">
      <c r="A266" s="165" t="s">
        <v>1753</v>
      </c>
      <c r="B266" s="265"/>
      <c r="C266" s="265" t="str">
        <f>IFERROR(VLOOKUP(B266,Таблица1[#All],2,FALSE),"-")</f>
        <v>-</v>
      </c>
      <c r="D266" s="265"/>
      <c r="E266" s="265"/>
      <c r="F266" s="265"/>
      <c r="G266" s="265" t="str">
        <f>IFERROR(VLOOKUP(F266,Таблица3[#All],2,FALSE),"-")</f>
        <v>-</v>
      </c>
      <c r="H266" s="265">
        <v>0</v>
      </c>
      <c r="I266" s="265"/>
      <c r="J266" s="265">
        <v>0</v>
      </c>
      <c r="K266" s="265" t="s">
        <v>1445</v>
      </c>
      <c r="L266" s="265" t="s">
        <v>1445</v>
      </c>
      <c r="M266" s="265" t="s">
        <v>1445</v>
      </c>
      <c r="N266" s="265" t="s">
        <v>1445</v>
      </c>
      <c r="O266" s="264">
        <f t="shared" si="4"/>
        <v>0</v>
      </c>
    </row>
    <row r="267" spans="1:15" x14ac:dyDescent="0.3">
      <c r="A267" s="165" t="s">
        <v>1754</v>
      </c>
      <c r="B267" s="265"/>
      <c r="C267" s="265" t="str">
        <f>IFERROR(VLOOKUP(B267,Таблица1[#All],2,FALSE),"-")</f>
        <v>-</v>
      </c>
      <c r="D267" s="265"/>
      <c r="E267" s="265"/>
      <c r="F267" s="265"/>
      <c r="G267" s="265" t="str">
        <f>IFERROR(VLOOKUP(F267,Таблица3[#All],2,FALSE),"-")</f>
        <v>-</v>
      </c>
      <c r="H267" s="265">
        <v>0</v>
      </c>
      <c r="I267" s="265"/>
      <c r="J267" s="265">
        <v>0</v>
      </c>
      <c r="K267" s="265" t="s">
        <v>1445</v>
      </c>
      <c r="L267" s="265" t="s">
        <v>1445</v>
      </c>
      <c r="M267" s="265" t="s">
        <v>1445</v>
      </c>
      <c r="N267" s="265" t="s">
        <v>1445</v>
      </c>
      <c r="O267" s="264">
        <f t="shared" si="4"/>
        <v>0</v>
      </c>
    </row>
    <row r="268" spans="1:15" x14ac:dyDescent="0.3">
      <c r="A268" s="165" t="s">
        <v>1755</v>
      </c>
      <c r="B268" s="265"/>
      <c r="C268" s="265" t="str">
        <f>IFERROR(VLOOKUP(B268,Таблица1[#All],2,FALSE),"-")</f>
        <v>-</v>
      </c>
      <c r="D268" s="265"/>
      <c r="E268" s="265"/>
      <c r="F268" s="265"/>
      <c r="G268" s="265" t="str">
        <f>IFERROR(VLOOKUP(F268,Таблица3[#All],2,FALSE),"-")</f>
        <v>-</v>
      </c>
      <c r="H268" s="265">
        <v>0</v>
      </c>
      <c r="I268" s="265"/>
      <c r="J268" s="265">
        <v>0</v>
      </c>
      <c r="K268" s="265" t="s">
        <v>1445</v>
      </c>
      <c r="L268" s="265" t="s">
        <v>1445</v>
      </c>
      <c r="M268" s="265" t="s">
        <v>1445</v>
      </c>
      <c r="N268" s="265" t="s">
        <v>1445</v>
      </c>
      <c r="O268" s="264">
        <f t="shared" si="4"/>
        <v>0</v>
      </c>
    </row>
    <row r="269" spans="1:15" x14ac:dyDescent="0.3">
      <c r="A269" s="165" t="s">
        <v>1756</v>
      </c>
      <c r="B269" s="265"/>
      <c r="C269" s="265" t="str">
        <f>IFERROR(VLOOKUP(B269,Таблица1[#All],2,FALSE),"-")</f>
        <v>-</v>
      </c>
      <c r="D269" s="265"/>
      <c r="E269" s="265"/>
      <c r="F269" s="265"/>
      <c r="G269" s="265" t="str">
        <f>IFERROR(VLOOKUP(F269,Таблица3[#All],2,FALSE),"-")</f>
        <v>-</v>
      </c>
      <c r="H269" s="265">
        <v>0</v>
      </c>
      <c r="I269" s="265"/>
      <c r="J269" s="265">
        <v>0</v>
      </c>
      <c r="K269" s="265" t="s">
        <v>1445</v>
      </c>
      <c r="L269" s="265" t="s">
        <v>1445</v>
      </c>
      <c r="M269" s="265" t="s">
        <v>1445</v>
      </c>
      <c r="N269" s="265" t="s">
        <v>1445</v>
      </c>
      <c r="O269" s="264">
        <f t="shared" si="4"/>
        <v>0</v>
      </c>
    </row>
    <row r="270" spans="1:15" x14ac:dyDescent="0.3">
      <c r="A270" s="165" t="s">
        <v>1757</v>
      </c>
      <c r="B270" s="265"/>
      <c r="C270" s="265" t="str">
        <f>IFERROR(VLOOKUP(B270,Таблица1[#All],2,FALSE),"-")</f>
        <v>-</v>
      </c>
      <c r="D270" s="265"/>
      <c r="E270" s="265"/>
      <c r="F270" s="265"/>
      <c r="G270" s="265" t="str">
        <f>IFERROR(VLOOKUP(F270,Таблица3[#All],2,FALSE),"-")</f>
        <v>-</v>
      </c>
      <c r="H270" s="265">
        <v>0</v>
      </c>
      <c r="I270" s="265"/>
      <c r="J270" s="265">
        <v>0</v>
      </c>
      <c r="K270" s="265" t="s">
        <v>1445</v>
      </c>
      <c r="L270" s="265" t="s">
        <v>1445</v>
      </c>
      <c r="M270" s="265" t="s">
        <v>1445</v>
      </c>
      <c r="N270" s="265" t="s">
        <v>1445</v>
      </c>
      <c r="O270" s="264">
        <f t="shared" si="4"/>
        <v>0</v>
      </c>
    </row>
    <row r="271" spans="1:15" x14ac:dyDescent="0.3">
      <c r="A271" s="165" t="s">
        <v>1758</v>
      </c>
      <c r="B271" s="265"/>
      <c r="C271" s="265" t="str">
        <f>IFERROR(VLOOKUP(B271,Таблица1[#All],2,FALSE),"-")</f>
        <v>-</v>
      </c>
      <c r="D271" s="265"/>
      <c r="E271" s="265"/>
      <c r="F271" s="265"/>
      <c r="G271" s="265" t="str">
        <f>IFERROR(VLOOKUP(F271,Таблица3[#All],2,FALSE),"-")</f>
        <v>-</v>
      </c>
      <c r="H271" s="265">
        <v>0</v>
      </c>
      <c r="I271" s="265"/>
      <c r="J271" s="265">
        <v>0</v>
      </c>
      <c r="K271" s="265" t="s">
        <v>1445</v>
      </c>
      <c r="L271" s="265" t="s">
        <v>1445</v>
      </c>
      <c r="M271" s="265" t="s">
        <v>1445</v>
      </c>
      <c r="N271" s="265" t="s">
        <v>1445</v>
      </c>
      <c r="O271" s="264">
        <f t="shared" si="4"/>
        <v>0</v>
      </c>
    </row>
    <row r="272" spans="1:15" x14ac:dyDescent="0.3">
      <c r="A272" s="165" t="s">
        <v>1759</v>
      </c>
      <c r="B272" s="265"/>
      <c r="C272" s="265" t="str">
        <f>IFERROR(VLOOKUP(B272,Таблица1[#All],2,FALSE),"-")</f>
        <v>-</v>
      </c>
      <c r="D272" s="265"/>
      <c r="E272" s="265"/>
      <c r="F272" s="265"/>
      <c r="G272" s="265" t="str">
        <f>IFERROR(VLOOKUP(F272,Таблица3[#All],2,FALSE),"-")</f>
        <v>-</v>
      </c>
      <c r="H272" s="265">
        <v>0</v>
      </c>
      <c r="I272" s="265"/>
      <c r="J272" s="265">
        <v>0</v>
      </c>
      <c r="K272" s="265" t="s">
        <v>1445</v>
      </c>
      <c r="L272" s="265" t="s">
        <v>1445</v>
      </c>
      <c r="M272" s="265" t="s">
        <v>1445</v>
      </c>
      <c r="N272" s="265" t="s">
        <v>1445</v>
      </c>
      <c r="O272" s="264">
        <f t="shared" si="4"/>
        <v>0</v>
      </c>
    </row>
    <row r="273" spans="1:15" x14ac:dyDescent="0.3">
      <c r="A273" s="165" t="s">
        <v>1760</v>
      </c>
      <c r="B273" s="265"/>
      <c r="C273" s="265" t="str">
        <f>IFERROR(VLOOKUP(B273,Таблица1[#All],2,FALSE),"-")</f>
        <v>-</v>
      </c>
      <c r="D273" s="265"/>
      <c r="E273" s="265"/>
      <c r="F273" s="265"/>
      <c r="G273" s="265" t="str">
        <f>IFERROR(VLOOKUP(F273,Таблица3[#All],2,FALSE),"-")</f>
        <v>-</v>
      </c>
      <c r="H273" s="265">
        <v>0</v>
      </c>
      <c r="I273" s="265"/>
      <c r="J273" s="265">
        <v>0</v>
      </c>
      <c r="K273" s="265" t="s">
        <v>1445</v>
      </c>
      <c r="L273" s="265" t="s">
        <v>1445</v>
      </c>
      <c r="M273" s="265" t="s">
        <v>1445</v>
      </c>
      <c r="N273" s="265" t="s">
        <v>1445</v>
      </c>
      <c r="O273" s="264">
        <f t="shared" si="4"/>
        <v>0</v>
      </c>
    </row>
    <row r="274" spans="1:15" x14ac:dyDescent="0.3">
      <c r="A274" s="165" t="s">
        <v>1761</v>
      </c>
      <c r="B274" s="265"/>
      <c r="C274" s="265" t="str">
        <f>IFERROR(VLOOKUP(B274,Таблица1[#All],2,FALSE),"-")</f>
        <v>-</v>
      </c>
      <c r="D274" s="265"/>
      <c r="E274" s="265"/>
      <c r="F274" s="265"/>
      <c r="G274" s="265" t="str">
        <f>IFERROR(VLOOKUP(F274,Таблица3[#All],2,FALSE),"-")</f>
        <v>-</v>
      </c>
      <c r="H274" s="265">
        <v>0</v>
      </c>
      <c r="I274" s="265"/>
      <c r="J274" s="265">
        <v>0</v>
      </c>
      <c r="K274" s="265" t="s">
        <v>1445</v>
      </c>
      <c r="L274" s="265" t="s">
        <v>1445</v>
      </c>
      <c r="M274" s="265" t="s">
        <v>1445</v>
      </c>
      <c r="N274" s="265" t="s">
        <v>1445</v>
      </c>
      <c r="O274" s="264">
        <f t="shared" si="4"/>
        <v>0</v>
      </c>
    </row>
    <row r="275" spans="1:15" x14ac:dyDescent="0.3">
      <c r="A275" s="165" t="s">
        <v>1762</v>
      </c>
      <c r="B275" s="265"/>
      <c r="C275" s="265" t="str">
        <f>IFERROR(VLOOKUP(B275,Таблица1[#All],2,FALSE),"-")</f>
        <v>-</v>
      </c>
      <c r="D275" s="265"/>
      <c r="E275" s="265"/>
      <c r="F275" s="265"/>
      <c r="G275" s="265" t="str">
        <f>IFERROR(VLOOKUP(F275,Таблица3[#All],2,FALSE),"-")</f>
        <v>-</v>
      </c>
      <c r="H275" s="265">
        <v>0</v>
      </c>
      <c r="I275" s="265"/>
      <c r="J275" s="265">
        <v>0</v>
      </c>
      <c r="K275" s="265" t="s">
        <v>1445</v>
      </c>
      <c r="L275" s="265" t="s">
        <v>1445</v>
      </c>
      <c r="M275" s="265" t="s">
        <v>1445</v>
      </c>
      <c r="N275" s="265" t="s">
        <v>1445</v>
      </c>
      <c r="O275" s="264">
        <f t="shared" si="4"/>
        <v>0</v>
      </c>
    </row>
    <row r="276" spans="1:15" x14ac:dyDescent="0.3">
      <c r="A276" s="165" t="s">
        <v>1763</v>
      </c>
      <c r="B276" s="265"/>
      <c r="C276" s="265" t="str">
        <f>IFERROR(VLOOKUP(B276,Таблица1[#All],2,FALSE),"-")</f>
        <v>-</v>
      </c>
      <c r="D276" s="265"/>
      <c r="E276" s="265"/>
      <c r="F276" s="265"/>
      <c r="G276" s="265" t="str">
        <f>IFERROR(VLOOKUP(F276,Таблица3[#All],2,FALSE),"-")</f>
        <v>-</v>
      </c>
      <c r="H276" s="265">
        <v>0</v>
      </c>
      <c r="I276" s="265"/>
      <c r="J276" s="265">
        <v>0</v>
      </c>
      <c r="K276" s="265" t="s">
        <v>1445</v>
      </c>
      <c r="L276" s="265" t="s">
        <v>1445</v>
      </c>
      <c r="M276" s="265" t="s">
        <v>1445</v>
      </c>
      <c r="N276" s="265" t="s">
        <v>1445</v>
      </c>
      <c r="O276" s="264">
        <f t="shared" si="4"/>
        <v>0</v>
      </c>
    </row>
    <row r="277" spans="1:15" x14ac:dyDescent="0.3">
      <c r="A277" s="165" t="s">
        <v>1764</v>
      </c>
      <c r="B277" s="265"/>
      <c r="C277" s="265" t="str">
        <f>IFERROR(VLOOKUP(B277,Таблица1[#All],2,FALSE),"-")</f>
        <v>-</v>
      </c>
      <c r="D277" s="265"/>
      <c r="E277" s="265"/>
      <c r="F277" s="265"/>
      <c r="G277" s="265" t="str">
        <f>IFERROR(VLOOKUP(F277,Таблица3[#All],2,FALSE),"-")</f>
        <v>-</v>
      </c>
      <c r="H277" s="265">
        <v>0</v>
      </c>
      <c r="I277" s="265"/>
      <c r="J277" s="265">
        <v>0</v>
      </c>
      <c r="K277" s="265" t="s">
        <v>1445</v>
      </c>
      <c r="L277" s="265" t="s">
        <v>1445</v>
      </c>
      <c r="M277" s="265" t="s">
        <v>1445</v>
      </c>
      <c r="N277" s="265" t="s">
        <v>1445</v>
      </c>
      <c r="O277" s="264">
        <f t="shared" si="4"/>
        <v>0</v>
      </c>
    </row>
    <row r="278" spans="1:15" x14ac:dyDescent="0.3">
      <c r="A278" s="165" t="s">
        <v>1765</v>
      </c>
      <c r="B278" s="265"/>
      <c r="C278" s="265" t="str">
        <f>IFERROR(VLOOKUP(B278,Таблица1[#All],2,FALSE),"-")</f>
        <v>-</v>
      </c>
      <c r="D278" s="265"/>
      <c r="E278" s="265"/>
      <c r="F278" s="265"/>
      <c r="G278" s="265" t="str">
        <f>IFERROR(VLOOKUP(F278,Таблица3[#All],2,FALSE),"-")</f>
        <v>-</v>
      </c>
      <c r="H278" s="265">
        <v>0</v>
      </c>
      <c r="I278" s="265"/>
      <c r="J278" s="265">
        <v>0</v>
      </c>
      <c r="K278" s="265" t="s">
        <v>1445</v>
      </c>
      <c r="L278" s="265" t="s">
        <v>1445</v>
      </c>
      <c r="M278" s="265" t="s">
        <v>1445</v>
      </c>
      <c r="N278" s="265" t="s">
        <v>1445</v>
      </c>
      <c r="O278" s="264">
        <f t="shared" si="4"/>
        <v>0</v>
      </c>
    </row>
    <row r="279" spans="1:15" x14ac:dyDescent="0.3">
      <c r="A279" s="165" t="s">
        <v>1766</v>
      </c>
      <c r="B279" s="265"/>
      <c r="C279" s="265" t="str">
        <f>IFERROR(VLOOKUP(B279,Таблица1[#All],2,FALSE),"-")</f>
        <v>-</v>
      </c>
      <c r="D279" s="265"/>
      <c r="E279" s="265"/>
      <c r="F279" s="265"/>
      <c r="G279" s="265" t="str">
        <f>IFERROR(VLOOKUP(F279,Таблица3[#All],2,FALSE),"-")</f>
        <v>-</v>
      </c>
      <c r="H279" s="265">
        <v>0</v>
      </c>
      <c r="I279" s="265"/>
      <c r="J279" s="265">
        <v>0</v>
      </c>
      <c r="K279" s="265" t="s">
        <v>1445</v>
      </c>
      <c r="L279" s="265" t="s">
        <v>1445</v>
      </c>
      <c r="M279" s="265" t="s">
        <v>1445</v>
      </c>
      <c r="N279" s="265" t="s">
        <v>1445</v>
      </c>
      <c r="O279" s="264">
        <f t="shared" si="4"/>
        <v>0</v>
      </c>
    </row>
    <row r="280" spans="1:15" x14ac:dyDescent="0.3">
      <c r="A280" s="165" t="s">
        <v>1767</v>
      </c>
      <c r="B280" s="265"/>
      <c r="C280" s="265" t="str">
        <f>IFERROR(VLOOKUP(B280,Таблица1[#All],2,FALSE),"-")</f>
        <v>-</v>
      </c>
      <c r="D280" s="265"/>
      <c r="E280" s="265"/>
      <c r="F280" s="265"/>
      <c r="G280" s="265" t="str">
        <f>IFERROR(VLOOKUP(F280,Таблица3[#All],2,FALSE),"-")</f>
        <v>-</v>
      </c>
      <c r="H280" s="265">
        <v>0</v>
      </c>
      <c r="I280" s="265"/>
      <c r="J280" s="265">
        <v>0</v>
      </c>
      <c r="K280" s="265" t="s">
        <v>1445</v>
      </c>
      <c r="L280" s="265" t="s">
        <v>1445</v>
      </c>
      <c r="M280" s="265" t="s">
        <v>1445</v>
      </c>
      <c r="N280" s="265" t="s">
        <v>1445</v>
      </c>
      <c r="O280" s="264">
        <f t="shared" si="4"/>
        <v>0</v>
      </c>
    </row>
    <row r="281" spans="1:15" x14ac:dyDescent="0.3">
      <c r="A281" s="165" t="s">
        <v>1768</v>
      </c>
      <c r="B281" s="265"/>
      <c r="C281" s="265" t="str">
        <f>IFERROR(VLOOKUP(B281,Таблица1[#All],2,FALSE),"-")</f>
        <v>-</v>
      </c>
      <c r="D281" s="265"/>
      <c r="E281" s="265"/>
      <c r="F281" s="265"/>
      <c r="G281" s="265" t="str">
        <f>IFERROR(VLOOKUP(F281,Таблица3[#All],2,FALSE),"-")</f>
        <v>-</v>
      </c>
      <c r="H281" s="265">
        <v>0</v>
      </c>
      <c r="I281" s="265"/>
      <c r="J281" s="265">
        <v>0</v>
      </c>
      <c r="K281" s="265" t="s">
        <v>1445</v>
      </c>
      <c r="L281" s="265" t="s">
        <v>1445</v>
      </c>
      <c r="M281" s="265" t="s">
        <v>1445</v>
      </c>
      <c r="N281" s="265" t="s">
        <v>1445</v>
      </c>
      <c r="O281" s="264">
        <f t="shared" si="4"/>
        <v>0</v>
      </c>
    </row>
    <row r="282" spans="1:15" x14ac:dyDescent="0.3">
      <c r="A282" s="165" t="s">
        <v>1769</v>
      </c>
      <c r="B282" s="265"/>
      <c r="C282" s="265" t="str">
        <f>IFERROR(VLOOKUP(B282,Таблица1[#All],2,FALSE),"-")</f>
        <v>-</v>
      </c>
      <c r="D282" s="265"/>
      <c r="E282" s="265"/>
      <c r="F282" s="265"/>
      <c r="G282" s="265" t="str">
        <f>IFERROR(VLOOKUP(F282,Таблица3[#All],2,FALSE),"-")</f>
        <v>-</v>
      </c>
      <c r="H282" s="265">
        <v>0</v>
      </c>
      <c r="I282" s="265"/>
      <c r="J282" s="265">
        <v>0</v>
      </c>
      <c r="K282" s="265" t="s">
        <v>1445</v>
      </c>
      <c r="L282" s="265" t="s">
        <v>1445</v>
      </c>
      <c r="M282" s="265" t="s">
        <v>1445</v>
      </c>
      <c r="N282" s="265" t="s">
        <v>1445</v>
      </c>
      <c r="O282" s="264">
        <f t="shared" si="4"/>
        <v>0</v>
      </c>
    </row>
    <row r="283" spans="1:15" x14ac:dyDescent="0.3">
      <c r="A283" s="165" t="s">
        <v>1770</v>
      </c>
      <c r="B283" s="265"/>
      <c r="C283" s="265" t="str">
        <f>IFERROR(VLOOKUP(B283,Таблица1[#All],2,FALSE),"-")</f>
        <v>-</v>
      </c>
      <c r="D283" s="265"/>
      <c r="E283" s="265"/>
      <c r="F283" s="265"/>
      <c r="G283" s="265" t="str">
        <f>IFERROR(VLOOKUP(F283,Таблица3[#All],2,FALSE),"-")</f>
        <v>-</v>
      </c>
      <c r="H283" s="265">
        <v>0</v>
      </c>
      <c r="I283" s="265"/>
      <c r="J283" s="265">
        <v>0</v>
      </c>
      <c r="K283" s="265" t="s">
        <v>1445</v>
      </c>
      <c r="L283" s="265" t="s">
        <v>1445</v>
      </c>
      <c r="M283" s="265" t="s">
        <v>1445</v>
      </c>
      <c r="N283" s="265" t="s">
        <v>1445</v>
      </c>
      <c r="O283" s="264">
        <f t="shared" si="4"/>
        <v>0</v>
      </c>
    </row>
    <row r="284" spans="1:15" x14ac:dyDescent="0.3">
      <c r="A284" s="165" t="s">
        <v>1771</v>
      </c>
      <c r="B284" s="265"/>
      <c r="C284" s="265" t="str">
        <f>IFERROR(VLOOKUP(B284,Таблица1[#All],2,FALSE),"-")</f>
        <v>-</v>
      </c>
      <c r="D284" s="265"/>
      <c r="E284" s="265"/>
      <c r="F284" s="265"/>
      <c r="G284" s="265" t="str">
        <f>IFERROR(VLOOKUP(F284,Таблица3[#All],2,FALSE),"-")</f>
        <v>-</v>
      </c>
      <c r="H284" s="265">
        <v>0</v>
      </c>
      <c r="I284" s="265"/>
      <c r="J284" s="265">
        <v>0</v>
      </c>
      <c r="K284" s="265" t="s">
        <v>1445</v>
      </c>
      <c r="L284" s="265" t="s">
        <v>1445</v>
      </c>
      <c r="M284" s="265" t="s">
        <v>1445</v>
      </c>
      <c r="N284" s="265" t="s">
        <v>1445</v>
      </c>
      <c r="O284" s="264">
        <f t="shared" si="4"/>
        <v>0</v>
      </c>
    </row>
    <row r="285" spans="1:15" x14ac:dyDescent="0.3">
      <c r="A285" s="165" t="s">
        <v>1772</v>
      </c>
      <c r="B285" s="265"/>
      <c r="C285" s="265" t="str">
        <f>IFERROR(VLOOKUP(B285,Таблица1[#All],2,FALSE),"-")</f>
        <v>-</v>
      </c>
      <c r="D285" s="265"/>
      <c r="E285" s="265"/>
      <c r="F285" s="265"/>
      <c r="G285" s="265" t="str">
        <f>IFERROR(VLOOKUP(F285,Таблица3[#All],2,FALSE),"-")</f>
        <v>-</v>
      </c>
      <c r="H285" s="265">
        <v>0</v>
      </c>
      <c r="I285" s="265"/>
      <c r="J285" s="265">
        <v>0</v>
      </c>
      <c r="K285" s="265" t="s">
        <v>1445</v>
      </c>
      <c r="L285" s="265" t="s">
        <v>1445</v>
      </c>
      <c r="M285" s="265" t="s">
        <v>1445</v>
      </c>
      <c r="N285" s="265" t="s">
        <v>1445</v>
      </c>
      <c r="O285" s="264">
        <f t="shared" si="4"/>
        <v>0</v>
      </c>
    </row>
    <row r="286" spans="1:15" x14ac:dyDescent="0.3">
      <c r="A286" s="165" t="s">
        <v>1773</v>
      </c>
      <c r="B286" s="265"/>
      <c r="C286" s="265" t="str">
        <f>IFERROR(VLOOKUP(B286,Таблица1[#All],2,FALSE),"-")</f>
        <v>-</v>
      </c>
      <c r="D286" s="265"/>
      <c r="E286" s="265"/>
      <c r="F286" s="265"/>
      <c r="G286" s="265" t="str">
        <f>IFERROR(VLOOKUP(F286,Таблица3[#All],2,FALSE),"-")</f>
        <v>-</v>
      </c>
      <c r="H286" s="265">
        <v>0</v>
      </c>
      <c r="I286" s="265"/>
      <c r="J286" s="265">
        <v>0</v>
      </c>
      <c r="K286" s="265" t="s">
        <v>1445</v>
      </c>
      <c r="L286" s="265" t="s">
        <v>1445</v>
      </c>
      <c r="M286" s="265" t="s">
        <v>1445</v>
      </c>
      <c r="N286" s="265" t="s">
        <v>1445</v>
      </c>
      <c r="O286" s="264">
        <f t="shared" si="4"/>
        <v>0</v>
      </c>
    </row>
    <row r="287" spans="1:15" x14ac:dyDescent="0.3">
      <c r="A287" s="165" t="s">
        <v>1774</v>
      </c>
      <c r="B287" s="265"/>
      <c r="C287" s="265" t="str">
        <f>IFERROR(VLOOKUP(B287,Таблица1[#All],2,FALSE),"-")</f>
        <v>-</v>
      </c>
      <c r="D287" s="265"/>
      <c r="E287" s="265"/>
      <c r="F287" s="265"/>
      <c r="G287" s="265" t="str">
        <f>IFERROR(VLOOKUP(F287,Таблица3[#All],2,FALSE),"-")</f>
        <v>-</v>
      </c>
      <c r="H287" s="265">
        <v>0</v>
      </c>
      <c r="I287" s="265"/>
      <c r="J287" s="265">
        <v>0</v>
      </c>
      <c r="K287" s="265" t="s">
        <v>1445</v>
      </c>
      <c r="L287" s="265" t="s">
        <v>1445</v>
      </c>
      <c r="M287" s="265" t="s">
        <v>1445</v>
      </c>
      <c r="N287" s="265" t="s">
        <v>1445</v>
      </c>
      <c r="O287" s="264">
        <f t="shared" si="4"/>
        <v>0</v>
      </c>
    </row>
    <row r="288" spans="1:15" x14ac:dyDescent="0.3">
      <c r="A288" s="165" t="s">
        <v>1775</v>
      </c>
      <c r="B288" s="265"/>
      <c r="C288" s="265" t="str">
        <f>IFERROR(VLOOKUP(B288,Таблица1[#All],2,FALSE),"-")</f>
        <v>-</v>
      </c>
      <c r="D288" s="265"/>
      <c r="E288" s="265"/>
      <c r="F288" s="265"/>
      <c r="G288" s="265" t="str">
        <f>IFERROR(VLOOKUP(F288,Таблица3[#All],2,FALSE),"-")</f>
        <v>-</v>
      </c>
      <c r="H288" s="265">
        <v>0</v>
      </c>
      <c r="I288" s="265"/>
      <c r="J288" s="265">
        <v>0</v>
      </c>
      <c r="K288" s="265" t="s">
        <v>1445</v>
      </c>
      <c r="L288" s="265" t="s">
        <v>1445</v>
      </c>
      <c r="M288" s="265" t="s">
        <v>1445</v>
      </c>
      <c r="N288" s="265" t="s">
        <v>1445</v>
      </c>
      <c r="O288" s="264">
        <f t="shared" si="4"/>
        <v>0</v>
      </c>
    </row>
    <row r="289" spans="1:15" x14ac:dyDescent="0.3">
      <c r="A289" s="165" t="s">
        <v>1776</v>
      </c>
      <c r="B289" s="265"/>
      <c r="C289" s="265" t="str">
        <f>IFERROR(VLOOKUP(B289,Таблица1[#All],2,FALSE),"-")</f>
        <v>-</v>
      </c>
      <c r="D289" s="265"/>
      <c r="E289" s="265"/>
      <c r="F289" s="265"/>
      <c r="G289" s="265" t="str">
        <f>IFERROR(VLOOKUP(F289,Таблица3[#All],2,FALSE),"-")</f>
        <v>-</v>
      </c>
      <c r="H289" s="265">
        <v>0</v>
      </c>
      <c r="I289" s="265"/>
      <c r="J289" s="265">
        <v>0</v>
      </c>
      <c r="K289" s="265" t="s">
        <v>1445</v>
      </c>
      <c r="L289" s="265" t="s">
        <v>1445</v>
      </c>
      <c r="M289" s="265" t="s">
        <v>1445</v>
      </c>
      <c r="N289" s="265" t="s">
        <v>1445</v>
      </c>
      <c r="O289" s="264">
        <f t="shared" si="4"/>
        <v>0</v>
      </c>
    </row>
    <row r="290" spans="1:15" x14ac:dyDescent="0.3">
      <c r="A290" s="165" t="s">
        <v>1777</v>
      </c>
      <c r="B290" s="265"/>
      <c r="C290" s="265" t="str">
        <f>IFERROR(VLOOKUP(B290,Таблица1[#All],2,FALSE),"-")</f>
        <v>-</v>
      </c>
      <c r="D290" s="265"/>
      <c r="E290" s="265"/>
      <c r="F290" s="265"/>
      <c r="G290" s="265" t="str">
        <f>IFERROR(VLOOKUP(F290,Таблица3[#All],2,FALSE),"-")</f>
        <v>-</v>
      </c>
      <c r="H290" s="265">
        <v>0</v>
      </c>
      <c r="I290" s="265"/>
      <c r="J290" s="265">
        <v>0</v>
      </c>
      <c r="K290" s="265" t="s">
        <v>1445</v>
      </c>
      <c r="L290" s="265" t="s">
        <v>1445</v>
      </c>
      <c r="M290" s="265" t="s">
        <v>1445</v>
      </c>
      <c r="N290" s="265" t="s">
        <v>1445</v>
      </c>
      <c r="O290" s="264">
        <f t="shared" si="4"/>
        <v>0</v>
      </c>
    </row>
    <row r="291" spans="1:15" x14ac:dyDescent="0.3">
      <c r="A291" s="165" t="s">
        <v>1778</v>
      </c>
      <c r="B291" s="265"/>
      <c r="C291" s="265" t="str">
        <f>IFERROR(VLOOKUP(B291,Таблица1[#All],2,FALSE),"-")</f>
        <v>-</v>
      </c>
      <c r="D291" s="265"/>
      <c r="E291" s="265"/>
      <c r="F291" s="265"/>
      <c r="G291" s="265" t="str">
        <f>IFERROR(VLOOKUP(F291,Таблица3[#All],2,FALSE),"-")</f>
        <v>-</v>
      </c>
      <c r="H291" s="265">
        <v>0</v>
      </c>
      <c r="I291" s="265"/>
      <c r="J291" s="265">
        <v>0</v>
      </c>
      <c r="K291" s="265" t="s">
        <v>1445</v>
      </c>
      <c r="L291" s="265" t="s">
        <v>1445</v>
      </c>
      <c r="M291" s="265" t="s">
        <v>1445</v>
      </c>
      <c r="N291" s="265" t="s">
        <v>1445</v>
      </c>
      <c r="O291" s="264">
        <f t="shared" si="4"/>
        <v>0</v>
      </c>
    </row>
    <row r="292" spans="1:15" x14ac:dyDescent="0.3">
      <c r="A292" s="165" t="s">
        <v>1779</v>
      </c>
      <c r="B292" s="265"/>
      <c r="C292" s="265" t="str">
        <f>IFERROR(VLOOKUP(B292,Таблица1[#All],2,FALSE),"-")</f>
        <v>-</v>
      </c>
      <c r="D292" s="265"/>
      <c r="E292" s="265"/>
      <c r="F292" s="265"/>
      <c r="G292" s="265" t="str">
        <f>IFERROR(VLOOKUP(F292,Таблица3[#All],2,FALSE),"-")</f>
        <v>-</v>
      </c>
      <c r="H292" s="265">
        <v>0</v>
      </c>
      <c r="I292" s="265"/>
      <c r="J292" s="265">
        <v>0</v>
      </c>
      <c r="K292" s="265" t="s">
        <v>1445</v>
      </c>
      <c r="L292" s="265" t="s">
        <v>1445</v>
      </c>
      <c r="M292" s="265" t="s">
        <v>1445</v>
      </c>
      <c r="N292" s="265" t="s">
        <v>1445</v>
      </c>
      <c r="O292" s="264">
        <f t="shared" si="4"/>
        <v>0</v>
      </c>
    </row>
    <row r="293" spans="1:15" x14ac:dyDescent="0.3">
      <c r="A293" s="165" t="s">
        <v>1780</v>
      </c>
      <c r="B293" s="265"/>
      <c r="C293" s="265" t="str">
        <f>IFERROR(VLOOKUP(B293,Таблица1[#All],2,FALSE),"-")</f>
        <v>-</v>
      </c>
      <c r="D293" s="265"/>
      <c r="E293" s="265"/>
      <c r="F293" s="265"/>
      <c r="G293" s="265" t="str">
        <f>IFERROR(VLOOKUP(F293,Таблица3[#All],2,FALSE),"-")</f>
        <v>-</v>
      </c>
      <c r="H293" s="265">
        <v>0</v>
      </c>
      <c r="I293" s="265"/>
      <c r="J293" s="265">
        <v>0</v>
      </c>
      <c r="K293" s="265" t="s">
        <v>1445</v>
      </c>
      <c r="L293" s="265" t="s">
        <v>1445</v>
      </c>
      <c r="M293" s="265" t="s">
        <v>1445</v>
      </c>
      <c r="N293" s="265" t="s">
        <v>1445</v>
      </c>
      <c r="O293" s="264">
        <f t="shared" si="4"/>
        <v>0</v>
      </c>
    </row>
    <row r="294" spans="1:15" x14ac:dyDescent="0.3">
      <c r="A294" s="165" t="s">
        <v>1781</v>
      </c>
      <c r="B294" s="265"/>
      <c r="C294" s="265" t="str">
        <f>IFERROR(VLOOKUP(B294,Таблица1[#All],2,FALSE),"-")</f>
        <v>-</v>
      </c>
      <c r="D294" s="265"/>
      <c r="E294" s="265"/>
      <c r="F294" s="265"/>
      <c r="G294" s="265" t="str">
        <f>IFERROR(VLOOKUP(F294,Таблица3[#All],2,FALSE),"-")</f>
        <v>-</v>
      </c>
      <c r="H294" s="265">
        <v>0</v>
      </c>
      <c r="I294" s="265"/>
      <c r="J294" s="265">
        <v>0</v>
      </c>
      <c r="K294" s="265" t="s">
        <v>1445</v>
      </c>
      <c r="L294" s="265" t="s">
        <v>1445</v>
      </c>
      <c r="M294" s="265" t="s">
        <v>1445</v>
      </c>
      <c r="N294" s="265" t="s">
        <v>1445</v>
      </c>
      <c r="O294" s="264">
        <f t="shared" si="4"/>
        <v>0</v>
      </c>
    </row>
    <row r="295" spans="1:15" x14ac:dyDescent="0.3">
      <c r="A295" s="165" t="s">
        <v>1782</v>
      </c>
      <c r="B295" s="265"/>
      <c r="C295" s="265" t="str">
        <f>IFERROR(VLOOKUP(B295,Таблица1[#All],2,FALSE),"-")</f>
        <v>-</v>
      </c>
      <c r="D295" s="265"/>
      <c r="E295" s="265"/>
      <c r="F295" s="265"/>
      <c r="G295" s="265" t="str">
        <f>IFERROR(VLOOKUP(F295,Таблица3[#All],2,FALSE),"-")</f>
        <v>-</v>
      </c>
      <c r="H295" s="265">
        <v>0</v>
      </c>
      <c r="I295" s="265"/>
      <c r="J295" s="265">
        <v>0</v>
      </c>
      <c r="K295" s="265" t="s">
        <v>1445</v>
      </c>
      <c r="L295" s="265" t="s">
        <v>1445</v>
      </c>
      <c r="M295" s="265" t="s">
        <v>1445</v>
      </c>
      <c r="N295" s="265" t="s">
        <v>1445</v>
      </c>
      <c r="O295" s="264">
        <f t="shared" si="4"/>
        <v>0</v>
      </c>
    </row>
    <row r="296" spans="1:15" x14ac:dyDescent="0.3">
      <c r="A296" s="165" t="s">
        <v>1783</v>
      </c>
      <c r="B296" s="265"/>
      <c r="C296" s="265" t="str">
        <f>IFERROR(VLOOKUP(B296,Таблица1[#All],2,FALSE),"-")</f>
        <v>-</v>
      </c>
      <c r="D296" s="265"/>
      <c r="E296" s="265"/>
      <c r="F296" s="265"/>
      <c r="G296" s="265" t="str">
        <f>IFERROR(VLOOKUP(F296,Таблица3[#All],2,FALSE),"-")</f>
        <v>-</v>
      </c>
      <c r="H296" s="265">
        <v>0</v>
      </c>
      <c r="I296" s="265"/>
      <c r="J296" s="265">
        <v>0</v>
      </c>
      <c r="K296" s="265" t="s">
        <v>1445</v>
      </c>
      <c r="L296" s="265" t="s">
        <v>1445</v>
      </c>
      <c r="M296" s="265" t="s">
        <v>1445</v>
      </c>
      <c r="N296" s="265" t="s">
        <v>1445</v>
      </c>
      <c r="O296" s="264">
        <f t="shared" si="4"/>
        <v>0</v>
      </c>
    </row>
    <row r="297" spans="1:15" x14ac:dyDescent="0.3">
      <c r="A297" s="165" t="s">
        <v>1784</v>
      </c>
      <c r="B297" s="265"/>
      <c r="C297" s="265" t="str">
        <f>IFERROR(VLOOKUP(B297,Таблица1[#All],2,FALSE),"-")</f>
        <v>-</v>
      </c>
      <c r="D297" s="265"/>
      <c r="E297" s="265"/>
      <c r="F297" s="265"/>
      <c r="G297" s="265" t="str">
        <f>IFERROR(VLOOKUP(F297,Таблица3[#All],2,FALSE),"-")</f>
        <v>-</v>
      </c>
      <c r="H297" s="265">
        <v>0</v>
      </c>
      <c r="I297" s="265"/>
      <c r="J297" s="265">
        <v>0</v>
      </c>
      <c r="K297" s="265" t="s">
        <v>1445</v>
      </c>
      <c r="L297" s="265" t="s">
        <v>1445</v>
      </c>
      <c r="M297" s="265" t="s">
        <v>1445</v>
      </c>
      <c r="N297" s="265" t="s">
        <v>1445</v>
      </c>
      <c r="O297" s="264">
        <f t="shared" si="4"/>
        <v>0</v>
      </c>
    </row>
    <row r="298" spans="1:15" x14ac:dyDescent="0.3">
      <c r="A298" s="165" t="s">
        <v>1785</v>
      </c>
      <c r="B298" s="265"/>
      <c r="C298" s="265" t="str">
        <f>IFERROR(VLOOKUP(B298,Таблица1[#All],2,FALSE),"-")</f>
        <v>-</v>
      </c>
      <c r="D298" s="265"/>
      <c r="E298" s="265"/>
      <c r="F298" s="265"/>
      <c r="G298" s="265" t="str">
        <f>IFERROR(VLOOKUP(F298,Таблица3[#All],2,FALSE),"-")</f>
        <v>-</v>
      </c>
      <c r="H298" s="265">
        <v>0</v>
      </c>
      <c r="I298" s="265"/>
      <c r="J298" s="265">
        <v>0</v>
      </c>
      <c r="K298" s="265" t="s">
        <v>1445</v>
      </c>
      <c r="L298" s="265" t="s">
        <v>1445</v>
      </c>
      <c r="M298" s="265" t="s">
        <v>1445</v>
      </c>
      <c r="N298" s="265" t="s">
        <v>1445</v>
      </c>
      <c r="O298" s="264">
        <f t="shared" si="4"/>
        <v>0</v>
      </c>
    </row>
    <row r="299" spans="1:15" x14ac:dyDescent="0.3">
      <c r="A299" s="165" t="s">
        <v>1786</v>
      </c>
      <c r="B299" s="265"/>
      <c r="C299" s="265" t="str">
        <f>IFERROR(VLOOKUP(B299,Таблица1[#All],2,FALSE),"-")</f>
        <v>-</v>
      </c>
      <c r="D299" s="265"/>
      <c r="E299" s="265"/>
      <c r="F299" s="265"/>
      <c r="G299" s="265" t="str">
        <f>IFERROR(VLOOKUP(F299,Таблица3[#All],2,FALSE),"-")</f>
        <v>-</v>
      </c>
      <c r="H299" s="265">
        <v>0</v>
      </c>
      <c r="I299" s="265"/>
      <c r="J299" s="265">
        <v>0</v>
      </c>
      <c r="K299" s="265" t="s">
        <v>1445</v>
      </c>
      <c r="L299" s="265" t="s">
        <v>1445</v>
      </c>
      <c r="M299" s="265" t="s">
        <v>1445</v>
      </c>
      <c r="N299" s="265" t="s">
        <v>1445</v>
      </c>
      <c r="O299" s="264">
        <f t="shared" si="4"/>
        <v>0</v>
      </c>
    </row>
    <row r="300" spans="1:15" x14ac:dyDescent="0.3">
      <c r="A300" s="165" t="s">
        <v>1787</v>
      </c>
      <c r="B300" s="265"/>
      <c r="C300" s="265" t="str">
        <f>IFERROR(VLOOKUP(B300,Таблица1[#All],2,FALSE),"-")</f>
        <v>-</v>
      </c>
      <c r="D300" s="265"/>
      <c r="E300" s="265"/>
      <c r="F300" s="265"/>
      <c r="G300" s="265" t="str">
        <f>IFERROR(VLOOKUP(F300,Таблица3[#All],2,FALSE),"-")</f>
        <v>-</v>
      </c>
      <c r="H300" s="265">
        <v>0</v>
      </c>
      <c r="I300" s="265"/>
      <c r="J300" s="265">
        <v>0</v>
      </c>
      <c r="K300" s="265" t="s">
        <v>1445</v>
      </c>
      <c r="L300" s="265" t="s">
        <v>1445</v>
      </c>
      <c r="M300" s="265" t="s">
        <v>1445</v>
      </c>
      <c r="N300" s="265" t="s">
        <v>1445</v>
      </c>
      <c r="O300" s="264">
        <f t="shared" si="4"/>
        <v>0</v>
      </c>
    </row>
    <row r="301" spans="1:15" x14ac:dyDescent="0.3">
      <c r="A301" s="165" t="s">
        <v>1788</v>
      </c>
      <c r="B301" s="265"/>
      <c r="C301" s="265" t="str">
        <f>IFERROR(VLOOKUP(B301,Таблица1[#All],2,FALSE),"-")</f>
        <v>-</v>
      </c>
      <c r="D301" s="265"/>
      <c r="E301" s="265"/>
      <c r="F301" s="265"/>
      <c r="G301" s="265" t="str">
        <f>IFERROR(VLOOKUP(F301,Таблица3[#All],2,FALSE),"-")</f>
        <v>-</v>
      </c>
      <c r="H301" s="265">
        <v>0</v>
      </c>
      <c r="I301" s="265"/>
      <c r="J301" s="265">
        <v>0</v>
      </c>
      <c r="K301" s="265" t="s">
        <v>1445</v>
      </c>
      <c r="L301" s="265" t="s">
        <v>1445</v>
      </c>
      <c r="M301" s="265" t="s">
        <v>1445</v>
      </c>
      <c r="N301" s="265" t="s">
        <v>1445</v>
      </c>
      <c r="O301" s="264">
        <f t="shared" si="4"/>
        <v>0</v>
      </c>
    </row>
  </sheetData>
  <mergeCells count="1">
    <mergeCell ref="Q5:R5"/>
  </mergeCells>
  <dataValidations count="3">
    <dataValidation type="list" allowBlank="1" showInputMessage="1" showErrorMessage="1" sqref="B2:B301" xr:uid="{00000000-0002-0000-0C00-000000000000}">
      <formula1>$Q$22:$Q$57</formula1>
    </dataValidation>
    <dataValidation type="list" allowBlank="1" showInputMessage="1" showErrorMessage="1" sqref="F2:F301" xr:uid="{00000000-0002-0000-0C00-000001000000}">
      <formula1>$Q$16:$Q$19</formula1>
    </dataValidation>
    <dataValidation type="list" allowBlank="1" showInputMessage="1" showErrorMessage="1" sqref="R3 K2:N301" xr:uid="{00000000-0002-0000-0C00-000002000000}">
      <formula1>$V$1:$V$2</formula1>
    </dataValidation>
  </dataValidation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19">
    <tabColor rgb="FF92D050"/>
  </sheetPr>
  <dimension ref="A1:L126"/>
  <sheetViews>
    <sheetView workbookViewId="0">
      <pane xSplit="1" ySplit="2" topLeftCell="B3" activePane="bottomRight" state="frozen"/>
      <selection pane="topRight" activeCell="B1" sqref="B1"/>
      <selection pane="bottomLeft" activeCell="A3" sqref="A3"/>
      <selection pane="bottomRight" activeCell="A3" sqref="A3:H3"/>
    </sheetView>
  </sheetViews>
  <sheetFormatPr defaultRowHeight="14.4" x14ac:dyDescent="0.3"/>
  <cols>
    <col min="1" max="1" width="48.5546875" bestFit="1" customWidth="1"/>
    <col min="2" max="2" width="19.44140625" bestFit="1" customWidth="1"/>
    <col min="3" max="3" width="8.44140625" bestFit="1" customWidth="1"/>
    <col min="4" max="4" width="14.44140625" customWidth="1"/>
    <col min="5" max="5" width="14.5546875" customWidth="1"/>
    <col min="6" max="7" width="12.109375" bestFit="1" customWidth="1"/>
    <col min="8" max="8" width="9.44140625" bestFit="1" customWidth="1"/>
    <col min="10" max="10" width="22.88671875" customWidth="1"/>
    <col min="11" max="11" width="7.109375" bestFit="1" customWidth="1"/>
    <col min="12" max="12" width="39.5546875" bestFit="1" customWidth="1"/>
  </cols>
  <sheetData>
    <row r="1" spans="1:12" ht="36" x14ac:dyDescent="0.3">
      <c r="A1" s="28" t="s">
        <v>772</v>
      </c>
      <c r="B1" s="29" t="s">
        <v>773</v>
      </c>
      <c r="C1" s="29" t="s">
        <v>774</v>
      </c>
      <c r="D1" s="29" t="s">
        <v>775</v>
      </c>
      <c r="E1" s="29" t="s">
        <v>776</v>
      </c>
      <c r="F1" s="29" t="s">
        <v>777</v>
      </c>
      <c r="G1" s="29" t="s">
        <v>778</v>
      </c>
      <c r="H1" s="29" t="s">
        <v>779</v>
      </c>
    </row>
    <row r="2" spans="1:12" x14ac:dyDescent="0.3">
      <c r="A2" s="607" t="s">
        <v>1371</v>
      </c>
      <c r="B2" s="607"/>
      <c r="C2" s="607"/>
      <c r="D2" s="607"/>
      <c r="E2" s="607"/>
      <c r="F2" s="607"/>
      <c r="G2" s="607"/>
      <c r="H2" s="607"/>
    </row>
    <row r="3" spans="1:12" x14ac:dyDescent="0.3">
      <c r="A3" s="611" t="s">
        <v>1985</v>
      </c>
      <c r="B3" s="612"/>
      <c r="C3" s="612"/>
      <c r="D3" s="612"/>
      <c r="E3" s="612"/>
      <c r="F3" s="612"/>
      <c r="G3" s="612"/>
      <c r="H3" s="613"/>
    </row>
    <row r="4" spans="1:12" x14ac:dyDescent="0.3">
      <c r="A4" s="21" t="s">
        <v>1372</v>
      </c>
      <c r="B4" s="608"/>
      <c r="C4" s="608"/>
      <c r="D4" s="608"/>
      <c r="E4" s="608"/>
      <c r="F4" s="608"/>
      <c r="G4" s="608"/>
      <c r="H4" s="608"/>
      <c r="J4" s="601" t="s">
        <v>799</v>
      </c>
      <c r="K4" s="601" t="s">
        <v>800</v>
      </c>
    </row>
    <row r="5" spans="1:12" x14ac:dyDescent="0.3">
      <c r="A5" s="22" t="s">
        <v>780</v>
      </c>
      <c r="B5" s="39" t="s">
        <v>781</v>
      </c>
      <c r="C5" s="39">
        <v>0.5</v>
      </c>
      <c r="D5" s="39">
        <v>5</v>
      </c>
      <c r="E5" s="27" t="s">
        <v>782</v>
      </c>
      <c r="F5" s="39"/>
      <c r="G5" s="39"/>
      <c r="H5" s="39">
        <f>IF(E5="X",C5*D5*48, IF(F5="X", C5*D5*12, IF(G5="X",C5*D5*4)))</f>
        <v>120</v>
      </c>
      <c r="J5" s="17" t="s">
        <v>801</v>
      </c>
      <c r="K5" s="17">
        <v>40</v>
      </c>
    </row>
    <row r="6" spans="1:12" x14ac:dyDescent="0.3">
      <c r="A6" s="21" t="s">
        <v>783</v>
      </c>
      <c r="B6" s="39" t="s">
        <v>781</v>
      </c>
      <c r="C6" s="39">
        <v>2</v>
      </c>
      <c r="D6" s="39">
        <v>1</v>
      </c>
      <c r="E6" s="27"/>
      <c r="F6" s="27" t="s">
        <v>782</v>
      </c>
      <c r="G6" s="18"/>
      <c r="H6" s="39">
        <f>IF(E6="X",C6*D6*48, IF(F6="X", C6*D6*12, IF(G6="X",C6*D6*4)))</f>
        <v>24</v>
      </c>
      <c r="J6" s="17" t="s">
        <v>802</v>
      </c>
      <c r="K6" s="17">
        <v>4</v>
      </c>
    </row>
    <row r="7" spans="1:12" x14ac:dyDescent="0.3">
      <c r="A7" s="21" t="s">
        <v>1989</v>
      </c>
      <c r="B7" s="605"/>
      <c r="C7" s="605"/>
      <c r="D7" s="605"/>
      <c r="E7" s="605"/>
      <c r="F7" s="605"/>
      <c r="G7" s="605"/>
      <c r="H7" s="605"/>
      <c r="J7" s="17" t="s">
        <v>803</v>
      </c>
      <c r="K7" s="17">
        <f>K5*K6</f>
        <v>160</v>
      </c>
    </row>
    <row r="8" spans="1:12" x14ac:dyDescent="0.3">
      <c r="A8" s="22" t="s">
        <v>784</v>
      </c>
      <c r="B8" s="39" t="s">
        <v>781</v>
      </c>
      <c r="C8" s="39">
        <v>0.25</v>
      </c>
      <c r="D8" s="39">
        <v>3</v>
      </c>
      <c r="E8" s="27"/>
      <c r="F8" s="27" t="s">
        <v>782</v>
      </c>
      <c r="G8" s="39"/>
      <c r="H8" s="39">
        <f>IF(E8="X",C8*D8*48, IF(F8="X", C8*D8*12, IF(G8="X",C8*D8*4)))</f>
        <v>9</v>
      </c>
      <c r="J8" s="17" t="s">
        <v>804</v>
      </c>
      <c r="K8" s="17">
        <v>3</v>
      </c>
    </row>
    <row r="9" spans="1:12" x14ac:dyDescent="0.3">
      <c r="A9" s="21" t="s">
        <v>785</v>
      </c>
      <c r="B9" s="39" t="s">
        <v>781</v>
      </c>
      <c r="C9" s="39">
        <v>2</v>
      </c>
      <c r="D9" s="39">
        <v>1</v>
      </c>
      <c r="E9" s="30"/>
      <c r="F9" s="27" t="s">
        <v>782</v>
      </c>
      <c r="G9" s="39"/>
      <c r="H9" s="39">
        <f>IF(E9="X",C9*D9*48, IF(F9="X", C9*D9*12, IF(G9="X",C9*D9*4)))</f>
        <v>24</v>
      </c>
      <c r="J9" s="17" t="s">
        <v>805</v>
      </c>
      <c r="K9" s="17">
        <f>K7*K8</f>
        <v>480</v>
      </c>
    </row>
    <row r="10" spans="1:12" x14ac:dyDescent="0.3">
      <c r="A10" s="21" t="s">
        <v>1381</v>
      </c>
      <c r="B10" s="39" t="s">
        <v>781</v>
      </c>
      <c r="C10" s="39">
        <v>2</v>
      </c>
      <c r="D10" s="39">
        <v>2</v>
      </c>
      <c r="E10" s="39"/>
      <c r="F10" s="27" t="s">
        <v>782</v>
      </c>
      <c r="G10" s="39"/>
      <c r="H10" s="39">
        <f t="shared" ref="H10:H23" si="0">IF(E10="X",C10*D10*48, IF(F10="X", C10*D10*12, IF(G10="X",C10*D10*4)))</f>
        <v>48</v>
      </c>
      <c r="J10" s="32" t="s">
        <v>806</v>
      </c>
      <c r="K10" s="32">
        <v>4</v>
      </c>
    </row>
    <row r="11" spans="1:12" x14ac:dyDescent="0.3">
      <c r="A11" s="21" t="s">
        <v>1990</v>
      </c>
      <c r="B11" s="39" t="s">
        <v>781</v>
      </c>
      <c r="C11" s="39">
        <v>2</v>
      </c>
      <c r="D11" s="39">
        <v>4</v>
      </c>
      <c r="E11" s="39"/>
      <c r="F11" s="39"/>
      <c r="G11" s="27" t="s">
        <v>782</v>
      </c>
      <c r="H11" s="39">
        <f t="shared" si="0"/>
        <v>32</v>
      </c>
      <c r="J11" s="33" t="s">
        <v>807</v>
      </c>
      <c r="K11" s="33">
        <f>K10*K9</f>
        <v>1920</v>
      </c>
    </row>
    <row r="12" spans="1:12" x14ac:dyDescent="0.3">
      <c r="A12" s="21" t="s">
        <v>1380</v>
      </c>
      <c r="B12" s="39" t="s">
        <v>781</v>
      </c>
      <c r="C12" s="39">
        <v>1</v>
      </c>
      <c r="D12" s="39">
        <v>5</v>
      </c>
      <c r="E12" s="27" t="s">
        <v>782</v>
      </c>
      <c r="F12" s="39"/>
      <c r="G12" s="39"/>
      <c r="H12" s="39">
        <f t="shared" si="0"/>
        <v>240</v>
      </c>
    </row>
    <row r="13" spans="1:12" ht="28.8" x14ac:dyDescent="0.3">
      <c r="A13" s="21" t="s">
        <v>1379</v>
      </c>
      <c r="B13" s="39" t="s">
        <v>786</v>
      </c>
      <c r="C13" s="39">
        <v>1</v>
      </c>
      <c r="D13" s="39">
        <v>4</v>
      </c>
      <c r="E13" s="40"/>
      <c r="F13" s="27" t="s">
        <v>782</v>
      </c>
      <c r="G13" s="40"/>
      <c r="H13" s="39">
        <f t="shared" si="0"/>
        <v>48</v>
      </c>
      <c r="J13" s="42" t="s">
        <v>1429</v>
      </c>
      <c r="K13" s="35">
        <v>1.1000000000000001</v>
      </c>
      <c r="L13" s="43" t="s">
        <v>1430</v>
      </c>
    </row>
    <row r="14" spans="1:12" ht="22.8" x14ac:dyDescent="0.3">
      <c r="A14" s="21" t="s">
        <v>1378</v>
      </c>
      <c r="B14" s="598"/>
      <c r="C14" s="599"/>
      <c r="D14" s="599"/>
      <c r="E14" s="599"/>
      <c r="F14" s="599"/>
      <c r="G14" s="599"/>
      <c r="H14" s="600"/>
      <c r="J14" s="44" t="s">
        <v>1413</v>
      </c>
      <c r="K14" s="47">
        <f>247*8</f>
        <v>1976</v>
      </c>
      <c r="L14" s="45" t="s">
        <v>1431</v>
      </c>
    </row>
    <row r="15" spans="1:12" x14ac:dyDescent="0.3">
      <c r="A15" s="22" t="s">
        <v>787</v>
      </c>
      <c r="B15" s="39" t="s">
        <v>788</v>
      </c>
      <c r="C15" s="39">
        <v>1</v>
      </c>
      <c r="D15" s="39">
        <v>2</v>
      </c>
      <c r="E15" s="40"/>
      <c r="F15" s="27" t="s">
        <v>782</v>
      </c>
      <c r="G15" s="40"/>
      <c r="H15" s="39">
        <f t="shared" si="0"/>
        <v>24</v>
      </c>
      <c r="J15" s="46" t="s">
        <v>1414</v>
      </c>
      <c r="K15" s="48">
        <f>SUM(H26,H41,H56,H69,H81,H96,H111,H118,H126)</f>
        <v>3.3092611336032389</v>
      </c>
      <c r="L15" s="46" t="s">
        <v>1415</v>
      </c>
    </row>
    <row r="16" spans="1:12" x14ac:dyDescent="0.3">
      <c r="A16" s="21" t="s">
        <v>789</v>
      </c>
      <c r="B16" s="39" t="s">
        <v>781</v>
      </c>
      <c r="C16" s="39">
        <v>4</v>
      </c>
      <c r="D16" s="39">
        <v>2</v>
      </c>
      <c r="E16" s="40"/>
      <c r="F16" s="40"/>
      <c r="G16" s="27" t="s">
        <v>782</v>
      </c>
      <c r="H16" s="39">
        <f t="shared" si="0"/>
        <v>32</v>
      </c>
    </row>
    <row r="17" spans="1:8" x14ac:dyDescent="0.3">
      <c r="A17" s="21" t="s">
        <v>1377</v>
      </c>
      <c r="B17" s="39" t="s">
        <v>788</v>
      </c>
      <c r="C17" s="39">
        <v>4</v>
      </c>
      <c r="D17" s="39">
        <v>1</v>
      </c>
      <c r="E17" s="40"/>
      <c r="F17" s="40"/>
      <c r="G17" s="27" t="s">
        <v>782</v>
      </c>
      <c r="H17" s="39">
        <f t="shared" si="0"/>
        <v>16</v>
      </c>
    </row>
    <row r="18" spans="1:8" x14ac:dyDescent="0.3">
      <c r="A18" s="21" t="s">
        <v>1376</v>
      </c>
      <c r="B18" s="39" t="s">
        <v>788</v>
      </c>
      <c r="C18" s="39">
        <v>0.5</v>
      </c>
      <c r="D18" s="39">
        <v>2</v>
      </c>
      <c r="E18" s="40"/>
      <c r="F18" s="40"/>
      <c r="G18" s="27" t="s">
        <v>782</v>
      </c>
      <c r="H18" s="39">
        <f t="shared" si="0"/>
        <v>4</v>
      </c>
    </row>
    <row r="19" spans="1:8" x14ac:dyDescent="0.3">
      <c r="A19" s="21" t="s">
        <v>1375</v>
      </c>
      <c r="B19" s="598"/>
      <c r="C19" s="599"/>
      <c r="D19" s="599"/>
      <c r="E19" s="599"/>
      <c r="F19" s="599"/>
      <c r="G19" s="599"/>
      <c r="H19" s="600"/>
    </row>
    <row r="20" spans="1:8" x14ac:dyDescent="0.3">
      <c r="A20" s="21" t="s">
        <v>790</v>
      </c>
      <c r="B20" s="39" t="s">
        <v>781</v>
      </c>
      <c r="C20" s="39">
        <v>0.25</v>
      </c>
      <c r="D20" s="39">
        <v>5</v>
      </c>
      <c r="E20" s="27" t="s">
        <v>782</v>
      </c>
      <c r="F20" s="40"/>
      <c r="G20" s="40"/>
      <c r="H20" s="39">
        <f t="shared" si="0"/>
        <v>60</v>
      </c>
    </row>
    <row r="21" spans="1:8" x14ac:dyDescent="0.3">
      <c r="A21" s="21" t="s">
        <v>791</v>
      </c>
      <c r="B21" s="39" t="s">
        <v>781</v>
      </c>
      <c r="C21" s="39">
        <v>2</v>
      </c>
      <c r="D21" s="39">
        <v>1</v>
      </c>
      <c r="E21" s="40"/>
      <c r="F21" s="27"/>
      <c r="G21" s="27" t="s">
        <v>782</v>
      </c>
      <c r="H21" s="39">
        <f t="shared" si="0"/>
        <v>8</v>
      </c>
    </row>
    <row r="22" spans="1:8" ht="22.8" x14ac:dyDescent="0.3">
      <c r="A22" s="21" t="s">
        <v>1374</v>
      </c>
      <c r="B22" s="39" t="s">
        <v>781</v>
      </c>
      <c r="C22" s="39">
        <v>3</v>
      </c>
      <c r="D22" s="39">
        <v>1</v>
      </c>
      <c r="E22" s="40"/>
      <c r="F22" s="27" t="s">
        <v>782</v>
      </c>
      <c r="G22" s="40"/>
      <c r="H22" s="39">
        <f t="shared" si="0"/>
        <v>36</v>
      </c>
    </row>
    <row r="23" spans="1:8" x14ac:dyDescent="0.3">
      <c r="A23" s="21" t="s">
        <v>1373</v>
      </c>
      <c r="B23" s="39" t="s">
        <v>781</v>
      </c>
      <c r="C23" s="39">
        <v>4</v>
      </c>
      <c r="D23" s="39">
        <v>2</v>
      </c>
      <c r="E23" s="40"/>
      <c r="F23" s="27" t="s">
        <v>782</v>
      </c>
      <c r="G23" s="40"/>
      <c r="H23" s="39">
        <f t="shared" si="0"/>
        <v>96</v>
      </c>
    </row>
    <row r="24" spans="1:8" x14ac:dyDescent="0.3">
      <c r="A24" s="597" t="s">
        <v>1986</v>
      </c>
      <c r="B24" s="597"/>
      <c r="C24" s="597"/>
      <c r="D24" s="597"/>
      <c r="E24" s="597"/>
      <c r="F24" s="597"/>
      <c r="G24" s="597"/>
      <c r="H24" s="31">
        <f>SUM(H5:H6,H8:H23)</f>
        <v>821</v>
      </c>
    </row>
    <row r="25" spans="1:8" x14ac:dyDescent="0.3">
      <c r="A25" s="597" t="s">
        <v>1987</v>
      </c>
      <c r="B25" s="597"/>
      <c r="C25" s="597"/>
      <c r="D25" s="597"/>
      <c r="E25" s="597"/>
      <c r="F25" s="597"/>
      <c r="G25" s="597"/>
      <c r="H25" s="31">
        <f>H24/8</f>
        <v>102.625</v>
      </c>
    </row>
    <row r="26" spans="1:8" x14ac:dyDescent="0.3">
      <c r="A26" s="597" t="s">
        <v>1988</v>
      </c>
      <c r="B26" s="597"/>
      <c r="C26" s="597"/>
      <c r="D26" s="597"/>
      <c r="E26" s="597"/>
      <c r="F26" s="597"/>
      <c r="G26" s="597"/>
      <c r="H26" s="31">
        <f>(H24/K14)*1.1</f>
        <v>0.4570344129554656</v>
      </c>
    </row>
    <row r="27" spans="1:8" x14ac:dyDescent="0.3">
      <c r="A27" s="601" t="s">
        <v>1382</v>
      </c>
      <c r="B27" s="601"/>
      <c r="C27" s="601"/>
      <c r="D27" s="601"/>
      <c r="E27" s="601"/>
      <c r="F27" s="601"/>
      <c r="G27" s="601"/>
      <c r="H27" s="601"/>
    </row>
    <row r="28" spans="1:8" x14ac:dyDescent="0.3">
      <c r="A28" s="21" t="s">
        <v>1372</v>
      </c>
      <c r="B28" s="598"/>
      <c r="C28" s="599"/>
      <c r="D28" s="599"/>
      <c r="E28" s="599"/>
      <c r="F28" s="599"/>
      <c r="G28" s="599"/>
      <c r="H28" s="600"/>
    </row>
    <row r="29" spans="1:8" x14ac:dyDescent="0.3">
      <c r="A29" s="22" t="s">
        <v>780</v>
      </c>
      <c r="B29" s="39" t="s">
        <v>781</v>
      </c>
      <c r="C29" s="39">
        <v>0.25</v>
      </c>
      <c r="D29" s="39">
        <v>5</v>
      </c>
      <c r="E29" s="27" t="s">
        <v>782</v>
      </c>
      <c r="F29" s="39"/>
      <c r="G29" s="39"/>
      <c r="H29" s="39">
        <f>IF(E29="X",C29*D29*48, IF(F29="X", C29*D29*48, IF(G29="X",C29*D29*12)))</f>
        <v>60</v>
      </c>
    </row>
    <row r="30" spans="1:8" x14ac:dyDescent="0.3">
      <c r="A30" s="21" t="s">
        <v>783</v>
      </c>
      <c r="B30" s="39" t="s">
        <v>781</v>
      </c>
      <c r="C30" s="39">
        <v>2</v>
      </c>
      <c r="D30" s="39">
        <v>2</v>
      </c>
      <c r="E30" s="27"/>
      <c r="F30" s="39"/>
      <c r="G30" s="27" t="s">
        <v>782</v>
      </c>
      <c r="H30" s="39">
        <f>IF(E30="X",C30*D30*48, IF(F30="X", C30*D30*48, IF(G30="X",C30*D30*12)))</f>
        <v>48</v>
      </c>
    </row>
    <row r="31" spans="1:8" x14ac:dyDescent="0.3">
      <c r="A31" s="21" t="s">
        <v>1383</v>
      </c>
      <c r="B31" s="39" t="s">
        <v>781</v>
      </c>
      <c r="C31" s="39">
        <v>1</v>
      </c>
      <c r="D31" s="39">
        <v>3</v>
      </c>
      <c r="E31" s="27"/>
      <c r="F31" s="27" t="s">
        <v>782</v>
      </c>
      <c r="G31" s="39"/>
      <c r="H31" s="39">
        <f>IF(E31="X",C31*D31*48, IF(F31="X", C31*D31*12, IF(G31="X",C31*D31*4)))</f>
        <v>36</v>
      </c>
    </row>
    <row r="32" spans="1:8" x14ac:dyDescent="0.3">
      <c r="A32" s="21" t="s">
        <v>1384</v>
      </c>
      <c r="B32" s="598"/>
      <c r="C32" s="599"/>
      <c r="D32" s="599"/>
      <c r="E32" s="599"/>
      <c r="F32" s="599"/>
      <c r="G32" s="599"/>
      <c r="H32" s="600"/>
    </row>
    <row r="33" spans="1:8" x14ac:dyDescent="0.3">
      <c r="A33" s="21" t="s">
        <v>792</v>
      </c>
      <c r="B33" s="39" t="s">
        <v>793</v>
      </c>
      <c r="C33" s="39">
        <v>0.25</v>
      </c>
      <c r="D33" s="39">
        <v>5</v>
      </c>
      <c r="E33" s="27" t="s">
        <v>782</v>
      </c>
      <c r="F33" s="40"/>
      <c r="G33" s="40"/>
      <c r="H33" s="39">
        <f t="shared" ref="H33:H38" si="1">IF(E33="X",C33*D33*48, IF(F33="X", C33*D33*12, IF(G33="X",C33*D33*4)))</f>
        <v>60</v>
      </c>
    </row>
    <row r="34" spans="1:8" x14ac:dyDescent="0.3">
      <c r="A34" s="21" t="s">
        <v>791</v>
      </c>
      <c r="B34" s="39" t="s">
        <v>794</v>
      </c>
      <c r="C34" s="39">
        <v>3</v>
      </c>
      <c r="D34" s="39">
        <v>2</v>
      </c>
      <c r="E34" s="40"/>
      <c r="F34" s="27"/>
      <c r="G34" s="27" t="s">
        <v>782</v>
      </c>
      <c r="H34" s="39">
        <f t="shared" si="1"/>
        <v>24</v>
      </c>
    </row>
    <row r="35" spans="1:8" x14ac:dyDescent="0.3">
      <c r="A35" s="21" t="s">
        <v>1385</v>
      </c>
      <c r="B35" s="39" t="s">
        <v>795</v>
      </c>
      <c r="C35" s="39">
        <v>1.5</v>
      </c>
      <c r="D35" s="39">
        <v>1</v>
      </c>
      <c r="E35" s="40"/>
      <c r="F35" s="27" t="s">
        <v>782</v>
      </c>
      <c r="G35" s="40"/>
      <c r="H35" s="39">
        <f t="shared" si="1"/>
        <v>18</v>
      </c>
    </row>
    <row r="36" spans="1:8" x14ac:dyDescent="0.3">
      <c r="A36" s="21" t="s">
        <v>1386</v>
      </c>
      <c r="B36" s="39" t="s">
        <v>788</v>
      </c>
      <c r="C36" s="39">
        <v>4</v>
      </c>
      <c r="D36" s="39">
        <v>1</v>
      </c>
      <c r="E36" s="40"/>
      <c r="F36" s="40"/>
      <c r="G36" s="27" t="s">
        <v>782</v>
      </c>
      <c r="H36" s="39">
        <f t="shared" si="1"/>
        <v>16</v>
      </c>
    </row>
    <row r="37" spans="1:8" x14ac:dyDescent="0.3">
      <c r="A37" s="21" t="s">
        <v>1387</v>
      </c>
      <c r="B37" s="39" t="s">
        <v>781</v>
      </c>
      <c r="C37" s="39">
        <v>0.5</v>
      </c>
      <c r="D37" s="39">
        <v>5</v>
      </c>
      <c r="E37" s="27" t="s">
        <v>782</v>
      </c>
      <c r="F37" s="39"/>
      <c r="G37" s="39"/>
      <c r="H37" s="39">
        <f t="shared" si="1"/>
        <v>120</v>
      </c>
    </row>
    <row r="38" spans="1:8" x14ac:dyDescent="0.3">
      <c r="A38" s="21" t="s">
        <v>1388</v>
      </c>
      <c r="B38" s="39" t="s">
        <v>788</v>
      </c>
      <c r="C38" s="39">
        <v>0.5</v>
      </c>
      <c r="D38" s="39">
        <v>2</v>
      </c>
      <c r="E38" s="40"/>
      <c r="F38" s="40"/>
      <c r="G38" s="27" t="s">
        <v>782</v>
      </c>
      <c r="H38" s="39">
        <f t="shared" si="1"/>
        <v>4</v>
      </c>
    </row>
    <row r="39" spans="1:8" x14ac:dyDescent="0.3">
      <c r="A39" s="597" t="s">
        <v>796</v>
      </c>
      <c r="B39" s="597"/>
      <c r="C39" s="597"/>
      <c r="D39" s="597"/>
      <c r="E39" s="597"/>
      <c r="F39" s="597"/>
      <c r="G39" s="597"/>
      <c r="H39" s="31">
        <f>SUM(H29:H30,H31:H31,H33:H38)</f>
        <v>386</v>
      </c>
    </row>
    <row r="40" spans="1:8" x14ac:dyDescent="0.3">
      <c r="A40" s="597" t="s">
        <v>797</v>
      </c>
      <c r="B40" s="597"/>
      <c r="C40" s="597"/>
      <c r="D40" s="597"/>
      <c r="E40" s="597"/>
      <c r="F40" s="597"/>
      <c r="G40" s="597"/>
      <c r="H40" s="31">
        <f>H39/8</f>
        <v>48.25</v>
      </c>
    </row>
    <row r="41" spans="1:8" x14ac:dyDescent="0.3">
      <c r="A41" s="597" t="s">
        <v>798</v>
      </c>
      <c r="B41" s="597"/>
      <c r="C41" s="597"/>
      <c r="D41" s="597"/>
      <c r="E41" s="597"/>
      <c r="F41" s="597"/>
      <c r="G41" s="597"/>
      <c r="H41" s="31">
        <f>H39/K14</f>
        <v>0.19534412955465588</v>
      </c>
    </row>
    <row r="42" spans="1:8" x14ac:dyDescent="0.3">
      <c r="A42" s="601" t="s">
        <v>1389</v>
      </c>
      <c r="B42" s="601"/>
      <c r="C42" s="601"/>
      <c r="D42" s="601"/>
      <c r="E42" s="601"/>
      <c r="F42" s="601"/>
      <c r="G42" s="601"/>
      <c r="H42" s="601"/>
    </row>
    <row r="43" spans="1:8" x14ac:dyDescent="0.3">
      <c r="A43" s="21" t="s">
        <v>1372</v>
      </c>
      <c r="B43" s="598"/>
      <c r="C43" s="599"/>
      <c r="D43" s="599"/>
      <c r="E43" s="599"/>
      <c r="F43" s="599"/>
      <c r="G43" s="599"/>
      <c r="H43" s="600"/>
    </row>
    <row r="44" spans="1:8" x14ac:dyDescent="0.3">
      <c r="A44" s="22" t="s">
        <v>780</v>
      </c>
      <c r="B44" s="39" t="s">
        <v>781</v>
      </c>
      <c r="C44" s="39">
        <v>0.5</v>
      </c>
      <c r="D44" s="39">
        <v>5</v>
      </c>
      <c r="E44" s="27" t="s">
        <v>782</v>
      </c>
      <c r="F44" s="39"/>
      <c r="G44" s="39"/>
      <c r="H44" s="39">
        <f>IF(E44="X",C44*D44*48, IF(F44="X", C44*D44*48, IF(G44="X",C44*D44*12)))</f>
        <v>120</v>
      </c>
    </row>
    <row r="45" spans="1:8" x14ac:dyDescent="0.3">
      <c r="A45" s="21" t="s">
        <v>783</v>
      </c>
      <c r="B45" s="39" t="s">
        <v>781</v>
      </c>
      <c r="C45" s="39">
        <v>2</v>
      </c>
      <c r="D45" s="39">
        <v>3</v>
      </c>
      <c r="E45" s="27"/>
      <c r="F45" s="39"/>
      <c r="G45" s="27" t="s">
        <v>782</v>
      </c>
      <c r="H45" s="39">
        <f>IF(E45="X",C45*D45*48, IF(F45="X", C45*D45*48, IF(G45="X",C45*D45*12)))</f>
        <v>72</v>
      </c>
    </row>
    <row r="46" spans="1:8" x14ac:dyDescent="0.3">
      <c r="A46" s="21" t="s">
        <v>1390</v>
      </c>
      <c r="B46" s="39" t="s">
        <v>793</v>
      </c>
      <c r="C46" s="39">
        <v>0.25</v>
      </c>
      <c r="D46" s="39">
        <v>5</v>
      </c>
      <c r="E46" s="27" t="s">
        <v>782</v>
      </c>
      <c r="F46" s="40"/>
      <c r="G46" s="40"/>
      <c r="H46" s="39">
        <f>IF(E46="X",C46*D46*48, IF(F46="X", C46*D46*12, IF(G46="X",C46*D46*4)))</f>
        <v>60</v>
      </c>
    </row>
    <row r="47" spans="1:8" x14ac:dyDescent="0.3">
      <c r="A47" s="21" t="s">
        <v>1391</v>
      </c>
      <c r="B47" s="39" t="s">
        <v>795</v>
      </c>
      <c r="C47" s="39">
        <v>1.5</v>
      </c>
      <c r="D47" s="39">
        <v>1</v>
      </c>
      <c r="E47" s="40"/>
      <c r="F47" s="27" t="s">
        <v>782</v>
      </c>
      <c r="G47" s="40"/>
      <c r="H47" s="39">
        <f>IF(E47="X",C47*D47*48, IF(F47="X", C47*D47*12, IF(G47="X",C47*D47*4)))</f>
        <v>18</v>
      </c>
    </row>
    <row r="48" spans="1:8" x14ac:dyDescent="0.3">
      <c r="A48" s="21" t="s">
        <v>1392</v>
      </c>
      <c r="B48" s="598"/>
      <c r="C48" s="599"/>
      <c r="D48" s="599"/>
      <c r="E48" s="599"/>
      <c r="F48" s="599"/>
      <c r="G48" s="599"/>
      <c r="H48" s="600"/>
    </row>
    <row r="49" spans="1:8" ht="22.8" x14ac:dyDescent="0.3">
      <c r="A49" s="21" t="s">
        <v>808</v>
      </c>
      <c r="B49" s="39" t="s">
        <v>809</v>
      </c>
      <c r="C49" s="39">
        <v>3</v>
      </c>
      <c r="D49" s="39">
        <v>3</v>
      </c>
      <c r="E49" s="40"/>
      <c r="F49" s="40"/>
      <c r="G49" s="27" t="s">
        <v>782</v>
      </c>
      <c r="H49" s="39">
        <f>IF(E49="X",C49*D49*48, IF(F49="X", C49*D49*12, IF(G49="X",C49*D49*4)))</f>
        <v>36</v>
      </c>
    </row>
    <row r="50" spans="1:8" ht="22.8" x14ac:dyDescent="0.3">
      <c r="A50" s="21" t="s">
        <v>810</v>
      </c>
      <c r="B50" s="39" t="s">
        <v>811</v>
      </c>
      <c r="C50" s="39">
        <v>3</v>
      </c>
      <c r="D50" s="39">
        <v>1</v>
      </c>
      <c r="E50" s="18"/>
      <c r="F50" s="27" t="s">
        <v>782</v>
      </c>
      <c r="G50" s="40"/>
      <c r="H50" s="39">
        <f>IF(F50="X",C50*D50*48, IF(E50="X", C50*D50*12, IF(G50="X",C50*D50*4)))</f>
        <v>144</v>
      </c>
    </row>
    <row r="51" spans="1:8" x14ac:dyDescent="0.3">
      <c r="A51" s="21" t="s">
        <v>1393</v>
      </c>
      <c r="B51" s="39" t="s">
        <v>788</v>
      </c>
      <c r="C51" s="39">
        <v>0.5</v>
      </c>
      <c r="D51" s="39">
        <v>2</v>
      </c>
      <c r="E51" s="40"/>
      <c r="F51" s="40"/>
      <c r="G51" s="27" t="s">
        <v>782</v>
      </c>
      <c r="H51" s="39">
        <f>IF(E51="X",C51*D51*48, IF(F51="X", C51*D51*12, IF(G51="X",C51*D51*4)))</f>
        <v>4</v>
      </c>
    </row>
    <row r="52" spans="1:8" x14ac:dyDescent="0.3">
      <c r="A52" s="21" t="s">
        <v>1394</v>
      </c>
      <c r="B52" s="39" t="s">
        <v>788</v>
      </c>
      <c r="C52" s="39">
        <v>4</v>
      </c>
      <c r="D52" s="39">
        <v>1</v>
      </c>
      <c r="E52" s="40"/>
      <c r="F52" s="40"/>
      <c r="G52" s="27" t="s">
        <v>782</v>
      </c>
      <c r="H52" s="39">
        <f>IF(E52="X",C52*D52*48, IF(F52="X", C52*D52*12, IF(G52="X",C52*D52*4)))</f>
        <v>16</v>
      </c>
    </row>
    <row r="53" spans="1:8" ht="22.8" x14ac:dyDescent="0.3">
      <c r="A53" s="21" t="s">
        <v>1395</v>
      </c>
      <c r="B53" s="39" t="s">
        <v>811</v>
      </c>
      <c r="C53" s="39">
        <v>1</v>
      </c>
      <c r="D53" s="39">
        <v>1</v>
      </c>
      <c r="E53" s="40"/>
      <c r="F53" s="40"/>
      <c r="G53" s="27" t="s">
        <v>782</v>
      </c>
      <c r="H53" s="39">
        <f>IF(E53="X",C53*D53*48, IF(F53="X", C53*D53*12, IF(G53="X",C53*D53*4)))</f>
        <v>4</v>
      </c>
    </row>
    <row r="54" spans="1:8" x14ac:dyDescent="0.3">
      <c r="A54" s="597" t="s">
        <v>812</v>
      </c>
      <c r="B54" s="597"/>
      <c r="C54" s="597"/>
      <c r="D54" s="597"/>
      <c r="E54" s="597"/>
      <c r="F54" s="597"/>
      <c r="G54" s="597"/>
      <c r="H54" s="31">
        <f>SUM(H44:H47,H49:H53)</f>
        <v>474</v>
      </c>
    </row>
    <row r="55" spans="1:8" x14ac:dyDescent="0.3">
      <c r="A55" s="597" t="s">
        <v>813</v>
      </c>
      <c r="B55" s="597"/>
      <c r="C55" s="597"/>
      <c r="D55" s="597"/>
      <c r="E55" s="597"/>
      <c r="F55" s="597"/>
      <c r="G55" s="597"/>
      <c r="H55" s="31">
        <f>H54/8</f>
        <v>59.25</v>
      </c>
    </row>
    <row r="56" spans="1:8" x14ac:dyDescent="0.3">
      <c r="A56" s="597" t="s">
        <v>814</v>
      </c>
      <c r="B56" s="597"/>
      <c r="C56" s="597"/>
      <c r="D56" s="597"/>
      <c r="E56" s="597"/>
      <c r="F56" s="597"/>
      <c r="G56" s="597"/>
      <c r="H56" s="31">
        <f>H54/K14</f>
        <v>0.23987854251012145</v>
      </c>
    </row>
    <row r="57" spans="1:8" x14ac:dyDescent="0.3">
      <c r="A57" s="601" t="s">
        <v>1396</v>
      </c>
      <c r="B57" s="601"/>
      <c r="C57" s="601"/>
      <c r="D57" s="601"/>
      <c r="E57" s="601"/>
      <c r="F57" s="601"/>
      <c r="G57" s="601"/>
      <c r="H57" s="601"/>
    </row>
    <row r="58" spans="1:8" x14ac:dyDescent="0.3">
      <c r="A58" s="21" t="s">
        <v>1372</v>
      </c>
      <c r="B58" s="598"/>
      <c r="C58" s="599"/>
      <c r="D58" s="599"/>
      <c r="E58" s="599"/>
      <c r="F58" s="599"/>
      <c r="G58" s="599"/>
      <c r="H58" s="600"/>
    </row>
    <row r="59" spans="1:8" x14ac:dyDescent="0.3">
      <c r="A59" s="22" t="s">
        <v>780</v>
      </c>
      <c r="B59" s="39" t="s">
        <v>781</v>
      </c>
      <c r="C59" s="39">
        <v>0.25</v>
      </c>
      <c r="D59" s="39">
        <v>5</v>
      </c>
      <c r="E59" s="27" t="s">
        <v>782</v>
      </c>
      <c r="F59" s="39"/>
      <c r="G59" s="39"/>
      <c r="H59" s="39">
        <f>IF(E59="X",C59*D59*48, IF(F59="X", C59*D59*48, IF(G59="X",C59*D59*12)))</f>
        <v>60</v>
      </c>
    </row>
    <row r="60" spans="1:8" x14ac:dyDescent="0.3">
      <c r="A60" s="21" t="s">
        <v>783</v>
      </c>
      <c r="B60" s="39" t="s">
        <v>781</v>
      </c>
      <c r="C60" s="39">
        <v>2</v>
      </c>
      <c r="D60" s="39">
        <v>1</v>
      </c>
      <c r="E60" s="27"/>
      <c r="F60" s="39"/>
      <c r="G60" s="27" t="s">
        <v>782</v>
      </c>
      <c r="H60" s="39">
        <f>IF(E60="X",C60*D60*48, IF(F60="X", C60*D60*48, IF(G60="X",C60*D60*12)))</f>
        <v>24</v>
      </c>
    </row>
    <row r="61" spans="1:8" x14ac:dyDescent="0.3">
      <c r="A61" s="21" t="s">
        <v>1390</v>
      </c>
      <c r="B61" s="39" t="s">
        <v>793</v>
      </c>
      <c r="C61" s="39">
        <v>0.25</v>
      </c>
      <c r="D61" s="39">
        <v>5</v>
      </c>
      <c r="E61" s="27" t="s">
        <v>782</v>
      </c>
      <c r="F61" s="40"/>
      <c r="G61" s="40"/>
      <c r="H61" s="39">
        <f>IF(E61="X",C61*D61*48, IF(F61="X", C61*D61*12, IF(G61="X",C61*D61*4)))</f>
        <v>60</v>
      </c>
    </row>
    <row r="62" spans="1:8" x14ac:dyDescent="0.3">
      <c r="A62" s="21" t="s">
        <v>1397</v>
      </c>
      <c r="B62" s="598"/>
      <c r="C62" s="599"/>
      <c r="D62" s="599"/>
      <c r="E62" s="599"/>
      <c r="F62" s="599"/>
      <c r="G62" s="599"/>
      <c r="H62" s="600"/>
    </row>
    <row r="63" spans="1:8" ht="22.8" x14ac:dyDescent="0.3">
      <c r="A63" s="21" t="s">
        <v>808</v>
      </c>
      <c r="B63" s="39" t="s">
        <v>809</v>
      </c>
      <c r="C63" s="39">
        <v>2</v>
      </c>
      <c r="D63" s="39">
        <v>2</v>
      </c>
      <c r="E63" s="40"/>
      <c r="F63" s="27" t="s">
        <v>782</v>
      </c>
      <c r="G63" s="40"/>
      <c r="H63" s="39">
        <f>IF(E63="X",C63*D63*48, IF(F63="X", C63*D63*48, IF(G63="X",C63*D63*12)))</f>
        <v>192</v>
      </c>
    </row>
    <row r="64" spans="1:8" ht="22.8" x14ac:dyDescent="0.3">
      <c r="A64" s="21" t="s">
        <v>810</v>
      </c>
      <c r="B64" s="39" t="s">
        <v>815</v>
      </c>
      <c r="C64" s="39">
        <v>2</v>
      </c>
      <c r="D64" s="39">
        <v>2</v>
      </c>
      <c r="E64" s="40"/>
      <c r="F64" s="27" t="s">
        <v>782</v>
      </c>
      <c r="G64" s="40"/>
      <c r="H64" s="39">
        <f>IF(E64="X",C64*D64*48, IF(F64="X", C64*D64*48, IF(G64="X",C64*D64*12)))</f>
        <v>192</v>
      </c>
    </row>
    <row r="65" spans="1:8" x14ac:dyDescent="0.3">
      <c r="A65" s="21" t="s">
        <v>1398</v>
      </c>
      <c r="B65" s="39" t="s">
        <v>788</v>
      </c>
      <c r="C65" s="39">
        <v>2</v>
      </c>
      <c r="D65" s="39">
        <v>1</v>
      </c>
      <c r="E65" s="40"/>
      <c r="F65" s="40"/>
      <c r="G65" s="27" t="s">
        <v>782</v>
      </c>
      <c r="H65" s="39">
        <f>IF(E65="X",C65*D65*48, IF(F65="X", C65*D65*48, IF(G65="X",C65*D65*12)))</f>
        <v>24</v>
      </c>
    </row>
    <row r="66" spans="1:8" x14ac:dyDescent="0.3">
      <c r="A66" s="21" t="s">
        <v>1386</v>
      </c>
      <c r="B66" s="39" t="s">
        <v>788</v>
      </c>
      <c r="C66" s="39">
        <v>3</v>
      </c>
      <c r="D66" s="39">
        <v>1</v>
      </c>
      <c r="E66" s="40"/>
      <c r="F66" s="40"/>
      <c r="G66" s="27" t="s">
        <v>782</v>
      </c>
      <c r="H66" s="39">
        <f>IF(E66="X",C66*D66*48, IF(F66="X", C66*D66*48, IF(G66="X",C66*D66*12)))</f>
        <v>36</v>
      </c>
    </row>
    <row r="67" spans="1:8" x14ac:dyDescent="0.3">
      <c r="A67" s="597" t="s">
        <v>816</v>
      </c>
      <c r="B67" s="597"/>
      <c r="C67" s="597"/>
      <c r="D67" s="597"/>
      <c r="E67" s="597"/>
      <c r="F67" s="597"/>
      <c r="G67" s="597"/>
      <c r="H67" s="31">
        <f>SUM(H59:H61,H63:H66)</f>
        <v>588</v>
      </c>
    </row>
    <row r="68" spans="1:8" x14ac:dyDescent="0.3">
      <c r="A68" s="597" t="s">
        <v>817</v>
      </c>
      <c r="B68" s="597"/>
      <c r="C68" s="597"/>
      <c r="D68" s="597"/>
      <c r="E68" s="597"/>
      <c r="F68" s="597"/>
      <c r="G68" s="597"/>
      <c r="H68" s="31">
        <f>H67/8</f>
        <v>73.5</v>
      </c>
    </row>
    <row r="69" spans="1:8" x14ac:dyDescent="0.3">
      <c r="A69" s="597" t="s">
        <v>818</v>
      </c>
      <c r="B69" s="597"/>
      <c r="C69" s="597"/>
      <c r="D69" s="597"/>
      <c r="E69" s="597"/>
      <c r="F69" s="597"/>
      <c r="G69" s="597"/>
      <c r="H69" s="31">
        <f>H67/K14</f>
        <v>0.29757085020242913</v>
      </c>
    </row>
    <row r="70" spans="1:8" x14ac:dyDescent="0.3">
      <c r="A70" s="601" t="s">
        <v>1399</v>
      </c>
      <c r="B70" s="601"/>
      <c r="C70" s="601"/>
      <c r="D70" s="601"/>
      <c r="E70" s="601"/>
      <c r="F70" s="601"/>
      <c r="G70" s="601"/>
      <c r="H70" s="601"/>
    </row>
    <row r="71" spans="1:8" x14ac:dyDescent="0.3">
      <c r="A71" s="21" t="s">
        <v>1372</v>
      </c>
      <c r="B71" s="602"/>
      <c r="C71" s="603"/>
      <c r="D71" s="603"/>
      <c r="E71" s="603"/>
      <c r="F71" s="603"/>
      <c r="G71" s="603"/>
      <c r="H71" s="604"/>
    </row>
    <row r="72" spans="1:8" x14ac:dyDescent="0.3">
      <c r="A72" s="22" t="s">
        <v>780</v>
      </c>
      <c r="B72" s="23" t="s">
        <v>781</v>
      </c>
      <c r="C72" s="23">
        <v>0.25</v>
      </c>
      <c r="D72" s="23">
        <v>5</v>
      </c>
      <c r="E72" s="24" t="s">
        <v>782</v>
      </c>
      <c r="F72" s="23"/>
      <c r="G72" s="23"/>
      <c r="H72" s="23">
        <f t="shared" ref="H72:H78" si="2">IF(E72="X",C72*D72*48, IF(F72="X", C72*D72*48, IF(G72="X",C72*D72*12)))</f>
        <v>60</v>
      </c>
    </row>
    <row r="73" spans="1:8" x14ac:dyDescent="0.3">
      <c r="A73" s="21" t="s">
        <v>783</v>
      </c>
      <c r="B73" s="23" t="s">
        <v>781</v>
      </c>
      <c r="C73" s="23">
        <v>2</v>
      </c>
      <c r="D73" s="23">
        <v>1</v>
      </c>
      <c r="E73" s="24"/>
      <c r="F73" s="22"/>
      <c r="G73" s="24" t="s">
        <v>782</v>
      </c>
      <c r="H73" s="23">
        <f t="shared" si="2"/>
        <v>24</v>
      </c>
    </row>
    <row r="74" spans="1:8" x14ac:dyDescent="0.3">
      <c r="A74" s="21" t="s">
        <v>1390</v>
      </c>
      <c r="B74" s="23" t="s">
        <v>793</v>
      </c>
      <c r="C74" s="23">
        <v>0.25</v>
      </c>
      <c r="D74" s="23">
        <v>2</v>
      </c>
      <c r="E74" s="22"/>
      <c r="F74" s="24" t="s">
        <v>782</v>
      </c>
      <c r="G74" s="25"/>
      <c r="H74" s="23">
        <f t="shared" si="2"/>
        <v>24</v>
      </c>
    </row>
    <row r="75" spans="1:8" ht="22.8" x14ac:dyDescent="0.3">
      <c r="A75" s="21" t="s">
        <v>1397</v>
      </c>
      <c r="B75" s="23" t="s">
        <v>819</v>
      </c>
      <c r="C75" s="23">
        <v>2</v>
      </c>
      <c r="D75" s="23">
        <v>2</v>
      </c>
      <c r="E75" s="25"/>
      <c r="F75" s="24" t="s">
        <v>782</v>
      </c>
      <c r="G75" s="25"/>
      <c r="H75" s="23">
        <f t="shared" si="2"/>
        <v>192</v>
      </c>
    </row>
    <row r="76" spans="1:8" x14ac:dyDescent="0.3">
      <c r="A76" s="21" t="s">
        <v>1398</v>
      </c>
      <c r="B76" s="23" t="s">
        <v>788</v>
      </c>
      <c r="C76" s="23">
        <v>0.5</v>
      </c>
      <c r="D76" s="23">
        <v>1</v>
      </c>
      <c r="E76" s="25"/>
      <c r="F76" s="25"/>
      <c r="G76" s="24" t="s">
        <v>782</v>
      </c>
      <c r="H76" s="23">
        <f t="shared" si="2"/>
        <v>6</v>
      </c>
    </row>
    <row r="77" spans="1:8" x14ac:dyDescent="0.3">
      <c r="A77" s="21" t="s">
        <v>1380</v>
      </c>
      <c r="B77" s="23" t="s">
        <v>781</v>
      </c>
      <c r="C77" s="23">
        <v>1</v>
      </c>
      <c r="D77" s="23">
        <v>5</v>
      </c>
      <c r="E77" s="24" t="s">
        <v>782</v>
      </c>
      <c r="F77" s="25"/>
      <c r="G77" s="25"/>
      <c r="H77" s="23">
        <f t="shared" si="2"/>
        <v>240</v>
      </c>
    </row>
    <row r="78" spans="1:8" x14ac:dyDescent="0.3">
      <c r="A78" s="21" t="s">
        <v>1379</v>
      </c>
      <c r="B78" s="23" t="s">
        <v>795</v>
      </c>
      <c r="C78" s="23">
        <v>1</v>
      </c>
      <c r="D78" s="23">
        <v>1</v>
      </c>
      <c r="E78" s="25"/>
      <c r="F78" s="24" t="s">
        <v>782</v>
      </c>
      <c r="G78" s="25"/>
      <c r="H78" s="23">
        <f t="shared" si="2"/>
        <v>48</v>
      </c>
    </row>
    <row r="79" spans="1:8" x14ac:dyDescent="0.3">
      <c r="A79" s="606" t="s">
        <v>820</v>
      </c>
      <c r="B79" s="606"/>
      <c r="C79" s="606"/>
      <c r="D79" s="606"/>
      <c r="E79" s="606"/>
      <c r="F79" s="606"/>
      <c r="G79" s="606"/>
      <c r="H79" s="26">
        <f>SUM(H71:H74,H75:H78)</f>
        <v>594</v>
      </c>
    </row>
    <row r="80" spans="1:8" x14ac:dyDescent="0.3">
      <c r="A80" s="606" t="s">
        <v>821</v>
      </c>
      <c r="B80" s="606"/>
      <c r="C80" s="606"/>
      <c r="D80" s="606"/>
      <c r="E80" s="606"/>
      <c r="F80" s="606"/>
      <c r="G80" s="606"/>
      <c r="H80" s="26">
        <f>H79/8</f>
        <v>74.25</v>
      </c>
    </row>
    <row r="81" spans="1:8" x14ac:dyDescent="0.3">
      <c r="A81" s="606" t="s">
        <v>822</v>
      </c>
      <c r="B81" s="606"/>
      <c r="C81" s="606"/>
      <c r="D81" s="606"/>
      <c r="E81" s="606"/>
      <c r="F81" s="606"/>
      <c r="G81" s="606"/>
      <c r="H81" s="26">
        <f>H79/K14</f>
        <v>0.30060728744939269</v>
      </c>
    </row>
    <row r="82" spans="1:8" x14ac:dyDescent="0.3">
      <c r="A82" s="601" t="s">
        <v>1400</v>
      </c>
      <c r="B82" s="601"/>
      <c r="C82" s="601"/>
      <c r="D82" s="601"/>
      <c r="E82" s="601"/>
      <c r="F82" s="601"/>
      <c r="G82" s="601"/>
      <c r="H82" s="601"/>
    </row>
    <row r="83" spans="1:8" x14ac:dyDescent="0.3">
      <c r="A83" s="16" t="s">
        <v>1372</v>
      </c>
      <c r="B83" s="598"/>
      <c r="C83" s="599"/>
      <c r="D83" s="599"/>
      <c r="E83" s="599"/>
      <c r="F83" s="599"/>
      <c r="G83" s="599"/>
      <c r="H83" s="600"/>
    </row>
    <row r="84" spans="1:8" x14ac:dyDescent="0.3">
      <c r="A84" s="17" t="s">
        <v>780</v>
      </c>
      <c r="B84" s="39" t="s">
        <v>781</v>
      </c>
      <c r="C84" s="39">
        <v>1</v>
      </c>
      <c r="D84" s="39">
        <v>5</v>
      </c>
      <c r="E84" s="27" t="s">
        <v>782</v>
      </c>
      <c r="F84" s="39"/>
      <c r="G84" s="39"/>
      <c r="H84" s="39">
        <f>IF(E84="X",C84*D84*48, IF(F84="X", C84*D84*48, IF(G84="X",C84*D84*12)))</f>
        <v>240</v>
      </c>
    </row>
    <row r="85" spans="1:8" x14ac:dyDescent="0.3">
      <c r="A85" s="16" t="s">
        <v>783</v>
      </c>
      <c r="B85" s="39" t="s">
        <v>781</v>
      </c>
      <c r="C85" s="39">
        <v>2</v>
      </c>
      <c r="D85" s="39">
        <v>2</v>
      </c>
      <c r="E85" s="27"/>
      <c r="F85" s="27" t="s">
        <v>782</v>
      </c>
      <c r="G85" s="18"/>
      <c r="H85" s="39">
        <f>IF(E85="X",C85*D85*48, IF(F85="X", C85*D85*48, IF(G85="X",C85*D85*12)))</f>
        <v>192</v>
      </c>
    </row>
    <row r="86" spans="1:8" x14ac:dyDescent="0.3">
      <c r="A86" s="16" t="s">
        <v>1401</v>
      </c>
      <c r="B86" s="598"/>
      <c r="C86" s="599"/>
      <c r="D86" s="599"/>
      <c r="E86" s="599"/>
      <c r="F86" s="599"/>
      <c r="G86" s="599"/>
      <c r="H86" s="600"/>
    </row>
    <row r="87" spans="1:8" ht="22.8" x14ac:dyDescent="0.3">
      <c r="A87" s="16" t="s">
        <v>808</v>
      </c>
      <c r="B87" s="39" t="s">
        <v>809</v>
      </c>
      <c r="C87" s="39">
        <v>2</v>
      </c>
      <c r="D87" s="39">
        <v>2</v>
      </c>
      <c r="E87" s="40"/>
      <c r="F87" s="27" t="s">
        <v>782</v>
      </c>
      <c r="G87" s="40"/>
      <c r="H87" s="39">
        <f t="shared" ref="H87:H93" si="3">IF(E87="X",C87*D87*48, IF(F87="X", C87*D87*48, IF(G87="X",C87*D87*12)))</f>
        <v>192</v>
      </c>
    </row>
    <row r="88" spans="1:8" ht="22.8" x14ac:dyDescent="0.3">
      <c r="A88" s="16" t="s">
        <v>810</v>
      </c>
      <c r="B88" s="39" t="s">
        <v>823</v>
      </c>
      <c r="C88" s="39">
        <v>2</v>
      </c>
      <c r="D88" s="39">
        <v>8</v>
      </c>
      <c r="E88" s="40"/>
      <c r="F88" s="27" t="s">
        <v>782</v>
      </c>
      <c r="G88" s="40"/>
      <c r="H88" s="39">
        <f t="shared" si="3"/>
        <v>768</v>
      </c>
    </row>
    <row r="89" spans="1:8" x14ac:dyDescent="0.3">
      <c r="A89" s="16" t="s">
        <v>1402</v>
      </c>
      <c r="B89" s="39" t="s">
        <v>781</v>
      </c>
      <c r="C89" s="39">
        <v>0.25</v>
      </c>
      <c r="D89" s="39">
        <v>2</v>
      </c>
      <c r="E89" s="17"/>
      <c r="F89" s="27" t="s">
        <v>782</v>
      </c>
      <c r="G89" s="40"/>
      <c r="H89" s="39">
        <f t="shared" si="3"/>
        <v>24</v>
      </c>
    </row>
    <row r="90" spans="1:8" x14ac:dyDescent="0.3">
      <c r="A90" s="16" t="s">
        <v>1398</v>
      </c>
      <c r="B90" s="39" t="s">
        <v>788</v>
      </c>
      <c r="C90" s="39">
        <v>1</v>
      </c>
      <c r="D90" s="39">
        <v>2</v>
      </c>
      <c r="E90" s="40"/>
      <c r="F90" s="40"/>
      <c r="G90" s="27" t="s">
        <v>782</v>
      </c>
      <c r="H90" s="39">
        <f t="shared" si="3"/>
        <v>24</v>
      </c>
    </row>
    <row r="91" spans="1:8" x14ac:dyDescent="0.3">
      <c r="A91" s="16" t="s">
        <v>1403</v>
      </c>
      <c r="B91" s="39" t="s">
        <v>788</v>
      </c>
      <c r="C91" s="39">
        <v>8</v>
      </c>
      <c r="D91" s="39">
        <v>1</v>
      </c>
      <c r="E91" s="40"/>
      <c r="F91" s="40"/>
      <c r="G91" s="27" t="s">
        <v>782</v>
      </c>
      <c r="H91" s="39">
        <f t="shared" si="3"/>
        <v>96</v>
      </c>
    </row>
    <row r="92" spans="1:8" x14ac:dyDescent="0.3">
      <c r="A92" s="16" t="s">
        <v>1387</v>
      </c>
      <c r="B92" s="39" t="s">
        <v>781</v>
      </c>
      <c r="C92" s="39">
        <v>1</v>
      </c>
      <c r="D92" s="39">
        <v>5</v>
      </c>
      <c r="E92" s="27" t="s">
        <v>782</v>
      </c>
      <c r="F92" s="39"/>
      <c r="G92" s="39"/>
      <c r="H92" s="39">
        <f t="shared" si="3"/>
        <v>240</v>
      </c>
    </row>
    <row r="93" spans="1:8" x14ac:dyDescent="0.3">
      <c r="A93" s="16" t="s">
        <v>1404</v>
      </c>
      <c r="B93" s="39" t="s">
        <v>795</v>
      </c>
      <c r="C93" s="39">
        <v>1</v>
      </c>
      <c r="D93" s="39">
        <v>1</v>
      </c>
      <c r="E93" s="40"/>
      <c r="F93" s="27" t="s">
        <v>782</v>
      </c>
      <c r="G93" s="40"/>
      <c r="H93" s="39">
        <f t="shared" si="3"/>
        <v>48</v>
      </c>
    </row>
    <row r="94" spans="1:8" x14ac:dyDescent="0.3">
      <c r="A94" s="597" t="s">
        <v>824</v>
      </c>
      <c r="B94" s="597"/>
      <c r="C94" s="597"/>
      <c r="D94" s="597"/>
      <c r="E94" s="597"/>
      <c r="F94" s="597"/>
      <c r="G94" s="597"/>
      <c r="H94" s="31">
        <f>SUM(H84:H85,H87:H88,H89:H93)</f>
        <v>1824</v>
      </c>
    </row>
    <row r="95" spans="1:8" x14ac:dyDescent="0.3">
      <c r="A95" s="597" t="s">
        <v>825</v>
      </c>
      <c r="B95" s="597"/>
      <c r="C95" s="597"/>
      <c r="D95" s="597"/>
      <c r="E95" s="597"/>
      <c r="F95" s="597"/>
      <c r="G95" s="597"/>
      <c r="H95" s="31">
        <f>H94/8</f>
        <v>228</v>
      </c>
    </row>
    <row r="96" spans="1:8" x14ac:dyDescent="0.3">
      <c r="A96" s="597" t="s">
        <v>826</v>
      </c>
      <c r="B96" s="597"/>
      <c r="C96" s="597"/>
      <c r="D96" s="597"/>
      <c r="E96" s="597"/>
      <c r="F96" s="597"/>
      <c r="G96" s="597"/>
      <c r="H96" s="31">
        <f>H94/K14</f>
        <v>0.92307692307692313</v>
      </c>
    </row>
    <row r="97" spans="1:8" x14ac:dyDescent="0.3">
      <c r="A97" s="601" t="s">
        <v>1405</v>
      </c>
      <c r="B97" s="601"/>
      <c r="C97" s="601"/>
      <c r="D97" s="601"/>
      <c r="E97" s="601"/>
      <c r="F97" s="601"/>
      <c r="G97" s="601"/>
      <c r="H97" s="601"/>
    </row>
    <row r="98" spans="1:8" x14ac:dyDescent="0.3">
      <c r="A98" s="16" t="s">
        <v>1372</v>
      </c>
      <c r="B98" s="598"/>
      <c r="C98" s="599"/>
      <c r="D98" s="599"/>
      <c r="E98" s="599"/>
      <c r="F98" s="599"/>
      <c r="G98" s="599"/>
      <c r="H98" s="600"/>
    </row>
    <row r="99" spans="1:8" x14ac:dyDescent="0.3">
      <c r="A99" s="17" t="s">
        <v>780</v>
      </c>
      <c r="B99" s="39" t="s">
        <v>781</v>
      </c>
      <c r="C99" s="39">
        <v>2</v>
      </c>
      <c r="D99" s="39">
        <v>5</v>
      </c>
      <c r="E99" s="27" t="s">
        <v>782</v>
      </c>
      <c r="F99" s="39"/>
      <c r="G99" s="39"/>
      <c r="H99" s="39">
        <f>IF(E99="X",C99*D99*48, IF(F99="X", C99*D99*48, IF(G99="X",C99*D99*12)))</f>
        <v>480</v>
      </c>
    </row>
    <row r="100" spans="1:8" x14ac:dyDescent="0.3">
      <c r="A100" s="16" t="s">
        <v>783</v>
      </c>
      <c r="B100" s="39" t="s">
        <v>781</v>
      </c>
      <c r="C100" s="39">
        <v>2</v>
      </c>
      <c r="D100" s="39">
        <v>2</v>
      </c>
      <c r="E100" s="27"/>
      <c r="F100" s="27" t="s">
        <v>782</v>
      </c>
      <c r="G100" s="17"/>
      <c r="H100" s="39">
        <f>IF(E100="X",C100*D100*48, IF(F100="X", C100*D100*48, IF(G100="X",C100*D100*12)))</f>
        <v>192</v>
      </c>
    </row>
    <row r="101" spans="1:8" x14ac:dyDescent="0.3">
      <c r="A101" s="16" t="s">
        <v>1406</v>
      </c>
      <c r="B101" s="39" t="s">
        <v>781</v>
      </c>
      <c r="C101" s="39">
        <v>0.25</v>
      </c>
      <c r="D101" s="39">
        <v>2</v>
      </c>
      <c r="E101" s="17"/>
      <c r="F101" s="27" t="s">
        <v>782</v>
      </c>
      <c r="G101" s="40"/>
      <c r="H101" s="39">
        <f>IF(E101="X",C101*D101*48, IF(F101="X", C101*D101*48, IF(G101="X",C101*D101*12)))</f>
        <v>24</v>
      </c>
    </row>
    <row r="102" spans="1:8" x14ac:dyDescent="0.3">
      <c r="A102" s="16" t="s">
        <v>1397</v>
      </c>
      <c r="B102" s="605"/>
      <c r="C102" s="605"/>
      <c r="D102" s="605"/>
      <c r="E102" s="605"/>
      <c r="F102" s="605"/>
      <c r="G102" s="605"/>
      <c r="H102" s="605"/>
    </row>
    <row r="103" spans="1:8" ht="22.8" x14ac:dyDescent="0.3">
      <c r="A103" s="16" t="s">
        <v>808</v>
      </c>
      <c r="B103" s="39" t="s">
        <v>823</v>
      </c>
      <c r="C103" s="39">
        <v>2</v>
      </c>
      <c r="D103" s="39">
        <v>2</v>
      </c>
      <c r="E103" s="40"/>
      <c r="F103" s="17"/>
      <c r="G103" s="27" t="s">
        <v>782</v>
      </c>
      <c r="H103" s="39">
        <f>IF(E103="X",C103*D103*48, IF(G103="X", C103*D103*48, IF(F103="X",C103*D103*12)))</f>
        <v>192</v>
      </c>
    </row>
    <row r="104" spans="1:8" x14ac:dyDescent="0.3">
      <c r="A104" s="16" t="s">
        <v>810</v>
      </c>
      <c r="B104" s="39" t="s">
        <v>781</v>
      </c>
      <c r="C104" s="39">
        <v>2</v>
      </c>
      <c r="D104" s="39">
        <v>2</v>
      </c>
      <c r="E104" s="17"/>
      <c r="F104" s="27" t="s">
        <v>782</v>
      </c>
      <c r="G104" s="40"/>
      <c r="H104" s="39">
        <f>IF(E104="X",C104*D104*48, IF(F104="X", C104*D104*48, IF(G104="X",C104*D104*12)))</f>
        <v>192</v>
      </c>
    </row>
    <row r="105" spans="1:8" x14ac:dyDescent="0.3">
      <c r="A105" s="16" t="s">
        <v>1398</v>
      </c>
      <c r="B105" s="39" t="s">
        <v>788</v>
      </c>
      <c r="C105" s="39">
        <v>1</v>
      </c>
      <c r="D105" s="39">
        <v>2</v>
      </c>
      <c r="E105" s="40"/>
      <c r="F105" s="40"/>
      <c r="G105" s="27" t="s">
        <v>782</v>
      </c>
      <c r="H105" s="39">
        <f>IF(E105="X",C105*D105*48, IF(F105="X", C105*D105*48, IF(G105="X",C105*D105*12)))</f>
        <v>24</v>
      </c>
    </row>
    <row r="106" spans="1:8" x14ac:dyDescent="0.3">
      <c r="A106" s="16" t="s">
        <v>1403</v>
      </c>
      <c r="B106" s="39" t="s">
        <v>788</v>
      </c>
      <c r="C106" s="39">
        <v>8</v>
      </c>
      <c r="D106" s="39">
        <v>1</v>
      </c>
      <c r="E106" s="40"/>
      <c r="F106" s="40"/>
      <c r="G106" s="27" t="s">
        <v>782</v>
      </c>
      <c r="H106" s="39">
        <f>IF(E106="X",C106*D106*48, IF(F106="X", C106*D106*48, IF(G106="X",C106*D106*12)))</f>
        <v>96</v>
      </c>
    </row>
    <row r="107" spans="1:8" x14ac:dyDescent="0.3">
      <c r="A107" s="16" t="s">
        <v>1387</v>
      </c>
      <c r="B107" s="39" t="s">
        <v>781</v>
      </c>
      <c r="C107" s="39">
        <v>1</v>
      </c>
      <c r="D107" s="39">
        <v>3</v>
      </c>
      <c r="E107" s="27" t="s">
        <v>782</v>
      </c>
      <c r="F107" s="39"/>
      <c r="G107" s="39"/>
      <c r="H107" s="39">
        <f>IF(E107="X",C107*D107*48, IF(F107="X", C107*D107*48, IF(G107="X",C107*D107*12)))</f>
        <v>144</v>
      </c>
    </row>
    <row r="108" spans="1:8" x14ac:dyDescent="0.3">
      <c r="A108" s="16" t="s">
        <v>1404</v>
      </c>
      <c r="B108" s="39" t="s">
        <v>795</v>
      </c>
      <c r="C108" s="39">
        <v>1</v>
      </c>
      <c r="D108" s="39">
        <v>1</v>
      </c>
      <c r="E108" s="40"/>
      <c r="F108" s="27" t="s">
        <v>782</v>
      </c>
      <c r="G108" s="40"/>
      <c r="H108" s="39">
        <f>IF(E108="X",C108*D108*48, IF(F108="X", C108*D108*48, IF(G108="X",C108*D108*12)))</f>
        <v>48</v>
      </c>
    </row>
    <row r="109" spans="1:8" x14ac:dyDescent="0.3">
      <c r="A109" s="597" t="s">
        <v>820</v>
      </c>
      <c r="B109" s="597"/>
      <c r="C109" s="597"/>
      <c r="D109" s="597"/>
      <c r="E109" s="597"/>
      <c r="F109" s="597"/>
      <c r="G109" s="597"/>
      <c r="H109" s="31">
        <f>SUM(H99:H100,H102,H103:H108)</f>
        <v>1368</v>
      </c>
    </row>
    <row r="110" spans="1:8" x14ac:dyDescent="0.3">
      <c r="A110" s="597" t="s">
        <v>821</v>
      </c>
      <c r="B110" s="597"/>
      <c r="C110" s="597"/>
      <c r="D110" s="597"/>
      <c r="E110" s="597"/>
      <c r="F110" s="597"/>
      <c r="G110" s="597"/>
      <c r="H110" s="31">
        <f>H109/8</f>
        <v>171</v>
      </c>
    </row>
    <row r="111" spans="1:8" x14ac:dyDescent="0.3">
      <c r="A111" s="597" t="s">
        <v>822</v>
      </c>
      <c r="B111" s="597"/>
      <c r="C111" s="597"/>
      <c r="D111" s="597"/>
      <c r="E111" s="597"/>
      <c r="F111" s="597"/>
      <c r="G111" s="597"/>
      <c r="H111" s="31">
        <f>H109/K14</f>
        <v>0.69230769230769229</v>
      </c>
    </row>
    <row r="112" spans="1:8" x14ac:dyDescent="0.3">
      <c r="A112" s="601" t="s">
        <v>1407</v>
      </c>
      <c r="B112" s="601"/>
      <c r="C112" s="601"/>
      <c r="D112" s="601"/>
      <c r="E112" s="601"/>
      <c r="F112" s="601"/>
      <c r="G112" s="601"/>
      <c r="H112" s="601"/>
    </row>
    <row r="113" spans="1:8" x14ac:dyDescent="0.3">
      <c r="A113" s="16" t="s">
        <v>1408</v>
      </c>
      <c r="B113" s="39" t="s">
        <v>788</v>
      </c>
      <c r="C113" s="39">
        <v>2</v>
      </c>
      <c r="D113" s="39">
        <v>1</v>
      </c>
      <c r="E113" s="40"/>
      <c r="F113" s="27" t="s">
        <v>782</v>
      </c>
      <c r="G113" s="40"/>
      <c r="H113" s="39">
        <f>IF(E113="X",C113*D113*48, IF(F113="X", C113*D113*48, IF(G113="X",C113*D113*12)))</f>
        <v>96</v>
      </c>
    </row>
    <row r="114" spans="1:8" x14ac:dyDescent="0.3">
      <c r="A114" s="16" t="s">
        <v>1409</v>
      </c>
      <c r="B114" s="39" t="s">
        <v>781</v>
      </c>
      <c r="C114" s="39">
        <v>2</v>
      </c>
      <c r="D114" s="39">
        <v>1</v>
      </c>
      <c r="E114" s="40"/>
      <c r="F114" s="27" t="s">
        <v>782</v>
      </c>
      <c r="G114" s="19"/>
      <c r="H114" s="39">
        <f>IF(E114="X",C114*D114*48, IF(F114="X", C114*D114*48, IF(G114="X",C114*D114*12)))</f>
        <v>96</v>
      </c>
    </row>
    <row r="115" spans="1:8" x14ac:dyDescent="0.3">
      <c r="A115" s="16" t="s">
        <v>1410</v>
      </c>
      <c r="B115" s="39" t="s">
        <v>788</v>
      </c>
      <c r="C115" s="39">
        <v>1</v>
      </c>
      <c r="D115" s="39">
        <v>1</v>
      </c>
      <c r="E115" s="40"/>
      <c r="F115" s="40"/>
      <c r="G115" s="27" t="s">
        <v>782</v>
      </c>
      <c r="H115" s="39">
        <f>IF(E115="X",C115*D115*48, IF(F115="X", C115*D115*48, IF(G115="X",C115*D115*12)))</f>
        <v>12</v>
      </c>
    </row>
    <row r="116" spans="1:8" x14ac:dyDescent="0.3">
      <c r="A116" s="597" t="s">
        <v>820</v>
      </c>
      <c r="B116" s="597"/>
      <c r="C116" s="597"/>
      <c r="D116" s="597"/>
      <c r="E116" s="597"/>
      <c r="F116" s="597"/>
      <c r="G116" s="597"/>
      <c r="H116" s="31">
        <f>SUM(H113:H115)</f>
        <v>204</v>
      </c>
    </row>
    <row r="117" spans="1:8" x14ac:dyDescent="0.3">
      <c r="A117" s="597" t="s">
        <v>821</v>
      </c>
      <c r="B117" s="597"/>
      <c r="C117" s="597"/>
      <c r="D117" s="597"/>
      <c r="E117" s="597"/>
      <c r="F117" s="597"/>
      <c r="G117" s="597"/>
      <c r="H117" s="31">
        <f>H116/8</f>
        <v>25.5</v>
      </c>
    </row>
    <row r="118" spans="1:8" x14ac:dyDescent="0.3">
      <c r="A118" s="597" t="s">
        <v>822</v>
      </c>
      <c r="B118" s="597"/>
      <c r="C118" s="597"/>
      <c r="D118" s="597"/>
      <c r="E118" s="597"/>
      <c r="F118" s="597"/>
      <c r="G118" s="597"/>
      <c r="H118" s="31">
        <f>H116/K14</f>
        <v>0.10323886639676114</v>
      </c>
    </row>
    <row r="119" spans="1:8" x14ac:dyDescent="0.3">
      <c r="A119" s="601" t="s">
        <v>1411</v>
      </c>
      <c r="B119" s="601"/>
      <c r="C119" s="601"/>
      <c r="D119" s="601"/>
      <c r="E119" s="601"/>
      <c r="F119" s="601"/>
      <c r="G119" s="601"/>
      <c r="H119" s="601"/>
    </row>
    <row r="120" spans="1:8" x14ac:dyDescent="0.3">
      <c r="A120" s="16" t="s">
        <v>1372</v>
      </c>
      <c r="B120" s="598"/>
      <c r="C120" s="599"/>
      <c r="D120" s="599"/>
      <c r="E120" s="599"/>
      <c r="F120" s="599"/>
      <c r="G120" s="599"/>
      <c r="H120" s="600"/>
    </row>
    <row r="121" spans="1:8" ht="24" x14ac:dyDescent="0.3">
      <c r="A121" s="20" t="s">
        <v>827</v>
      </c>
      <c r="B121" s="39" t="s">
        <v>781</v>
      </c>
      <c r="C121" s="39">
        <v>6</v>
      </c>
      <c r="D121" s="39">
        <v>2</v>
      </c>
      <c r="E121" s="40"/>
      <c r="F121" s="27" t="s">
        <v>782</v>
      </c>
      <c r="G121" s="40"/>
      <c r="H121" s="39">
        <f>IF(E121="X",C121*D121*48, IF(F121="X", C121*D121*12, IF(G121="X",C121*D121*4)))</f>
        <v>144</v>
      </c>
    </row>
    <row r="122" spans="1:8" x14ac:dyDescent="0.3">
      <c r="A122" s="16" t="s">
        <v>789</v>
      </c>
      <c r="B122" s="39" t="s">
        <v>781</v>
      </c>
      <c r="C122" s="39">
        <v>4</v>
      </c>
      <c r="D122" s="39">
        <v>3</v>
      </c>
      <c r="E122" s="40"/>
      <c r="F122" s="40"/>
      <c r="G122" s="27" t="s">
        <v>782</v>
      </c>
      <c r="H122" s="39">
        <f>IF(E122="X",C122*D122*48, IF(F122="X", C122*D122*12, IF(G122="X",C122*D122*4)))</f>
        <v>48</v>
      </c>
    </row>
    <row r="123" spans="1:8" ht="22.8" x14ac:dyDescent="0.3">
      <c r="A123" s="16" t="s">
        <v>1412</v>
      </c>
      <c r="B123" s="39" t="s">
        <v>781</v>
      </c>
      <c r="C123" s="39">
        <v>0.25</v>
      </c>
      <c r="D123" s="39">
        <v>2</v>
      </c>
      <c r="E123" s="17"/>
      <c r="F123" s="27" t="s">
        <v>782</v>
      </c>
      <c r="G123" s="40"/>
      <c r="H123" s="39">
        <f>IF(E123="X",C123*D123*48, IF(F123="X", C123*D123*12, IF(G123="X",C123*D123*4)))</f>
        <v>6</v>
      </c>
    </row>
    <row r="124" spans="1:8" x14ac:dyDescent="0.3">
      <c r="A124" s="597" t="s">
        <v>820</v>
      </c>
      <c r="B124" s="597"/>
      <c r="C124" s="597"/>
      <c r="D124" s="597"/>
      <c r="E124" s="597"/>
      <c r="F124" s="597"/>
      <c r="G124" s="597"/>
      <c r="H124" s="31">
        <f>SUM(H120:H123)</f>
        <v>198</v>
      </c>
    </row>
    <row r="125" spans="1:8" x14ac:dyDescent="0.3">
      <c r="A125" s="597" t="s">
        <v>821</v>
      </c>
      <c r="B125" s="597"/>
      <c r="C125" s="597"/>
      <c r="D125" s="597"/>
      <c r="E125" s="597"/>
      <c r="F125" s="597"/>
      <c r="G125" s="597"/>
      <c r="H125" s="31">
        <f>H124/8</f>
        <v>24.75</v>
      </c>
    </row>
    <row r="126" spans="1:8" x14ac:dyDescent="0.3">
      <c r="A126" s="597" t="s">
        <v>822</v>
      </c>
      <c r="B126" s="597"/>
      <c r="C126" s="597"/>
      <c r="D126" s="597"/>
      <c r="E126" s="597"/>
      <c r="F126" s="597"/>
      <c r="G126" s="597"/>
      <c r="H126" s="31">
        <f>H124/K14</f>
        <v>0.10020242914979757</v>
      </c>
    </row>
  </sheetData>
  <mergeCells count="54">
    <mergeCell ref="A119:H119"/>
    <mergeCell ref="A57:H57"/>
    <mergeCell ref="A70:H70"/>
    <mergeCell ref="A82:H82"/>
    <mergeCell ref="A97:H97"/>
    <mergeCell ref="A112:H112"/>
    <mergeCell ref="A67:G67"/>
    <mergeCell ref="A68:G68"/>
    <mergeCell ref="A117:G117"/>
    <mergeCell ref="A110:G110"/>
    <mergeCell ref="A111:G111"/>
    <mergeCell ref="A116:G116"/>
    <mergeCell ref="A3:H3"/>
    <mergeCell ref="A2:H2"/>
    <mergeCell ref="A42:H42"/>
    <mergeCell ref="B7:H7"/>
    <mergeCell ref="A24:G24"/>
    <mergeCell ref="A25:G25"/>
    <mergeCell ref="A26:G26"/>
    <mergeCell ref="A39:G39"/>
    <mergeCell ref="A40:G40"/>
    <mergeCell ref="A41:G41"/>
    <mergeCell ref="B4:H4"/>
    <mergeCell ref="B28:H28"/>
    <mergeCell ref="B32:H32"/>
    <mergeCell ref="A27:H27"/>
    <mergeCell ref="B48:H48"/>
    <mergeCell ref="A94:G94"/>
    <mergeCell ref="A95:G95"/>
    <mergeCell ref="A96:G96"/>
    <mergeCell ref="B58:H58"/>
    <mergeCell ref="A69:G69"/>
    <mergeCell ref="A79:G79"/>
    <mergeCell ref="A80:G80"/>
    <mergeCell ref="A81:G81"/>
    <mergeCell ref="A54:G54"/>
    <mergeCell ref="A55:G55"/>
    <mergeCell ref="A56:G56"/>
    <mergeCell ref="A126:G126"/>
    <mergeCell ref="B120:H120"/>
    <mergeCell ref="J4:K4"/>
    <mergeCell ref="B14:H14"/>
    <mergeCell ref="B19:H19"/>
    <mergeCell ref="B43:H43"/>
    <mergeCell ref="A124:G124"/>
    <mergeCell ref="A125:G125"/>
    <mergeCell ref="A118:G118"/>
    <mergeCell ref="B62:H62"/>
    <mergeCell ref="B86:H86"/>
    <mergeCell ref="B71:H71"/>
    <mergeCell ref="B83:H83"/>
    <mergeCell ref="B102:H102"/>
    <mergeCell ref="B98:H98"/>
    <mergeCell ref="A109:G10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4">
    <tabColor rgb="FF92D050"/>
  </sheetPr>
  <dimension ref="A1:N238"/>
  <sheetViews>
    <sheetView zoomScale="85" zoomScaleNormal="85" workbookViewId="0">
      <pane xSplit="1" ySplit="1" topLeftCell="B2" activePane="bottomRight" state="frozen"/>
      <selection pane="topRight" activeCell="B1" sqref="B1"/>
      <selection pane="bottomLeft" activeCell="A2" sqref="A2"/>
      <selection pane="bottomRight" activeCell="D14" sqref="D14:D18"/>
    </sheetView>
  </sheetViews>
  <sheetFormatPr defaultColWidth="8.88671875" defaultRowHeight="16.8" x14ac:dyDescent="0.4"/>
  <cols>
    <col min="1" max="1" width="13.5546875" style="133" customWidth="1"/>
    <col min="2" max="2" width="35.5546875" style="133" bestFit="1" customWidth="1"/>
    <col min="3" max="3" width="46.109375" style="223" bestFit="1" customWidth="1"/>
    <col min="4" max="4" width="53.5546875" style="223" bestFit="1" customWidth="1"/>
    <col min="5" max="5" width="6.5546875" style="223" bestFit="1" customWidth="1"/>
    <col min="6" max="6" width="22" style="223" bestFit="1" customWidth="1"/>
    <col min="7" max="7" width="20.88671875" style="223" customWidth="1"/>
    <col min="8" max="8" width="14.5546875" style="203" hidden="1" customWidth="1"/>
    <col min="9" max="9" width="17.88671875" style="223" bestFit="1" customWidth="1"/>
    <col min="10" max="11" width="8.88671875" style="133"/>
    <col min="12" max="12" width="11.88671875" style="133" bestFit="1" customWidth="1"/>
    <col min="13" max="13" width="21.5546875" style="133" bestFit="1" customWidth="1"/>
    <col min="14" max="14" width="20.109375" style="133" bestFit="1" customWidth="1"/>
    <col min="15" max="16384" width="8.88671875" style="133"/>
  </cols>
  <sheetData>
    <row r="1" spans="1:14" ht="33.6" x14ac:dyDescent="0.4">
      <c r="A1" s="160" t="s">
        <v>1991</v>
      </c>
      <c r="B1" s="166" t="s">
        <v>1992</v>
      </c>
      <c r="C1" s="162" t="s">
        <v>1109</v>
      </c>
      <c r="D1" s="162" t="s">
        <v>772</v>
      </c>
      <c r="E1" s="161" t="s">
        <v>2</v>
      </c>
      <c r="F1" s="166" t="s">
        <v>1993</v>
      </c>
      <c r="G1" s="162" t="s">
        <v>1994</v>
      </c>
      <c r="H1" s="162" t="s">
        <v>2287</v>
      </c>
      <c r="I1" s="163" t="s">
        <v>1427</v>
      </c>
      <c r="L1" s="173" t="s">
        <v>2124</v>
      </c>
      <c r="M1" s="173" t="s">
        <v>2123</v>
      </c>
      <c r="N1" s="173" t="s">
        <v>2125</v>
      </c>
    </row>
    <row r="2" spans="1:14" x14ac:dyDescent="0.4">
      <c r="A2" s="520" t="s">
        <v>1995</v>
      </c>
      <c r="B2" s="523" t="s">
        <v>1996</v>
      </c>
      <c r="C2" s="523" t="s">
        <v>1997</v>
      </c>
      <c r="D2" s="224" t="s">
        <v>1944</v>
      </c>
      <c r="E2" s="225" t="s">
        <v>1921</v>
      </c>
      <c r="F2" s="226"/>
      <c r="G2" s="227"/>
      <c r="H2" s="228"/>
      <c r="I2" s="225"/>
      <c r="L2" s="217">
        <f>COUNTA(H2:H238)</f>
        <v>74</v>
      </c>
      <c r="M2" s="217">
        <f>COUNTA(E2:E238)</f>
        <v>96</v>
      </c>
      <c r="N2" s="218">
        <f>(L2/M2)*100</f>
        <v>77.083333333333343</v>
      </c>
    </row>
    <row r="3" spans="1:14" x14ac:dyDescent="0.4">
      <c r="A3" s="521"/>
      <c r="B3" s="524"/>
      <c r="C3" s="524"/>
      <c r="D3" s="224" t="s">
        <v>1945</v>
      </c>
      <c r="E3" s="225" t="s">
        <v>1922</v>
      </c>
      <c r="F3" s="226"/>
      <c r="G3" s="227"/>
      <c r="H3" s="228"/>
      <c r="I3" s="225"/>
    </row>
    <row r="4" spans="1:14" x14ac:dyDescent="0.4">
      <c r="A4" s="521"/>
      <c r="B4" s="524"/>
      <c r="C4" s="524"/>
      <c r="D4" s="224" t="s">
        <v>1946</v>
      </c>
      <c r="E4" s="225" t="s">
        <v>1923</v>
      </c>
      <c r="F4" s="226"/>
      <c r="G4" s="227"/>
      <c r="H4" s="228"/>
      <c r="I4" s="225"/>
    </row>
    <row r="5" spans="1:14" x14ac:dyDescent="0.4">
      <c r="A5" s="521"/>
      <c r="B5" s="524"/>
      <c r="C5" s="524"/>
      <c r="D5" s="224" t="s">
        <v>1947</v>
      </c>
      <c r="E5" s="225" t="s">
        <v>1924</v>
      </c>
      <c r="F5" s="226"/>
      <c r="G5" s="227"/>
      <c r="H5" s="228"/>
      <c r="I5" s="225"/>
    </row>
    <row r="6" spans="1:14" x14ac:dyDescent="0.4">
      <c r="A6" s="521"/>
      <c r="B6" s="524"/>
      <c r="C6" s="525"/>
      <c r="D6" s="224" t="s">
        <v>1998</v>
      </c>
      <c r="E6" s="225" t="s">
        <v>1925</v>
      </c>
      <c r="F6" s="226"/>
      <c r="G6" s="227"/>
      <c r="H6" s="228"/>
      <c r="I6" s="225"/>
      <c r="L6" s="450"/>
      <c r="M6" s="450"/>
      <c r="N6" s="450"/>
    </row>
    <row r="7" spans="1:14" x14ac:dyDescent="0.4">
      <c r="A7" s="521"/>
      <c r="B7" s="524"/>
      <c r="C7" s="523" t="s">
        <v>1999</v>
      </c>
      <c r="D7" s="224" t="s">
        <v>1948</v>
      </c>
      <c r="E7" s="225" t="s">
        <v>1926</v>
      </c>
      <c r="F7" s="226"/>
      <c r="G7" s="227"/>
      <c r="H7" s="228"/>
      <c r="I7" s="225"/>
    </row>
    <row r="8" spans="1:14" x14ac:dyDescent="0.4">
      <c r="A8" s="521"/>
      <c r="B8" s="524"/>
      <c r="C8" s="524"/>
      <c r="D8" s="526" t="s">
        <v>2000</v>
      </c>
      <c r="E8" s="528" t="s">
        <v>1898</v>
      </c>
      <c r="F8" s="224" t="s">
        <v>534</v>
      </c>
      <c r="G8" s="229" t="str">
        <f>Практики!F308</f>
        <v>Не заполнено</v>
      </c>
      <c r="H8" s="442">
        <v>0</v>
      </c>
      <c r="I8" s="225">
        <f>Практики!Q308</f>
        <v>0</v>
      </c>
    </row>
    <row r="9" spans="1:14" x14ac:dyDescent="0.4">
      <c r="A9" s="521"/>
      <c r="B9" s="524"/>
      <c r="C9" s="524"/>
      <c r="D9" s="527"/>
      <c r="E9" s="529"/>
      <c r="F9" s="224" t="s">
        <v>542</v>
      </c>
      <c r="G9" s="229" t="str">
        <f>Практики!F312</f>
        <v>Не заполнено</v>
      </c>
      <c r="H9" s="443"/>
      <c r="I9" s="225">
        <f>Практики!Q312</f>
        <v>0</v>
      </c>
    </row>
    <row r="10" spans="1:14" x14ac:dyDescent="0.4">
      <c r="A10" s="521"/>
      <c r="B10" s="524"/>
      <c r="C10" s="524"/>
      <c r="D10" s="224" t="s">
        <v>2001</v>
      </c>
      <c r="E10" s="225" t="s">
        <v>2002</v>
      </c>
      <c r="F10" s="224" t="s">
        <v>706</v>
      </c>
      <c r="G10" s="229" t="str">
        <f>Практики!F399</f>
        <v>Не заполнено</v>
      </c>
      <c r="H10" s="228">
        <v>0</v>
      </c>
      <c r="I10" s="225">
        <f>Практики!Q399</f>
        <v>0</v>
      </c>
    </row>
    <row r="11" spans="1:14" x14ac:dyDescent="0.4">
      <c r="A11" s="521"/>
      <c r="B11" s="524"/>
      <c r="C11" s="524"/>
      <c r="D11" s="224" t="s">
        <v>1949</v>
      </c>
      <c r="E11" s="225" t="s">
        <v>1927</v>
      </c>
      <c r="F11" s="226"/>
      <c r="G11" s="227"/>
      <c r="H11" s="228"/>
      <c r="I11" s="225"/>
    </row>
    <row r="12" spans="1:14" x14ac:dyDescent="0.4">
      <c r="A12" s="521"/>
      <c r="B12" s="525"/>
      <c r="C12" s="525"/>
      <c r="D12" s="224" t="s">
        <v>2003</v>
      </c>
      <c r="E12" s="225" t="s">
        <v>1917</v>
      </c>
      <c r="F12" s="224" t="s">
        <v>663</v>
      </c>
      <c r="G12" s="229" t="str">
        <f>Практики!F377</f>
        <v>Не заполнено</v>
      </c>
      <c r="H12" s="228">
        <v>0</v>
      </c>
      <c r="I12" s="225">
        <f>Практики!Q377</f>
        <v>0</v>
      </c>
    </row>
    <row r="13" spans="1:14" x14ac:dyDescent="0.4">
      <c r="A13" s="521"/>
      <c r="B13" s="530" t="s">
        <v>2004</v>
      </c>
      <c r="C13" s="530" t="s">
        <v>2005</v>
      </c>
      <c r="D13" s="230" t="s">
        <v>2006</v>
      </c>
      <c r="E13" s="231" t="s">
        <v>2007</v>
      </c>
      <c r="F13" s="230" t="s">
        <v>530</v>
      </c>
      <c r="G13" s="232" t="str">
        <f>Практики!F306</f>
        <v>Не заполнено</v>
      </c>
      <c r="H13" s="233">
        <v>0</v>
      </c>
      <c r="I13" s="231">
        <f>Практики!Q306</f>
        <v>0</v>
      </c>
    </row>
    <row r="14" spans="1:14" x14ac:dyDescent="0.4">
      <c r="A14" s="521"/>
      <c r="B14" s="531"/>
      <c r="C14" s="531"/>
      <c r="D14" s="533" t="s">
        <v>2008</v>
      </c>
      <c r="E14" s="536" t="s">
        <v>1899</v>
      </c>
      <c r="F14" s="230" t="s">
        <v>530</v>
      </c>
      <c r="G14" s="232" t="str">
        <f>Практики!F306</f>
        <v>Не заполнено</v>
      </c>
      <c r="H14" s="444">
        <v>0</v>
      </c>
      <c r="I14" s="231">
        <f>Практики!Q306</f>
        <v>0</v>
      </c>
    </row>
    <row r="15" spans="1:14" x14ac:dyDescent="0.4">
      <c r="A15" s="521"/>
      <c r="B15" s="531"/>
      <c r="C15" s="531"/>
      <c r="D15" s="534"/>
      <c r="E15" s="537"/>
      <c r="F15" s="230" t="s">
        <v>536</v>
      </c>
      <c r="G15" s="232" t="str">
        <f>Практики!F309</f>
        <v>Не заполнено</v>
      </c>
      <c r="H15" s="445"/>
      <c r="I15" s="231">
        <f>Практики!Q309</f>
        <v>0</v>
      </c>
    </row>
    <row r="16" spans="1:14" x14ac:dyDescent="0.4">
      <c r="A16" s="521"/>
      <c r="B16" s="531"/>
      <c r="C16" s="531"/>
      <c r="D16" s="534"/>
      <c r="E16" s="537"/>
      <c r="F16" s="230" t="s">
        <v>538</v>
      </c>
      <c r="G16" s="232" t="str">
        <f>Практики!F310</f>
        <v>Не заполнено</v>
      </c>
      <c r="H16" s="445"/>
      <c r="I16" s="231">
        <f>Практики!Q310</f>
        <v>0</v>
      </c>
    </row>
    <row r="17" spans="1:9" x14ac:dyDescent="0.4">
      <c r="A17" s="521"/>
      <c r="B17" s="531"/>
      <c r="C17" s="531"/>
      <c r="D17" s="534"/>
      <c r="E17" s="537"/>
      <c r="F17" s="230" t="s">
        <v>540</v>
      </c>
      <c r="G17" s="232" t="str">
        <f>Практики!F311</f>
        <v>Не заполнено</v>
      </c>
      <c r="H17" s="445"/>
      <c r="I17" s="231">
        <f>Практики!Q311</f>
        <v>0</v>
      </c>
    </row>
    <row r="18" spans="1:9" x14ac:dyDescent="0.4">
      <c r="A18" s="521"/>
      <c r="B18" s="531"/>
      <c r="C18" s="531"/>
      <c r="D18" s="535"/>
      <c r="E18" s="538"/>
      <c r="F18" s="230" t="s">
        <v>549</v>
      </c>
      <c r="G18" s="232" t="str">
        <f>Практики!F315</f>
        <v>Не заполнено</v>
      </c>
      <c r="H18" s="446"/>
      <c r="I18" s="231">
        <f>Практики!Q315</f>
        <v>0</v>
      </c>
    </row>
    <row r="19" spans="1:9" x14ac:dyDescent="0.4">
      <c r="A19" s="521"/>
      <c r="B19" s="531"/>
      <c r="C19" s="531"/>
      <c r="D19" s="230" t="s">
        <v>2009</v>
      </c>
      <c r="E19" s="231" t="s">
        <v>1897</v>
      </c>
      <c r="F19" s="230" t="s">
        <v>532</v>
      </c>
      <c r="G19" s="232" t="str">
        <f>Практики!F307</f>
        <v>Не заполнено</v>
      </c>
      <c r="H19" s="233">
        <v>0</v>
      </c>
      <c r="I19" s="231">
        <f>Практики!Q307</f>
        <v>0</v>
      </c>
    </row>
    <row r="20" spans="1:9" x14ac:dyDescent="0.4">
      <c r="A20" s="521"/>
      <c r="B20" s="531"/>
      <c r="C20" s="531"/>
      <c r="D20" s="533" t="s">
        <v>2010</v>
      </c>
      <c r="E20" s="536" t="s">
        <v>1900</v>
      </c>
      <c r="F20" s="230" t="s">
        <v>554</v>
      </c>
      <c r="G20" s="232" t="str">
        <f>Практики!F318</f>
        <v>Не заполнено</v>
      </c>
      <c r="H20" s="444">
        <v>0</v>
      </c>
      <c r="I20" s="231">
        <f>Практики!Q318</f>
        <v>0</v>
      </c>
    </row>
    <row r="21" spans="1:9" x14ac:dyDescent="0.4">
      <c r="A21" s="521"/>
      <c r="B21" s="531"/>
      <c r="C21" s="531"/>
      <c r="D21" s="535"/>
      <c r="E21" s="538"/>
      <c r="F21" s="230" t="s">
        <v>560</v>
      </c>
      <c r="G21" s="232" t="str">
        <f>Практики!F321</f>
        <v>Не заполнено</v>
      </c>
      <c r="H21" s="446"/>
      <c r="I21" s="231">
        <f>Практики!Q321</f>
        <v>0</v>
      </c>
    </row>
    <row r="22" spans="1:9" x14ac:dyDescent="0.4">
      <c r="A22" s="521"/>
      <c r="B22" s="531"/>
      <c r="C22" s="531"/>
      <c r="D22" s="230" t="s">
        <v>2011</v>
      </c>
      <c r="E22" s="231" t="s">
        <v>2012</v>
      </c>
      <c r="F22" s="230" t="s">
        <v>567</v>
      </c>
      <c r="G22" s="232" t="str">
        <f>Практики!F324</f>
        <v>Не заполнено</v>
      </c>
      <c r="H22" s="233">
        <v>0</v>
      </c>
      <c r="I22" s="231">
        <f>Практики!Q324</f>
        <v>0</v>
      </c>
    </row>
    <row r="23" spans="1:9" x14ac:dyDescent="0.4">
      <c r="A23" s="521"/>
      <c r="B23" s="531"/>
      <c r="C23" s="532"/>
      <c r="D23" s="230" t="s">
        <v>2013</v>
      </c>
      <c r="E23" s="231" t="s">
        <v>1901</v>
      </c>
      <c r="F23" s="230" t="s">
        <v>558</v>
      </c>
      <c r="G23" s="232" t="str">
        <f>Практики!F320</f>
        <v>Не заполнено</v>
      </c>
      <c r="H23" s="233">
        <v>0</v>
      </c>
      <c r="I23" s="231">
        <f>Практики!Q320</f>
        <v>0</v>
      </c>
    </row>
    <row r="24" spans="1:9" x14ac:dyDescent="0.4">
      <c r="A24" s="521"/>
      <c r="B24" s="531"/>
      <c r="C24" s="530" t="s">
        <v>2014</v>
      </c>
      <c r="D24" s="230" t="s">
        <v>2015</v>
      </c>
      <c r="E24" s="231" t="s">
        <v>1914</v>
      </c>
      <c r="F24" s="230" t="s">
        <v>643</v>
      </c>
      <c r="G24" s="232" t="str">
        <f>Практики!F368</f>
        <v>Не заполнено</v>
      </c>
      <c r="H24" s="233">
        <v>0</v>
      </c>
      <c r="I24" s="231">
        <f>Практики!Q368</f>
        <v>0</v>
      </c>
    </row>
    <row r="25" spans="1:9" x14ac:dyDescent="0.4">
      <c r="A25" s="521"/>
      <c r="B25" s="531"/>
      <c r="C25" s="531"/>
      <c r="D25" s="230" t="s">
        <v>2016</v>
      </c>
      <c r="E25" s="231" t="s">
        <v>2017</v>
      </c>
      <c r="F25" s="230" t="s">
        <v>567</v>
      </c>
      <c r="G25" s="232" t="str">
        <f>Практики!F324</f>
        <v>Не заполнено</v>
      </c>
      <c r="H25" s="233">
        <v>0</v>
      </c>
      <c r="I25" s="231">
        <f>Практики!Q324</f>
        <v>0</v>
      </c>
    </row>
    <row r="26" spans="1:9" x14ac:dyDescent="0.4">
      <c r="A26" s="521"/>
      <c r="B26" s="531"/>
      <c r="C26" s="531"/>
      <c r="D26" s="533" t="s">
        <v>2018</v>
      </c>
      <c r="E26" s="536" t="s">
        <v>1915</v>
      </c>
      <c r="F26" s="230" t="s">
        <v>644</v>
      </c>
      <c r="G26" s="232" t="str">
        <f>Практики!F369</f>
        <v>Не заполнено</v>
      </c>
      <c r="H26" s="444">
        <v>0</v>
      </c>
      <c r="I26" s="231">
        <f>Практики!Q369</f>
        <v>0</v>
      </c>
    </row>
    <row r="27" spans="1:9" x14ac:dyDescent="0.4">
      <c r="A27" s="521"/>
      <c r="B27" s="531"/>
      <c r="C27" s="531"/>
      <c r="D27" s="535"/>
      <c r="E27" s="538"/>
      <c r="F27" s="230" t="s">
        <v>647</v>
      </c>
      <c r="G27" s="232" t="str">
        <f>Практики!F370</f>
        <v>Не заполнено</v>
      </c>
      <c r="H27" s="446"/>
      <c r="I27" s="231">
        <f>Практики!Q370</f>
        <v>0</v>
      </c>
    </row>
    <row r="28" spans="1:9" x14ac:dyDescent="0.4">
      <c r="A28" s="521"/>
      <c r="B28" s="531"/>
      <c r="C28" s="532"/>
      <c r="D28" s="230" t="s">
        <v>2019</v>
      </c>
      <c r="E28" s="231" t="s">
        <v>1916</v>
      </c>
      <c r="F28" s="230" t="s">
        <v>650</v>
      </c>
      <c r="G28" s="232" t="str">
        <f>Практики!F371</f>
        <v>Не заполнено</v>
      </c>
      <c r="H28" s="233">
        <v>0</v>
      </c>
      <c r="I28" s="231">
        <f>Практики!Q371</f>
        <v>0</v>
      </c>
    </row>
    <row r="29" spans="1:9" x14ac:dyDescent="0.4">
      <c r="A29" s="521"/>
      <c r="B29" s="531"/>
      <c r="C29" s="530" t="s">
        <v>2020</v>
      </c>
      <c r="D29" s="230" t="s">
        <v>1950</v>
      </c>
      <c r="E29" s="231" t="s">
        <v>1928</v>
      </c>
      <c r="F29" s="226"/>
      <c r="G29" s="227"/>
      <c r="H29" s="233"/>
      <c r="I29" s="234"/>
    </row>
    <row r="30" spans="1:9" x14ac:dyDescent="0.4">
      <c r="A30" s="521"/>
      <c r="B30" s="531"/>
      <c r="C30" s="531"/>
      <c r="D30" s="230" t="s">
        <v>2021</v>
      </c>
      <c r="E30" s="231" t="s">
        <v>1840</v>
      </c>
      <c r="F30" s="230" t="s">
        <v>14</v>
      </c>
      <c r="G30" s="232" t="str">
        <f>Практики!F4</f>
        <v>Не заполнено</v>
      </c>
      <c r="H30" s="233">
        <v>0</v>
      </c>
      <c r="I30" s="231">
        <f>Практики!Q4</f>
        <v>0</v>
      </c>
    </row>
    <row r="31" spans="1:9" x14ac:dyDescent="0.4">
      <c r="A31" s="521"/>
      <c r="B31" s="531"/>
      <c r="C31" s="531"/>
      <c r="D31" s="533" t="s">
        <v>2022</v>
      </c>
      <c r="E31" s="536" t="s">
        <v>1856</v>
      </c>
      <c r="F31" s="230" t="s">
        <v>100</v>
      </c>
      <c r="G31" s="232" t="str">
        <f>Практики!F50</f>
        <v>Не заполнено</v>
      </c>
      <c r="H31" s="444">
        <v>0</v>
      </c>
      <c r="I31" s="231">
        <f>Практики!Q50</f>
        <v>0</v>
      </c>
    </row>
    <row r="32" spans="1:9" x14ac:dyDescent="0.4">
      <c r="A32" s="521"/>
      <c r="B32" s="531"/>
      <c r="C32" s="531"/>
      <c r="D32" s="535"/>
      <c r="E32" s="538"/>
      <c r="F32" s="230" t="s">
        <v>193</v>
      </c>
      <c r="G32" s="232" t="str">
        <f>Практики!F103</f>
        <v>Не заполнено</v>
      </c>
      <c r="H32" s="446"/>
      <c r="I32" s="231">
        <f>Практики!Q103</f>
        <v>0</v>
      </c>
    </row>
    <row r="33" spans="1:9" x14ac:dyDescent="0.4">
      <c r="A33" s="521"/>
      <c r="B33" s="532"/>
      <c r="C33" s="532"/>
      <c r="D33" s="230" t="s">
        <v>2023</v>
      </c>
      <c r="E33" s="231" t="s">
        <v>1903</v>
      </c>
      <c r="F33" s="230" t="s">
        <v>569</v>
      </c>
      <c r="G33" s="232" t="str">
        <f>Практики!F325</f>
        <v>Не заполнено</v>
      </c>
      <c r="H33" s="233">
        <v>0</v>
      </c>
      <c r="I33" s="231">
        <f>Практики!Q325</f>
        <v>0</v>
      </c>
    </row>
    <row r="34" spans="1:9" x14ac:dyDescent="0.4">
      <c r="A34" s="521"/>
      <c r="B34" s="511" t="s">
        <v>2024</v>
      </c>
      <c r="C34" s="511" t="s">
        <v>2025</v>
      </c>
      <c r="D34" s="514" t="s">
        <v>2026</v>
      </c>
      <c r="E34" s="447" t="s">
        <v>1857</v>
      </c>
      <c r="F34" s="235" t="s">
        <v>93</v>
      </c>
      <c r="G34" s="236" t="str">
        <f>Практики!F47</f>
        <v>Не заполнено</v>
      </c>
      <c r="H34" s="447">
        <v>0</v>
      </c>
      <c r="I34" s="237">
        <f>Практики!Q47</f>
        <v>0</v>
      </c>
    </row>
    <row r="35" spans="1:9" x14ac:dyDescent="0.4">
      <c r="A35" s="521"/>
      <c r="B35" s="512"/>
      <c r="C35" s="512"/>
      <c r="D35" s="515"/>
      <c r="E35" s="448"/>
      <c r="F35" s="235" t="s">
        <v>141</v>
      </c>
      <c r="G35" s="236" t="str">
        <f>Практики!F71</f>
        <v>Не заполнено</v>
      </c>
      <c r="H35" s="448"/>
      <c r="I35" s="237">
        <f>Практики!Q71</f>
        <v>0</v>
      </c>
    </row>
    <row r="36" spans="1:9" x14ac:dyDescent="0.4">
      <c r="A36" s="521"/>
      <c r="B36" s="512"/>
      <c r="C36" s="512"/>
      <c r="D36" s="515"/>
      <c r="E36" s="448"/>
      <c r="F36" s="235" t="s">
        <v>444</v>
      </c>
      <c r="G36" s="236" t="str">
        <f>Практики!F258</f>
        <v>Не заполнено</v>
      </c>
      <c r="H36" s="448"/>
      <c r="I36" s="237">
        <f>Практики!Q258</f>
        <v>0</v>
      </c>
    </row>
    <row r="37" spans="1:9" x14ac:dyDescent="0.4">
      <c r="A37" s="521"/>
      <c r="B37" s="512"/>
      <c r="C37" s="512"/>
      <c r="D37" s="515"/>
      <c r="E37" s="448"/>
      <c r="F37" s="235" t="s">
        <v>446</v>
      </c>
      <c r="G37" s="236" t="str">
        <f>Практики!F259</f>
        <v>Не заполнено</v>
      </c>
      <c r="H37" s="448"/>
      <c r="I37" s="237">
        <f>Практики!Q259</f>
        <v>0</v>
      </c>
    </row>
    <row r="38" spans="1:9" x14ac:dyDescent="0.4">
      <c r="A38" s="521"/>
      <c r="B38" s="512"/>
      <c r="C38" s="512"/>
      <c r="D38" s="515"/>
      <c r="E38" s="448"/>
      <c r="F38" s="235" t="s">
        <v>449</v>
      </c>
      <c r="G38" s="236" t="str">
        <f>Практики!F260</f>
        <v>Не заполнено</v>
      </c>
      <c r="H38" s="449"/>
      <c r="I38" s="237">
        <f>Практики!Q260</f>
        <v>0</v>
      </c>
    </row>
    <row r="39" spans="1:9" x14ac:dyDescent="0.4">
      <c r="A39" s="521"/>
      <c r="B39" s="512"/>
      <c r="C39" s="512"/>
      <c r="D39" s="514" t="s">
        <v>2027</v>
      </c>
      <c r="E39" s="447" t="s">
        <v>1847</v>
      </c>
      <c r="F39" s="235" t="s">
        <v>45</v>
      </c>
      <c r="G39" s="236" t="str">
        <f>Практики!F18</f>
        <v>Не заполнено</v>
      </c>
      <c r="H39" s="447">
        <v>0</v>
      </c>
      <c r="I39" s="237">
        <f>Практики!Q18</f>
        <v>0</v>
      </c>
    </row>
    <row r="40" spans="1:9" x14ac:dyDescent="0.4">
      <c r="A40" s="521"/>
      <c r="B40" s="512"/>
      <c r="C40" s="512"/>
      <c r="D40" s="515"/>
      <c r="E40" s="448"/>
      <c r="F40" s="235" t="s">
        <v>49</v>
      </c>
      <c r="G40" s="236" t="str">
        <f>Практики!F20</f>
        <v>Не заполнено</v>
      </c>
      <c r="H40" s="448"/>
      <c r="I40" s="237">
        <f>Практики!Q20</f>
        <v>0</v>
      </c>
    </row>
    <row r="41" spans="1:9" x14ac:dyDescent="0.4">
      <c r="A41" s="521"/>
      <c r="B41" s="512"/>
      <c r="C41" s="512"/>
      <c r="D41" s="515"/>
      <c r="E41" s="448"/>
      <c r="F41" s="235" t="s">
        <v>71</v>
      </c>
      <c r="G41" s="236" t="str">
        <f>Практики!F34</f>
        <v>Не заполнено</v>
      </c>
      <c r="H41" s="448"/>
      <c r="I41" s="237">
        <f>Практики!Q34</f>
        <v>0</v>
      </c>
    </row>
    <row r="42" spans="1:9" x14ac:dyDescent="0.4">
      <c r="A42" s="521"/>
      <c r="B42" s="512"/>
      <c r="C42" s="512"/>
      <c r="D42" s="515"/>
      <c r="E42" s="448"/>
      <c r="F42" s="235" t="s">
        <v>90</v>
      </c>
      <c r="G42" s="236" t="str">
        <f>Практики!F45</f>
        <v>Не заполнено</v>
      </c>
      <c r="H42" s="448"/>
      <c r="I42" s="237">
        <f>Практики!Q45</f>
        <v>0</v>
      </c>
    </row>
    <row r="43" spans="1:9" x14ac:dyDescent="0.4">
      <c r="A43" s="521"/>
      <c r="B43" s="512"/>
      <c r="C43" s="512"/>
      <c r="D43" s="515"/>
      <c r="E43" s="448"/>
      <c r="F43" s="235" t="s">
        <v>110</v>
      </c>
      <c r="G43" s="236" t="str">
        <f>Практики!F55</f>
        <v>Не заполнено</v>
      </c>
      <c r="H43" s="448"/>
      <c r="I43" s="237">
        <f>Практики!Q55</f>
        <v>0</v>
      </c>
    </row>
    <row r="44" spans="1:9" x14ac:dyDescent="0.4">
      <c r="A44" s="521"/>
      <c r="B44" s="512"/>
      <c r="C44" s="512"/>
      <c r="D44" s="515"/>
      <c r="E44" s="448"/>
      <c r="F44" s="235" t="s">
        <v>112</v>
      </c>
      <c r="G44" s="236" t="str">
        <f>Практики!F56</f>
        <v>Не заполнено</v>
      </c>
      <c r="H44" s="448"/>
      <c r="I44" s="237">
        <f>Практики!Q56</f>
        <v>0</v>
      </c>
    </row>
    <row r="45" spans="1:9" x14ac:dyDescent="0.4">
      <c r="A45" s="521"/>
      <c r="B45" s="512"/>
      <c r="C45" s="512"/>
      <c r="D45" s="515"/>
      <c r="E45" s="448"/>
      <c r="F45" s="235" t="s">
        <v>114</v>
      </c>
      <c r="G45" s="236" t="str">
        <f>Практики!F57</f>
        <v>Не заполнено</v>
      </c>
      <c r="H45" s="448"/>
      <c r="I45" s="237">
        <f>Практики!Q57</f>
        <v>0</v>
      </c>
    </row>
    <row r="46" spans="1:9" x14ac:dyDescent="0.4">
      <c r="A46" s="521"/>
      <c r="B46" s="512"/>
      <c r="C46" s="512"/>
      <c r="D46" s="515"/>
      <c r="E46" s="448"/>
      <c r="F46" s="235" t="s">
        <v>120</v>
      </c>
      <c r="G46" s="236" t="str">
        <f>Практики!F60</f>
        <v>Не заполнено</v>
      </c>
      <c r="H46" s="448"/>
      <c r="I46" s="237">
        <f>Практики!Q60</f>
        <v>0</v>
      </c>
    </row>
    <row r="47" spans="1:9" x14ac:dyDescent="0.4">
      <c r="A47" s="521"/>
      <c r="B47" s="512"/>
      <c r="C47" s="512"/>
      <c r="D47" s="515"/>
      <c r="E47" s="448"/>
      <c r="F47" s="235" t="s">
        <v>152</v>
      </c>
      <c r="G47" s="236" t="str">
        <f>Практики!F78</f>
        <v>Не заполнено</v>
      </c>
      <c r="H47" s="448"/>
      <c r="I47" s="237">
        <f>Практики!Q78</f>
        <v>0</v>
      </c>
    </row>
    <row r="48" spans="1:9" x14ac:dyDescent="0.4">
      <c r="A48" s="521"/>
      <c r="B48" s="512"/>
      <c r="C48" s="512"/>
      <c r="D48" s="515"/>
      <c r="E48" s="448"/>
      <c r="F48" s="235" t="s">
        <v>179</v>
      </c>
      <c r="G48" s="236" t="str">
        <f>Практики!F94</f>
        <v>Не заполнено</v>
      </c>
      <c r="H48" s="448"/>
      <c r="I48" s="237">
        <f>Практики!Q94</f>
        <v>0</v>
      </c>
    </row>
    <row r="49" spans="1:9" x14ac:dyDescent="0.4">
      <c r="A49" s="521"/>
      <c r="B49" s="512"/>
      <c r="C49" s="512"/>
      <c r="D49" s="515"/>
      <c r="E49" s="448"/>
      <c r="F49" s="235" t="s">
        <v>432</v>
      </c>
      <c r="G49" s="236" t="str">
        <f>Практики!F252</f>
        <v>Не заполнено</v>
      </c>
      <c r="H49" s="448"/>
      <c r="I49" s="237">
        <f>Практики!Q252</f>
        <v>0</v>
      </c>
    </row>
    <row r="50" spans="1:9" x14ac:dyDescent="0.4">
      <c r="A50" s="521"/>
      <c r="B50" s="512"/>
      <c r="C50" s="513"/>
      <c r="D50" s="516"/>
      <c r="E50" s="449"/>
      <c r="F50" s="235" t="s">
        <v>436</v>
      </c>
      <c r="G50" s="236" t="str">
        <f>Практики!F254</f>
        <v>Не заполнено</v>
      </c>
      <c r="H50" s="449"/>
      <c r="I50" s="237">
        <f>Практики!Q254</f>
        <v>0</v>
      </c>
    </row>
    <row r="51" spans="1:9" x14ac:dyDescent="0.4">
      <c r="A51" s="521"/>
      <c r="B51" s="512"/>
      <c r="C51" s="511" t="s">
        <v>2028</v>
      </c>
      <c r="D51" s="517" t="s">
        <v>2029</v>
      </c>
      <c r="E51" s="447" t="s">
        <v>1842</v>
      </c>
      <c r="F51" s="235" t="s">
        <v>24</v>
      </c>
      <c r="G51" s="236" t="str">
        <f>Практики!F7</f>
        <v>Не заполнено</v>
      </c>
      <c r="H51" s="447">
        <v>0</v>
      </c>
      <c r="I51" s="237">
        <f>Практики!Q7</f>
        <v>0</v>
      </c>
    </row>
    <row r="52" spans="1:9" x14ac:dyDescent="0.4">
      <c r="A52" s="521"/>
      <c r="B52" s="512"/>
      <c r="C52" s="512"/>
      <c r="D52" s="518"/>
      <c r="E52" s="448"/>
      <c r="F52" s="235" t="s">
        <v>49</v>
      </c>
      <c r="G52" s="236" t="str">
        <f>Практики!F20</f>
        <v>Не заполнено</v>
      </c>
      <c r="H52" s="448"/>
      <c r="I52" s="237">
        <f>Практики!Q20</f>
        <v>0</v>
      </c>
    </row>
    <row r="53" spans="1:9" x14ac:dyDescent="0.4">
      <c r="A53" s="521"/>
      <c r="B53" s="512"/>
      <c r="C53" s="512"/>
      <c r="D53" s="518"/>
      <c r="E53" s="448"/>
      <c r="F53" s="235" t="s">
        <v>51</v>
      </c>
      <c r="G53" s="236" t="str">
        <f>Практики!F21</f>
        <v>Не заполнено</v>
      </c>
      <c r="H53" s="448"/>
      <c r="I53" s="237">
        <f>Практики!Q21</f>
        <v>0</v>
      </c>
    </row>
    <row r="54" spans="1:9" x14ac:dyDescent="0.4">
      <c r="A54" s="521"/>
      <c r="B54" s="512"/>
      <c r="C54" s="512"/>
      <c r="D54" s="518"/>
      <c r="E54" s="448"/>
      <c r="F54" s="235" t="s">
        <v>67</v>
      </c>
      <c r="G54" s="236" t="str">
        <f>Практики!F32</f>
        <v>Не заполнено</v>
      </c>
      <c r="H54" s="448"/>
      <c r="I54" s="237">
        <f>Практики!Q32</f>
        <v>0</v>
      </c>
    </row>
    <row r="55" spans="1:9" x14ac:dyDescent="0.4">
      <c r="A55" s="521"/>
      <c r="B55" s="512"/>
      <c r="C55" s="512"/>
      <c r="D55" s="518"/>
      <c r="E55" s="448"/>
      <c r="F55" s="235" t="s">
        <v>88</v>
      </c>
      <c r="G55" s="236" t="str">
        <f>Практики!F44</f>
        <v>Не заполнено</v>
      </c>
      <c r="H55" s="448"/>
      <c r="I55" s="237">
        <f>Практики!Q44</f>
        <v>0</v>
      </c>
    </row>
    <row r="56" spans="1:9" x14ac:dyDescent="0.4">
      <c r="A56" s="521"/>
      <c r="B56" s="512"/>
      <c r="C56" s="512"/>
      <c r="D56" s="518"/>
      <c r="E56" s="448"/>
      <c r="F56" s="235" t="s">
        <v>102</v>
      </c>
      <c r="G56" s="236" t="str">
        <f>Практики!F51</f>
        <v>Не заполнено</v>
      </c>
      <c r="H56" s="448"/>
      <c r="I56" s="237">
        <f>Практики!Q51</f>
        <v>0</v>
      </c>
    </row>
    <row r="57" spans="1:9" x14ac:dyDescent="0.4">
      <c r="A57" s="521"/>
      <c r="B57" s="512"/>
      <c r="C57" s="512"/>
      <c r="D57" s="518"/>
      <c r="E57" s="448"/>
      <c r="F57" s="235" t="s">
        <v>348</v>
      </c>
      <c r="G57" s="236" t="str">
        <f>Практики!F199</f>
        <v>Не заполнено</v>
      </c>
      <c r="H57" s="448"/>
      <c r="I57" s="237">
        <f>Практики!Q199</f>
        <v>0</v>
      </c>
    </row>
    <row r="58" spans="1:9" x14ac:dyDescent="0.4">
      <c r="A58" s="521"/>
      <c r="B58" s="512"/>
      <c r="C58" s="512"/>
      <c r="D58" s="518"/>
      <c r="E58" s="448"/>
      <c r="F58" s="235" t="s">
        <v>353</v>
      </c>
      <c r="G58" s="236" t="str">
        <f>Практики!F202</f>
        <v>Не заполнено</v>
      </c>
      <c r="H58" s="448"/>
      <c r="I58" s="237">
        <f>Практики!Q202</f>
        <v>0</v>
      </c>
    </row>
    <row r="59" spans="1:9" x14ac:dyDescent="0.4">
      <c r="A59" s="521"/>
      <c r="B59" s="512"/>
      <c r="C59" s="512"/>
      <c r="D59" s="518"/>
      <c r="E59" s="448"/>
      <c r="F59" s="235" t="s">
        <v>357</v>
      </c>
      <c r="G59" s="236" t="str">
        <f>Практики!F204</f>
        <v>Не заполнено</v>
      </c>
      <c r="H59" s="448"/>
      <c r="I59" s="237">
        <f>Практики!Q204</f>
        <v>0</v>
      </c>
    </row>
    <row r="60" spans="1:9" x14ac:dyDescent="0.4">
      <c r="A60" s="521"/>
      <c r="B60" s="512"/>
      <c r="C60" s="512"/>
      <c r="D60" s="518"/>
      <c r="E60" s="448"/>
      <c r="F60" s="235" t="s">
        <v>451</v>
      </c>
      <c r="G60" s="236" t="str">
        <f>Практики!F261</f>
        <v>Не заполнено</v>
      </c>
      <c r="H60" s="448"/>
      <c r="I60" s="237">
        <f>Практики!Q261</f>
        <v>0</v>
      </c>
    </row>
    <row r="61" spans="1:9" x14ac:dyDescent="0.4">
      <c r="A61" s="521"/>
      <c r="B61" s="512"/>
      <c r="C61" s="512"/>
      <c r="D61" s="518"/>
      <c r="E61" s="448"/>
      <c r="F61" s="235" t="s">
        <v>473</v>
      </c>
      <c r="G61" s="236" t="str">
        <f>Практики!F273</f>
        <v>Не заполнено</v>
      </c>
      <c r="H61" s="448"/>
      <c r="I61" s="237">
        <f>Практики!Q273</f>
        <v>0</v>
      </c>
    </row>
    <row r="62" spans="1:9" x14ac:dyDescent="0.4">
      <c r="A62" s="521"/>
      <c r="B62" s="512"/>
      <c r="C62" s="512"/>
      <c r="D62" s="518"/>
      <c r="E62" s="448"/>
      <c r="F62" s="235" t="s">
        <v>477</v>
      </c>
      <c r="G62" s="236" t="str">
        <f>Практики!F275</f>
        <v>Не заполнено</v>
      </c>
      <c r="H62" s="448"/>
      <c r="I62" s="237">
        <f>Практики!Q275</f>
        <v>0</v>
      </c>
    </row>
    <row r="63" spans="1:9" x14ac:dyDescent="0.4">
      <c r="A63" s="521"/>
      <c r="B63" s="512"/>
      <c r="C63" s="512"/>
      <c r="D63" s="518"/>
      <c r="E63" s="448"/>
      <c r="F63" s="235" t="s">
        <v>587</v>
      </c>
      <c r="G63" s="236" t="str">
        <f>Практики!F335</f>
        <v>Не заполнено</v>
      </c>
      <c r="H63" s="448"/>
      <c r="I63" s="237">
        <f>Практики!Q335</f>
        <v>0</v>
      </c>
    </row>
    <row r="64" spans="1:9" x14ac:dyDescent="0.4">
      <c r="A64" s="521"/>
      <c r="B64" s="512"/>
      <c r="C64" s="512"/>
      <c r="D64" s="518"/>
      <c r="E64" s="448"/>
      <c r="F64" s="235" t="s">
        <v>589</v>
      </c>
      <c r="G64" s="236" t="str">
        <f>Практики!F336</f>
        <v>Не заполнено</v>
      </c>
      <c r="H64" s="448"/>
      <c r="I64" s="237">
        <f>Практики!Q336</f>
        <v>0</v>
      </c>
    </row>
    <row r="65" spans="1:9" x14ac:dyDescent="0.4">
      <c r="A65" s="521"/>
      <c r="B65" s="512"/>
      <c r="C65" s="512"/>
      <c r="D65" s="518"/>
      <c r="E65" s="448"/>
      <c r="F65" s="235" t="s">
        <v>599</v>
      </c>
      <c r="G65" s="236" t="str">
        <f>Практики!F342</f>
        <v>Не заполнено</v>
      </c>
      <c r="H65" s="448"/>
      <c r="I65" s="237">
        <f>Практики!Q342</f>
        <v>0</v>
      </c>
    </row>
    <row r="66" spans="1:9" x14ac:dyDescent="0.4">
      <c r="A66" s="521"/>
      <c r="B66" s="512"/>
      <c r="C66" s="512"/>
      <c r="D66" s="519"/>
      <c r="E66" s="449"/>
      <c r="F66" s="235" t="s">
        <v>603</v>
      </c>
      <c r="G66" s="236" t="str">
        <f>Практики!F344</f>
        <v>Не заполнено</v>
      </c>
      <c r="H66" s="449"/>
      <c r="I66" s="237">
        <f>Практики!Q344</f>
        <v>0</v>
      </c>
    </row>
    <row r="67" spans="1:9" x14ac:dyDescent="0.4">
      <c r="A67" s="521"/>
      <c r="B67" s="512"/>
      <c r="C67" s="512"/>
      <c r="D67" s="514" t="s">
        <v>2030</v>
      </c>
      <c r="E67" s="447" t="s">
        <v>1907</v>
      </c>
      <c r="F67" s="235" t="s">
        <v>592</v>
      </c>
      <c r="G67" s="236" t="str">
        <f>Практики!F338</f>
        <v>Не заполнено</v>
      </c>
      <c r="H67" s="447">
        <v>0</v>
      </c>
      <c r="I67" s="237">
        <f>Практики!Q338</f>
        <v>0</v>
      </c>
    </row>
    <row r="68" spans="1:9" x14ac:dyDescent="0.4">
      <c r="A68" s="521"/>
      <c r="B68" s="512"/>
      <c r="C68" s="512"/>
      <c r="D68" s="515"/>
      <c r="E68" s="448"/>
      <c r="F68" s="235" t="s">
        <v>608</v>
      </c>
      <c r="G68" s="236" t="str">
        <f>Практики!F347</f>
        <v>Не заполнено</v>
      </c>
      <c r="H68" s="448"/>
      <c r="I68" s="237">
        <f>Практики!Q347</f>
        <v>0</v>
      </c>
    </row>
    <row r="69" spans="1:9" x14ac:dyDescent="0.4">
      <c r="A69" s="522"/>
      <c r="B69" s="513"/>
      <c r="C69" s="513"/>
      <c r="D69" s="516"/>
      <c r="E69" s="449"/>
      <c r="F69" s="235" t="s">
        <v>625</v>
      </c>
      <c r="G69" s="236" t="str">
        <f>Практики!F357</f>
        <v>Не заполнено</v>
      </c>
      <c r="H69" s="449"/>
      <c r="I69" s="237">
        <f>Практики!Q357</f>
        <v>0</v>
      </c>
    </row>
    <row r="70" spans="1:9" x14ac:dyDescent="0.4">
      <c r="A70" s="508" t="s">
        <v>2031</v>
      </c>
      <c r="B70" s="499" t="s">
        <v>2032</v>
      </c>
      <c r="C70" s="499" t="s">
        <v>2033</v>
      </c>
      <c r="D70" s="238" t="s">
        <v>1951</v>
      </c>
      <c r="E70" s="239" t="s">
        <v>1929</v>
      </c>
      <c r="F70" s="226"/>
      <c r="G70" s="227"/>
      <c r="H70" s="239"/>
      <c r="I70" s="234"/>
    </row>
    <row r="71" spans="1:9" x14ac:dyDescent="0.4">
      <c r="A71" s="509"/>
      <c r="B71" s="500"/>
      <c r="C71" s="500"/>
      <c r="D71" s="496" t="s">
        <v>2034</v>
      </c>
      <c r="E71" s="439" t="s">
        <v>1895</v>
      </c>
      <c r="F71" s="238" t="s">
        <v>515</v>
      </c>
      <c r="G71" s="240" t="str">
        <f>Практики!F295</f>
        <v>Не заполнено</v>
      </c>
      <c r="H71" s="439">
        <v>0</v>
      </c>
      <c r="I71" s="239">
        <f>Практики!Q295</f>
        <v>0</v>
      </c>
    </row>
    <row r="72" spans="1:9" x14ac:dyDescent="0.4">
      <c r="A72" s="509"/>
      <c r="B72" s="500"/>
      <c r="C72" s="500"/>
      <c r="D72" s="497"/>
      <c r="E72" s="440"/>
      <c r="F72" s="238" t="s">
        <v>523</v>
      </c>
      <c r="G72" s="240" t="str">
        <f>Практики!F299</f>
        <v>Не заполнено</v>
      </c>
      <c r="H72" s="440"/>
      <c r="I72" s="239">
        <f>Практики!Q299</f>
        <v>0</v>
      </c>
    </row>
    <row r="73" spans="1:9" x14ac:dyDescent="0.4">
      <c r="A73" s="509"/>
      <c r="B73" s="500"/>
      <c r="C73" s="500"/>
      <c r="D73" s="497"/>
      <c r="E73" s="440"/>
      <c r="F73" s="238" t="s">
        <v>678</v>
      </c>
      <c r="G73" s="240" t="str">
        <f>Практики!F385</f>
        <v>Не заполнено</v>
      </c>
      <c r="H73" s="440"/>
      <c r="I73" s="239">
        <f>Практики!Q385</f>
        <v>0</v>
      </c>
    </row>
    <row r="74" spans="1:9" x14ac:dyDescent="0.4">
      <c r="A74" s="509"/>
      <c r="B74" s="500"/>
      <c r="C74" s="500"/>
      <c r="D74" s="497"/>
      <c r="E74" s="440"/>
      <c r="F74" s="238" t="s">
        <v>685</v>
      </c>
      <c r="G74" s="240" t="str">
        <f>Практики!F388</f>
        <v>Не заполнено</v>
      </c>
      <c r="H74" s="440"/>
      <c r="I74" s="239">
        <f>Практики!Q388</f>
        <v>0</v>
      </c>
    </row>
    <row r="75" spans="1:9" x14ac:dyDescent="0.4">
      <c r="A75" s="509"/>
      <c r="B75" s="500"/>
      <c r="C75" s="500"/>
      <c r="D75" s="497"/>
      <c r="E75" s="440"/>
      <c r="F75" s="238" t="s">
        <v>688</v>
      </c>
      <c r="G75" s="240" t="str">
        <f>Практики!F390</f>
        <v>Не заполнено</v>
      </c>
      <c r="H75" s="440"/>
      <c r="I75" s="239">
        <f>Практики!Q390</f>
        <v>0</v>
      </c>
    </row>
    <row r="76" spans="1:9" x14ac:dyDescent="0.4">
      <c r="A76" s="509"/>
      <c r="B76" s="500"/>
      <c r="C76" s="500"/>
      <c r="D76" s="497"/>
      <c r="E76" s="440"/>
      <c r="F76" s="238" t="s">
        <v>692</v>
      </c>
      <c r="G76" s="240" t="str">
        <f>Практики!F392</f>
        <v>Не заполнено</v>
      </c>
      <c r="H76" s="440"/>
      <c r="I76" s="239">
        <f>Практики!Q392</f>
        <v>0</v>
      </c>
    </row>
    <row r="77" spans="1:9" x14ac:dyDescent="0.4">
      <c r="A77" s="509"/>
      <c r="B77" s="500"/>
      <c r="C77" s="500"/>
      <c r="D77" s="497"/>
      <c r="E77" s="440"/>
      <c r="F77" s="238" t="s">
        <v>706</v>
      </c>
      <c r="G77" s="240" t="str">
        <f>Практики!F399</f>
        <v>Не заполнено</v>
      </c>
      <c r="H77" s="441"/>
      <c r="I77" s="239">
        <f>Практики!Q399</f>
        <v>0</v>
      </c>
    </row>
    <row r="78" spans="1:9" x14ac:dyDescent="0.4">
      <c r="A78" s="509"/>
      <c r="B78" s="500"/>
      <c r="C78" s="501"/>
      <c r="D78" s="238" t="s">
        <v>1952</v>
      </c>
      <c r="E78" s="239" t="s">
        <v>1930</v>
      </c>
      <c r="F78" s="226"/>
      <c r="G78" s="227"/>
      <c r="H78" s="239"/>
      <c r="I78" s="234"/>
    </row>
    <row r="79" spans="1:9" x14ac:dyDescent="0.4">
      <c r="A79" s="509"/>
      <c r="B79" s="500"/>
      <c r="C79" s="499" t="s">
        <v>2035</v>
      </c>
      <c r="D79" s="238" t="s">
        <v>2036</v>
      </c>
      <c r="E79" s="239" t="s">
        <v>2037</v>
      </c>
      <c r="F79" s="238" t="s">
        <v>219</v>
      </c>
      <c r="G79" s="240" t="str">
        <f>Практики!F131</f>
        <v>Не заполнено</v>
      </c>
      <c r="H79" s="239">
        <v>0</v>
      </c>
      <c r="I79" s="239">
        <f>Практики!Q131</f>
        <v>0</v>
      </c>
    </row>
    <row r="80" spans="1:9" x14ac:dyDescent="0.4">
      <c r="A80" s="509"/>
      <c r="B80" s="500"/>
      <c r="C80" s="500"/>
      <c r="D80" s="238" t="s">
        <v>2038</v>
      </c>
      <c r="E80" s="239" t="s">
        <v>1846</v>
      </c>
      <c r="F80" s="238" t="s">
        <v>43</v>
      </c>
      <c r="G80" s="240" t="str">
        <f>Практики!F17</f>
        <v>Не заполнено</v>
      </c>
      <c r="H80" s="239">
        <v>0</v>
      </c>
      <c r="I80" s="239">
        <f>Практики!Q17</f>
        <v>0</v>
      </c>
    </row>
    <row r="81" spans="1:9" x14ac:dyDescent="0.4">
      <c r="A81" s="509"/>
      <c r="B81" s="500"/>
      <c r="C81" s="500"/>
      <c r="D81" s="238" t="s">
        <v>2039</v>
      </c>
      <c r="E81" s="239" t="s">
        <v>1868</v>
      </c>
      <c r="F81" s="238" t="s">
        <v>252</v>
      </c>
      <c r="G81" s="240" t="str">
        <f>Практики!F146</f>
        <v>Не заполнено</v>
      </c>
      <c r="H81" s="239">
        <v>0</v>
      </c>
      <c r="I81" s="239">
        <f>Практики!Q146</f>
        <v>0</v>
      </c>
    </row>
    <row r="82" spans="1:9" x14ac:dyDescent="0.4">
      <c r="A82" s="509"/>
      <c r="B82" s="500"/>
      <c r="C82" s="501"/>
      <c r="D82" s="238" t="s">
        <v>2040</v>
      </c>
      <c r="E82" s="239" t="s">
        <v>1867</v>
      </c>
      <c r="F82" s="238" t="s">
        <v>236</v>
      </c>
      <c r="G82" s="240" t="str">
        <f>Практики!F138</f>
        <v>Не заполнено</v>
      </c>
      <c r="H82" s="239">
        <v>0</v>
      </c>
      <c r="I82" s="239">
        <f>Практики!Q138</f>
        <v>0</v>
      </c>
    </row>
    <row r="83" spans="1:9" x14ac:dyDescent="0.4">
      <c r="A83" s="509"/>
      <c r="B83" s="500"/>
      <c r="C83" s="499" t="s">
        <v>2041</v>
      </c>
      <c r="D83" s="496" t="s">
        <v>2042</v>
      </c>
      <c r="E83" s="439" t="s">
        <v>1881</v>
      </c>
      <c r="F83" s="238" t="s">
        <v>366</v>
      </c>
      <c r="G83" s="240" t="str">
        <f>Практики!F209</f>
        <v>Не заполнено</v>
      </c>
      <c r="H83" s="439">
        <v>0</v>
      </c>
      <c r="I83" s="239">
        <f>Практики!Q209</f>
        <v>0</v>
      </c>
    </row>
    <row r="84" spans="1:9" x14ac:dyDescent="0.4">
      <c r="A84" s="509"/>
      <c r="B84" s="500"/>
      <c r="C84" s="500"/>
      <c r="D84" s="497"/>
      <c r="E84" s="440"/>
      <c r="F84" s="238" t="s">
        <v>368</v>
      </c>
      <c r="G84" s="240" t="str">
        <f>Практики!F210</f>
        <v>Не заполнено</v>
      </c>
      <c r="H84" s="440"/>
      <c r="I84" s="239">
        <f>Практики!Q210</f>
        <v>0</v>
      </c>
    </row>
    <row r="85" spans="1:9" x14ac:dyDescent="0.4">
      <c r="A85" s="509"/>
      <c r="B85" s="500"/>
      <c r="C85" s="500"/>
      <c r="D85" s="498"/>
      <c r="E85" s="441"/>
      <c r="F85" s="238" t="s">
        <v>370</v>
      </c>
      <c r="G85" s="240" t="str">
        <f>Практики!F211</f>
        <v>Не заполнено</v>
      </c>
      <c r="H85" s="441"/>
      <c r="I85" s="239">
        <f>Практики!Q211</f>
        <v>0</v>
      </c>
    </row>
    <row r="86" spans="1:9" x14ac:dyDescent="0.4">
      <c r="A86" s="509"/>
      <c r="B86" s="500"/>
      <c r="C86" s="500"/>
      <c r="D86" s="238" t="s">
        <v>2043</v>
      </c>
      <c r="E86" s="239" t="s">
        <v>2044</v>
      </c>
      <c r="F86" s="238" t="s">
        <v>692</v>
      </c>
      <c r="G86" s="240" t="str">
        <f>Практики!F392</f>
        <v>Не заполнено</v>
      </c>
      <c r="H86" s="239">
        <v>0</v>
      </c>
      <c r="I86" s="239">
        <f>Практики!Q392</f>
        <v>0</v>
      </c>
    </row>
    <row r="87" spans="1:9" x14ac:dyDescent="0.4">
      <c r="A87" s="509"/>
      <c r="B87" s="500"/>
      <c r="C87" s="500"/>
      <c r="D87" s="496" t="s">
        <v>2045</v>
      </c>
      <c r="E87" s="439" t="s">
        <v>1859</v>
      </c>
      <c r="F87" s="238" t="s">
        <v>195</v>
      </c>
      <c r="G87" s="240" t="str">
        <f>Практики!F119</f>
        <v>Не заполнено</v>
      </c>
      <c r="H87" s="439">
        <v>0</v>
      </c>
      <c r="I87" s="239">
        <f>Практики!Q119</f>
        <v>0</v>
      </c>
    </row>
    <row r="88" spans="1:9" x14ac:dyDescent="0.4">
      <c r="A88" s="509"/>
      <c r="B88" s="500"/>
      <c r="C88" s="500"/>
      <c r="D88" s="497"/>
      <c r="E88" s="440"/>
      <c r="F88" s="238" t="s">
        <v>208</v>
      </c>
      <c r="G88" s="240" t="str">
        <f>Практики!F125</f>
        <v>Не заполнено</v>
      </c>
      <c r="H88" s="441"/>
      <c r="I88" s="239">
        <f>Практики!Q125</f>
        <v>0</v>
      </c>
    </row>
    <row r="89" spans="1:9" x14ac:dyDescent="0.4">
      <c r="A89" s="509"/>
      <c r="B89" s="500"/>
      <c r="C89" s="500"/>
      <c r="D89" s="496" t="s">
        <v>2046</v>
      </c>
      <c r="E89" s="439" t="s">
        <v>1861</v>
      </c>
      <c r="F89" s="238" t="s">
        <v>204</v>
      </c>
      <c r="G89" s="240" t="str">
        <f>Практики!F123</f>
        <v>Не заполнено</v>
      </c>
      <c r="H89" s="439">
        <v>0</v>
      </c>
      <c r="I89" s="239">
        <f>Практики!Q123</f>
        <v>0</v>
      </c>
    </row>
    <row r="90" spans="1:9" x14ac:dyDescent="0.4">
      <c r="A90" s="509"/>
      <c r="B90" s="500"/>
      <c r="C90" s="500"/>
      <c r="D90" s="498"/>
      <c r="E90" s="441"/>
      <c r="F90" s="238" t="s">
        <v>212</v>
      </c>
      <c r="G90" s="240" t="str">
        <f>Практики!F127</f>
        <v>Не заполнено</v>
      </c>
      <c r="H90" s="441"/>
      <c r="I90" s="239">
        <f>Практики!Q127</f>
        <v>0</v>
      </c>
    </row>
    <row r="91" spans="1:9" x14ac:dyDescent="0.4">
      <c r="A91" s="509"/>
      <c r="B91" s="500"/>
      <c r="C91" s="500"/>
      <c r="D91" s="496" t="s">
        <v>2047</v>
      </c>
      <c r="E91" s="439" t="s">
        <v>1862</v>
      </c>
      <c r="F91" s="238" t="s">
        <v>206</v>
      </c>
      <c r="G91" s="240" t="str">
        <f>Практики!F124</f>
        <v>Не заполнено</v>
      </c>
      <c r="H91" s="439">
        <v>0</v>
      </c>
      <c r="I91" s="239">
        <f>Практики!Q124</f>
        <v>0</v>
      </c>
    </row>
    <row r="92" spans="1:9" x14ac:dyDescent="0.4">
      <c r="A92" s="509"/>
      <c r="B92" s="500"/>
      <c r="C92" s="500"/>
      <c r="D92" s="498"/>
      <c r="E92" s="441"/>
      <c r="F92" s="238" t="s">
        <v>623</v>
      </c>
      <c r="G92" s="240" t="str">
        <f>Практики!F356</f>
        <v>Не заполнено</v>
      </c>
      <c r="H92" s="441"/>
      <c r="I92" s="239">
        <f>Практики!Q356</f>
        <v>0</v>
      </c>
    </row>
    <row r="93" spans="1:9" x14ac:dyDescent="0.4">
      <c r="A93" s="509"/>
      <c r="B93" s="500"/>
      <c r="C93" s="500"/>
      <c r="D93" s="238" t="s">
        <v>1953</v>
      </c>
      <c r="E93" s="239" t="s">
        <v>1913</v>
      </c>
      <c r="F93" s="238" t="s">
        <v>632</v>
      </c>
      <c r="G93" s="240" t="str">
        <f>Практики!F360</f>
        <v>Не заполнено</v>
      </c>
      <c r="H93" s="239">
        <v>0</v>
      </c>
      <c r="I93" s="239">
        <f>Практики!Q360</f>
        <v>0</v>
      </c>
    </row>
    <row r="94" spans="1:9" x14ac:dyDescent="0.4">
      <c r="A94" s="509"/>
      <c r="B94" s="500"/>
      <c r="C94" s="500"/>
      <c r="D94" s="496" t="s">
        <v>2048</v>
      </c>
      <c r="E94" s="439" t="s">
        <v>1869</v>
      </c>
      <c r="F94" s="238" t="s">
        <v>267</v>
      </c>
      <c r="G94" s="240" t="str">
        <f>Практики!F154</f>
        <v>Не заполнено</v>
      </c>
      <c r="H94" s="439">
        <v>0</v>
      </c>
      <c r="I94" s="239">
        <f>Практики!Q154</f>
        <v>0</v>
      </c>
    </row>
    <row r="95" spans="1:9" x14ac:dyDescent="0.4">
      <c r="A95" s="509"/>
      <c r="B95" s="500"/>
      <c r="C95" s="500"/>
      <c r="D95" s="497"/>
      <c r="E95" s="440"/>
      <c r="F95" s="238" t="s">
        <v>273</v>
      </c>
      <c r="G95" s="240" t="str">
        <f>Практики!F157</f>
        <v>Не заполнено</v>
      </c>
      <c r="H95" s="440"/>
      <c r="I95" s="239">
        <f>Практики!Q157</f>
        <v>0</v>
      </c>
    </row>
    <row r="96" spans="1:9" x14ac:dyDescent="0.4">
      <c r="A96" s="509"/>
      <c r="B96" s="500"/>
      <c r="C96" s="501"/>
      <c r="D96" s="498"/>
      <c r="E96" s="441"/>
      <c r="F96" s="238" t="s">
        <v>278</v>
      </c>
      <c r="G96" s="240" t="str">
        <f>Практики!F160</f>
        <v>Не заполнено</v>
      </c>
      <c r="H96" s="441"/>
      <c r="I96" s="239">
        <f>Практики!Q160</f>
        <v>0</v>
      </c>
    </row>
    <row r="97" spans="1:9" x14ac:dyDescent="0.4">
      <c r="A97" s="509"/>
      <c r="B97" s="500"/>
      <c r="C97" s="499" t="s">
        <v>2049</v>
      </c>
      <c r="D97" s="496" t="s">
        <v>2050</v>
      </c>
      <c r="E97" s="439" t="s">
        <v>1858</v>
      </c>
      <c r="F97" s="238" t="s">
        <v>148</v>
      </c>
      <c r="G97" s="240" t="str">
        <f>Практики!F76</f>
        <v>Не заполнено</v>
      </c>
      <c r="H97" s="439">
        <v>0</v>
      </c>
      <c r="I97" s="239">
        <f>Практики!Q76</f>
        <v>0</v>
      </c>
    </row>
    <row r="98" spans="1:9" x14ac:dyDescent="0.4">
      <c r="A98" s="509"/>
      <c r="B98" s="500"/>
      <c r="C98" s="500"/>
      <c r="D98" s="498"/>
      <c r="E98" s="441"/>
      <c r="F98" s="238" t="s">
        <v>150</v>
      </c>
      <c r="G98" s="240" t="str">
        <f>Практики!F77</f>
        <v>Не заполнено</v>
      </c>
      <c r="H98" s="441"/>
      <c r="I98" s="239">
        <f>Практики!Q77</f>
        <v>0</v>
      </c>
    </row>
    <row r="99" spans="1:9" x14ac:dyDescent="0.4">
      <c r="A99" s="509"/>
      <c r="B99" s="501"/>
      <c r="C99" s="501"/>
      <c r="D99" s="238" t="s">
        <v>1954</v>
      </c>
      <c r="E99" s="239" t="s">
        <v>1931</v>
      </c>
      <c r="F99" s="226"/>
      <c r="G99" s="227"/>
      <c r="H99" s="239"/>
      <c r="I99" s="234"/>
    </row>
    <row r="100" spans="1:9" x14ac:dyDescent="0.4">
      <c r="A100" s="509"/>
      <c r="B100" s="502" t="s">
        <v>2051</v>
      </c>
      <c r="C100" s="502" t="s">
        <v>2052</v>
      </c>
      <c r="D100" s="505" t="s">
        <v>2053</v>
      </c>
      <c r="E100" s="435" t="s">
        <v>1865</v>
      </c>
      <c r="F100" s="241" t="s">
        <v>219</v>
      </c>
      <c r="G100" s="242" t="str">
        <f>Практики!F130</f>
        <v>Не заполнено</v>
      </c>
      <c r="H100" s="435">
        <v>0</v>
      </c>
      <c r="I100" s="243">
        <f>Практики!Q130</f>
        <v>0</v>
      </c>
    </row>
    <row r="101" spans="1:9" x14ac:dyDescent="0.4">
      <c r="A101" s="509"/>
      <c r="B101" s="503"/>
      <c r="C101" s="503"/>
      <c r="D101" s="506"/>
      <c r="E101" s="436"/>
      <c r="F101" s="241" t="s">
        <v>221</v>
      </c>
      <c r="G101" s="242" t="str">
        <f>Практики!F130</f>
        <v>Не заполнено</v>
      </c>
      <c r="H101" s="436"/>
      <c r="I101" s="243">
        <f>Практики!Q130</f>
        <v>0</v>
      </c>
    </row>
    <row r="102" spans="1:9" x14ac:dyDescent="0.4">
      <c r="A102" s="509"/>
      <c r="B102" s="503"/>
      <c r="C102" s="503"/>
      <c r="D102" s="507"/>
      <c r="E102" s="437"/>
      <c r="F102" s="241" t="s">
        <v>234</v>
      </c>
      <c r="G102" s="242" t="str">
        <f>Практики!F137</f>
        <v>Не заполнено</v>
      </c>
      <c r="H102" s="437"/>
      <c r="I102" s="243">
        <f>Практики!Q137</f>
        <v>0</v>
      </c>
    </row>
    <row r="103" spans="1:9" x14ac:dyDescent="0.4">
      <c r="A103" s="509"/>
      <c r="B103" s="503"/>
      <c r="C103" s="503"/>
      <c r="D103" s="241" t="s">
        <v>2054</v>
      </c>
      <c r="E103" s="243" t="s">
        <v>2055</v>
      </c>
      <c r="F103" s="226"/>
      <c r="G103" s="227"/>
      <c r="H103" s="243"/>
      <c r="I103" s="234"/>
    </row>
    <row r="104" spans="1:9" x14ac:dyDescent="0.4">
      <c r="A104" s="509"/>
      <c r="B104" s="503"/>
      <c r="C104" s="503"/>
      <c r="D104" s="241" t="s">
        <v>2056</v>
      </c>
      <c r="E104" s="243" t="s">
        <v>2057</v>
      </c>
      <c r="F104" s="241" t="s">
        <v>234</v>
      </c>
      <c r="G104" s="242" t="str">
        <f>Практики!F137</f>
        <v>Не заполнено</v>
      </c>
      <c r="H104" s="243">
        <v>0</v>
      </c>
      <c r="I104" s="243">
        <f>Практики!Q137</f>
        <v>0</v>
      </c>
    </row>
    <row r="105" spans="1:9" x14ac:dyDescent="0.4">
      <c r="A105" s="509"/>
      <c r="B105" s="503"/>
      <c r="C105" s="503"/>
      <c r="D105" s="241" t="s">
        <v>1955</v>
      </c>
      <c r="E105" s="243" t="s">
        <v>1932</v>
      </c>
      <c r="F105" s="226"/>
      <c r="G105" s="227"/>
      <c r="H105" s="243"/>
      <c r="I105" s="234"/>
    </row>
    <row r="106" spans="1:9" x14ac:dyDescent="0.4">
      <c r="A106" s="509"/>
      <c r="B106" s="503"/>
      <c r="C106" s="504"/>
      <c r="D106" s="241" t="s">
        <v>2058</v>
      </c>
      <c r="E106" s="243" t="s">
        <v>1843</v>
      </c>
      <c r="F106" s="241" t="s">
        <v>32</v>
      </c>
      <c r="G106" s="242" t="str">
        <f>Практики!F11</f>
        <v>Не заполнено</v>
      </c>
      <c r="H106" s="243">
        <v>0</v>
      </c>
      <c r="I106" s="243">
        <f>Практики!Q11</f>
        <v>0</v>
      </c>
    </row>
    <row r="107" spans="1:9" x14ac:dyDescent="0.4">
      <c r="A107" s="509"/>
      <c r="B107" s="503"/>
      <c r="C107" s="502" t="s">
        <v>2059</v>
      </c>
      <c r="D107" s="505" t="s">
        <v>2060</v>
      </c>
      <c r="E107" s="435" t="s">
        <v>2061</v>
      </c>
      <c r="F107" s="241" t="s">
        <v>36</v>
      </c>
      <c r="G107" s="242" t="str">
        <f>Практики!F13</f>
        <v>Не заполнено</v>
      </c>
      <c r="H107" s="435">
        <v>0</v>
      </c>
      <c r="I107" s="243">
        <f>Практики!Q13</f>
        <v>0</v>
      </c>
    </row>
    <row r="108" spans="1:9" x14ac:dyDescent="0.4">
      <c r="A108" s="509"/>
      <c r="B108" s="503"/>
      <c r="C108" s="503"/>
      <c r="D108" s="506"/>
      <c r="E108" s="436"/>
      <c r="F108" s="241" t="s">
        <v>40</v>
      </c>
      <c r="G108" s="242" t="str">
        <f>Практики!F15</f>
        <v>Не заполнено</v>
      </c>
      <c r="H108" s="436"/>
      <c r="I108" s="243">
        <f>Практики!Q15</f>
        <v>0</v>
      </c>
    </row>
    <row r="109" spans="1:9" x14ac:dyDescent="0.4">
      <c r="A109" s="509"/>
      <c r="B109" s="503"/>
      <c r="C109" s="503"/>
      <c r="D109" s="506"/>
      <c r="E109" s="436"/>
      <c r="F109" s="241" t="s">
        <v>55</v>
      </c>
      <c r="G109" s="242" t="str">
        <f>Практики!F23</f>
        <v>Не заполнено</v>
      </c>
      <c r="H109" s="436"/>
      <c r="I109" s="243">
        <f>Практики!Q23</f>
        <v>0</v>
      </c>
    </row>
    <row r="110" spans="1:9" x14ac:dyDescent="0.4">
      <c r="A110" s="509"/>
      <c r="B110" s="503"/>
      <c r="C110" s="503"/>
      <c r="D110" s="507"/>
      <c r="E110" s="437"/>
      <c r="F110" s="241" t="s">
        <v>58</v>
      </c>
      <c r="G110" s="242" t="str">
        <f>Практики!F24</f>
        <v>Не заполнено</v>
      </c>
      <c r="H110" s="437"/>
      <c r="I110" s="243">
        <f>Практики!Q24</f>
        <v>0</v>
      </c>
    </row>
    <row r="111" spans="1:9" x14ac:dyDescent="0.4">
      <c r="A111" s="509"/>
      <c r="B111" s="503"/>
      <c r="C111" s="503"/>
      <c r="D111" s="505" t="s">
        <v>2062</v>
      </c>
      <c r="E111" s="435" t="s">
        <v>1855</v>
      </c>
      <c r="F111" s="241" t="s">
        <v>88</v>
      </c>
      <c r="G111" s="242" t="str">
        <f>Практики!F44</f>
        <v>Не заполнено</v>
      </c>
      <c r="H111" s="435">
        <v>0</v>
      </c>
      <c r="I111" s="243">
        <f>Практики!Q44</f>
        <v>0</v>
      </c>
    </row>
    <row r="112" spans="1:9" x14ac:dyDescent="0.4">
      <c r="A112" s="509"/>
      <c r="B112" s="503"/>
      <c r="C112" s="503"/>
      <c r="D112" s="506"/>
      <c r="E112" s="436"/>
      <c r="F112" s="241" t="s">
        <v>95</v>
      </c>
      <c r="G112" s="242" t="str">
        <f>Практики!F48</f>
        <v>Не заполнено</v>
      </c>
      <c r="H112" s="436"/>
      <c r="I112" s="243">
        <f>Практики!Q48</f>
        <v>0</v>
      </c>
    </row>
    <row r="113" spans="1:9" x14ac:dyDescent="0.4">
      <c r="A113" s="509"/>
      <c r="B113" s="503"/>
      <c r="C113" s="503"/>
      <c r="D113" s="506"/>
      <c r="E113" s="436"/>
      <c r="F113" s="241" t="s">
        <v>106</v>
      </c>
      <c r="G113" s="242" t="str">
        <f>Практики!F53</f>
        <v>Не заполнено</v>
      </c>
      <c r="H113" s="436"/>
      <c r="I113" s="243">
        <f>Практики!Q53</f>
        <v>0</v>
      </c>
    </row>
    <row r="114" spans="1:9" x14ac:dyDescent="0.4">
      <c r="A114" s="509"/>
      <c r="B114" s="503"/>
      <c r="C114" s="503"/>
      <c r="D114" s="506"/>
      <c r="E114" s="436"/>
      <c r="F114" s="241" t="s">
        <v>181</v>
      </c>
      <c r="G114" s="242" t="str">
        <f>Практики!F95</f>
        <v>Не заполнено</v>
      </c>
      <c r="H114" s="436"/>
      <c r="I114" s="243">
        <f>Практики!Q95</f>
        <v>0</v>
      </c>
    </row>
    <row r="115" spans="1:9" x14ac:dyDescent="0.4">
      <c r="A115" s="509"/>
      <c r="B115" s="503"/>
      <c r="C115" s="503"/>
      <c r="D115" s="506"/>
      <c r="E115" s="436"/>
      <c r="F115" s="241" t="s">
        <v>191</v>
      </c>
      <c r="G115" s="242" t="str">
        <f>Практики!F102</f>
        <v>Не заполнено</v>
      </c>
      <c r="H115" s="437"/>
      <c r="I115" s="243">
        <f>Практики!Q102</f>
        <v>0</v>
      </c>
    </row>
    <row r="116" spans="1:9" x14ac:dyDescent="0.4">
      <c r="A116" s="509"/>
      <c r="B116" s="487" t="s">
        <v>2063</v>
      </c>
      <c r="C116" s="487" t="s">
        <v>2064</v>
      </c>
      <c r="D116" s="490" t="s">
        <v>2065</v>
      </c>
      <c r="E116" s="427" t="s">
        <v>1878</v>
      </c>
      <c r="F116" s="244" t="s">
        <v>334</v>
      </c>
      <c r="G116" s="245" t="str">
        <f>Практики!F192</f>
        <v>Не заполнено</v>
      </c>
      <c r="H116" s="427">
        <v>0</v>
      </c>
      <c r="I116" s="246">
        <f>Практики!Q192</f>
        <v>0</v>
      </c>
    </row>
    <row r="117" spans="1:9" x14ac:dyDescent="0.4">
      <c r="A117" s="509"/>
      <c r="B117" s="488"/>
      <c r="C117" s="488"/>
      <c r="D117" s="491"/>
      <c r="E117" s="428"/>
      <c r="F117" s="244" t="s">
        <v>339</v>
      </c>
      <c r="G117" s="245" t="str">
        <f>Практики!F194</f>
        <v>Не заполнено</v>
      </c>
      <c r="H117" s="428"/>
      <c r="I117" s="246">
        <f>Практики!Q194</f>
        <v>0</v>
      </c>
    </row>
    <row r="118" spans="1:9" x14ac:dyDescent="0.4">
      <c r="A118" s="509"/>
      <c r="B118" s="488"/>
      <c r="C118" s="488"/>
      <c r="D118" s="492" t="s">
        <v>2066</v>
      </c>
      <c r="E118" s="427" t="s">
        <v>2067</v>
      </c>
      <c r="F118" s="244" t="s">
        <v>341</v>
      </c>
      <c r="G118" s="245" t="str">
        <f>Практики!F195</f>
        <v>Не заполнено</v>
      </c>
      <c r="H118" s="427">
        <v>0</v>
      </c>
      <c r="I118" s="246">
        <f>Практики!Q195</f>
        <v>0</v>
      </c>
    </row>
    <row r="119" spans="1:9" x14ac:dyDescent="0.4">
      <c r="A119" s="509"/>
      <c r="B119" s="488"/>
      <c r="C119" s="488"/>
      <c r="D119" s="493"/>
      <c r="E119" s="428"/>
      <c r="F119" s="244" t="s">
        <v>343</v>
      </c>
      <c r="G119" s="245" t="str">
        <f>Практики!F196</f>
        <v>Не заполнено</v>
      </c>
      <c r="H119" s="428"/>
      <c r="I119" s="246">
        <f>Практики!Q196</f>
        <v>0</v>
      </c>
    </row>
    <row r="120" spans="1:9" x14ac:dyDescent="0.4">
      <c r="A120" s="509"/>
      <c r="B120" s="488"/>
      <c r="C120" s="488"/>
      <c r="D120" s="492" t="s">
        <v>2068</v>
      </c>
      <c r="E120" s="427" t="s">
        <v>2069</v>
      </c>
      <c r="F120" s="244" t="s">
        <v>315</v>
      </c>
      <c r="G120" s="245" t="str">
        <f>Практики!F182</f>
        <v>Не заполнено</v>
      </c>
      <c r="H120" s="427">
        <v>0</v>
      </c>
      <c r="I120" s="246">
        <f>Практики!Q182</f>
        <v>0</v>
      </c>
    </row>
    <row r="121" spans="1:9" x14ac:dyDescent="0.4">
      <c r="A121" s="509"/>
      <c r="B121" s="488"/>
      <c r="C121" s="488"/>
      <c r="D121" s="493"/>
      <c r="E121" s="428"/>
      <c r="F121" s="244" t="s">
        <v>420</v>
      </c>
      <c r="G121" s="245" t="str">
        <f>Практики!F244</f>
        <v>Не заполнено</v>
      </c>
      <c r="H121" s="428"/>
      <c r="I121" s="246">
        <f>Практики!Q244</f>
        <v>0</v>
      </c>
    </row>
    <row r="122" spans="1:9" x14ac:dyDescent="0.4">
      <c r="A122" s="509"/>
      <c r="B122" s="488"/>
      <c r="C122" s="488"/>
      <c r="D122" s="244" t="s">
        <v>1956</v>
      </c>
      <c r="E122" s="246" t="s">
        <v>1933</v>
      </c>
      <c r="F122" s="226"/>
      <c r="G122" s="227"/>
      <c r="H122" s="246"/>
      <c r="I122" s="234"/>
    </row>
    <row r="123" spans="1:9" x14ac:dyDescent="0.4">
      <c r="A123" s="509"/>
      <c r="B123" s="488"/>
      <c r="C123" s="488"/>
      <c r="D123" s="490" t="s">
        <v>2070</v>
      </c>
      <c r="E123" s="427" t="s">
        <v>1860</v>
      </c>
      <c r="F123" s="244" t="s">
        <v>202</v>
      </c>
      <c r="G123" s="245" t="str">
        <f>Практики!F122</f>
        <v>Не заполнено</v>
      </c>
      <c r="H123" s="427">
        <v>0</v>
      </c>
      <c r="I123" s="246">
        <f>Практики!Q122</f>
        <v>0</v>
      </c>
    </row>
    <row r="124" spans="1:9" x14ac:dyDescent="0.4">
      <c r="A124" s="509"/>
      <c r="B124" s="488"/>
      <c r="C124" s="488"/>
      <c r="D124" s="494"/>
      <c r="E124" s="438"/>
      <c r="F124" s="244" t="s">
        <v>210</v>
      </c>
      <c r="G124" s="245" t="str">
        <f>Практики!F126</f>
        <v>Не заполнено</v>
      </c>
      <c r="H124" s="438"/>
      <c r="I124" s="246">
        <f>Практики!Q126</f>
        <v>0</v>
      </c>
    </row>
    <row r="125" spans="1:9" x14ac:dyDescent="0.4">
      <c r="A125" s="509"/>
      <c r="B125" s="488"/>
      <c r="C125" s="488"/>
      <c r="D125" s="494"/>
      <c r="E125" s="438"/>
      <c r="F125" s="244" t="s">
        <v>341</v>
      </c>
      <c r="G125" s="245" t="str">
        <f>Практики!F195</f>
        <v>Не заполнено</v>
      </c>
      <c r="H125" s="438"/>
      <c r="I125" s="246">
        <f>Практики!Q195</f>
        <v>0</v>
      </c>
    </row>
    <row r="126" spans="1:9" x14ac:dyDescent="0.4">
      <c r="A126" s="509"/>
      <c r="B126" s="488"/>
      <c r="C126" s="488"/>
      <c r="D126" s="494"/>
      <c r="E126" s="438"/>
      <c r="F126" s="244" t="s">
        <v>343</v>
      </c>
      <c r="G126" s="245" t="str">
        <f>Практики!F196</f>
        <v>Не заполнено</v>
      </c>
      <c r="H126" s="428"/>
      <c r="I126" s="246">
        <f>Практики!Q196</f>
        <v>0</v>
      </c>
    </row>
    <row r="127" spans="1:9" x14ac:dyDescent="0.4">
      <c r="A127" s="509"/>
      <c r="B127" s="488"/>
      <c r="C127" s="487" t="s">
        <v>2071</v>
      </c>
      <c r="D127" s="492" t="s">
        <v>2072</v>
      </c>
      <c r="E127" s="427" t="s">
        <v>2073</v>
      </c>
      <c r="F127" s="244" t="s">
        <v>315</v>
      </c>
      <c r="G127" s="245" t="str">
        <f>Практики!F182</f>
        <v>Не заполнено</v>
      </c>
      <c r="H127" s="427">
        <v>0</v>
      </c>
      <c r="I127" s="246">
        <f>Практики!Q182</f>
        <v>0</v>
      </c>
    </row>
    <row r="128" spans="1:9" x14ac:dyDescent="0.4">
      <c r="A128" s="509"/>
      <c r="B128" s="488"/>
      <c r="C128" s="488"/>
      <c r="D128" s="493"/>
      <c r="E128" s="428"/>
      <c r="F128" s="244" t="s">
        <v>420</v>
      </c>
      <c r="G128" s="245" t="str">
        <f>Практики!F244</f>
        <v>Не заполнено</v>
      </c>
      <c r="H128" s="428"/>
      <c r="I128" s="246">
        <f>Практики!Q244</f>
        <v>0</v>
      </c>
    </row>
    <row r="129" spans="1:9" x14ac:dyDescent="0.4">
      <c r="A129" s="509"/>
      <c r="B129" s="488"/>
      <c r="C129" s="488"/>
      <c r="D129" s="492" t="s">
        <v>2074</v>
      </c>
      <c r="E129" s="427" t="s">
        <v>1871</v>
      </c>
      <c r="F129" s="244" t="s">
        <v>294</v>
      </c>
      <c r="G129" s="245" t="str">
        <f>Практики!F172</f>
        <v>Не заполнено</v>
      </c>
      <c r="H129" s="427">
        <v>0</v>
      </c>
      <c r="I129" s="246">
        <f>Практики!Q172</f>
        <v>0</v>
      </c>
    </row>
    <row r="130" spans="1:9" x14ac:dyDescent="0.4">
      <c r="A130" s="509"/>
      <c r="B130" s="488"/>
      <c r="C130" s="488"/>
      <c r="D130" s="493"/>
      <c r="E130" s="428"/>
      <c r="F130" s="244" t="s">
        <v>407</v>
      </c>
      <c r="G130" s="245" t="str">
        <f>Практики!F233</f>
        <v>Не заполнено</v>
      </c>
      <c r="H130" s="428"/>
      <c r="I130" s="246">
        <f>Практики!Q233</f>
        <v>0</v>
      </c>
    </row>
    <row r="131" spans="1:9" x14ac:dyDescent="0.4">
      <c r="A131" s="509"/>
      <c r="B131" s="488"/>
      <c r="C131" s="488"/>
      <c r="D131" s="492" t="s">
        <v>2075</v>
      </c>
      <c r="E131" s="427" t="s">
        <v>1872</v>
      </c>
      <c r="F131" s="244" t="s">
        <v>300</v>
      </c>
      <c r="G131" s="245" t="str">
        <f>Практики!F175</f>
        <v>Не заполнено</v>
      </c>
      <c r="H131" s="427">
        <v>0</v>
      </c>
      <c r="I131" s="246">
        <f>Практики!Q175</f>
        <v>0</v>
      </c>
    </row>
    <row r="132" spans="1:9" x14ac:dyDescent="0.4">
      <c r="A132" s="509"/>
      <c r="B132" s="488"/>
      <c r="C132" s="488"/>
      <c r="D132" s="495"/>
      <c r="E132" s="438"/>
      <c r="F132" s="244" t="s">
        <v>311</v>
      </c>
      <c r="G132" s="245" t="str">
        <f>Практики!F180</f>
        <v>Не заполнено</v>
      </c>
      <c r="H132" s="438"/>
      <c r="I132" s="246">
        <f>Практики!Q180</f>
        <v>0</v>
      </c>
    </row>
    <row r="133" spans="1:9" x14ac:dyDescent="0.4">
      <c r="A133" s="509"/>
      <c r="B133" s="488"/>
      <c r="C133" s="488"/>
      <c r="D133" s="495"/>
      <c r="E133" s="438"/>
      <c r="F133" s="244" t="s">
        <v>416</v>
      </c>
      <c r="G133" s="245" t="str">
        <f>Практики!F240</f>
        <v>Не заполнено</v>
      </c>
      <c r="H133" s="438"/>
      <c r="I133" s="246">
        <f>Практики!Q240</f>
        <v>0</v>
      </c>
    </row>
    <row r="134" spans="1:9" x14ac:dyDescent="0.4">
      <c r="A134" s="509"/>
      <c r="B134" s="488"/>
      <c r="C134" s="488"/>
      <c r="D134" s="493"/>
      <c r="E134" s="428"/>
      <c r="F134" s="244" t="s">
        <v>418</v>
      </c>
      <c r="G134" s="245" t="str">
        <f>Практики!F242</f>
        <v>Не заполнено</v>
      </c>
      <c r="H134" s="428"/>
      <c r="I134" s="246">
        <f>Практики!Q242</f>
        <v>0</v>
      </c>
    </row>
    <row r="135" spans="1:9" x14ac:dyDescent="0.4">
      <c r="A135" s="509"/>
      <c r="B135" s="488"/>
      <c r="C135" s="488"/>
      <c r="D135" s="247" t="s">
        <v>2076</v>
      </c>
      <c r="E135" s="248" t="s">
        <v>1873</v>
      </c>
      <c r="F135" s="244" t="s">
        <v>307</v>
      </c>
      <c r="G135" s="245" t="str">
        <f>Практики!F178</f>
        <v>Не заполнено</v>
      </c>
      <c r="H135" s="246">
        <v>0</v>
      </c>
      <c r="I135" s="246">
        <f>Практики!Q178</f>
        <v>0</v>
      </c>
    </row>
    <row r="136" spans="1:9" x14ac:dyDescent="0.4">
      <c r="A136" s="509"/>
      <c r="B136" s="488"/>
      <c r="C136" s="489"/>
      <c r="D136" s="244" t="s">
        <v>1957</v>
      </c>
      <c r="E136" s="246" t="s">
        <v>1934</v>
      </c>
      <c r="F136" s="226"/>
      <c r="G136" s="227"/>
      <c r="H136" s="246"/>
      <c r="I136" s="234"/>
    </row>
    <row r="137" spans="1:9" x14ac:dyDescent="0.4">
      <c r="A137" s="509"/>
      <c r="B137" s="488"/>
      <c r="C137" s="487" t="s">
        <v>2077</v>
      </c>
      <c r="D137" s="492" t="s">
        <v>2078</v>
      </c>
      <c r="E137" s="427" t="s">
        <v>1905</v>
      </c>
      <c r="F137" s="244" t="s">
        <v>577</v>
      </c>
      <c r="G137" s="245" t="str">
        <f>Практики!F330</f>
        <v>Не заполнено</v>
      </c>
      <c r="H137" s="427">
        <v>0</v>
      </c>
      <c r="I137" s="246">
        <f>Практики!Q330</f>
        <v>0</v>
      </c>
    </row>
    <row r="138" spans="1:9" x14ac:dyDescent="0.4">
      <c r="A138" s="509"/>
      <c r="B138" s="488"/>
      <c r="C138" s="488"/>
      <c r="D138" s="493"/>
      <c r="E138" s="428"/>
      <c r="F138" s="244" t="s">
        <v>623</v>
      </c>
      <c r="G138" s="245" t="str">
        <f>Практики!F356</f>
        <v>Не заполнено</v>
      </c>
      <c r="H138" s="428"/>
      <c r="I138" s="246">
        <f>Практики!Q356</f>
        <v>0</v>
      </c>
    </row>
    <row r="139" spans="1:9" x14ac:dyDescent="0.4">
      <c r="A139" s="509"/>
      <c r="B139" s="488"/>
      <c r="C139" s="488"/>
      <c r="D139" s="492" t="s">
        <v>2079</v>
      </c>
      <c r="E139" s="427" t="s">
        <v>2080</v>
      </c>
      <c r="F139" s="244" t="s">
        <v>573</v>
      </c>
      <c r="G139" s="245" t="str">
        <f>Практики!F328</f>
        <v>Не заполнено</v>
      </c>
      <c r="H139" s="427">
        <v>0</v>
      </c>
      <c r="I139" s="246">
        <f>Практики!Q328</f>
        <v>0</v>
      </c>
    </row>
    <row r="140" spans="1:9" x14ac:dyDescent="0.4">
      <c r="A140" s="509"/>
      <c r="B140" s="489"/>
      <c r="C140" s="489"/>
      <c r="D140" s="493"/>
      <c r="E140" s="428"/>
      <c r="F140" s="244" t="s">
        <v>575</v>
      </c>
      <c r="G140" s="245" t="str">
        <f>Практики!F329</f>
        <v>Не заполнено</v>
      </c>
      <c r="H140" s="428"/>
      <c r="I140" s="246">
        <f>Практики!Q329</f>
        <v>0</v>
      </c>
    </row>
    <row r="141" spans="1:9" x14ac:dyDescent="0.4">
      <c r="A141" s="509"/>
      <c r="B141" s="477" t="s">
        <v>2081</v>
      </c>
      <c r="C141" s="477" t="s">
        <v>2082</v>
      </c>
      <c r="D141" s="480" t="s">
        <v>2083</v>
      </c>
      <c r="E141" s="429" t="s">
        <v>1908</v>
      </c>
      <c r="F141" s="249" t="s">
        <v>594</v>
      </c>
      <c r="G141" s="250" t="str">
        <f>Практики!F339</f>
        <v>Не заполнено</v>
      </c>
      <c r="H141" s="429">
        <v>0</v>
      </c>
      <c r="I141" s="251">
        <f>Практики!Q339</f>
        <v>0</v>
      </c>
    </row>
    <row r="142" spans="1:9" x14ac:dyDescent="0.4">
      <c r="A142" s="509"/>
      <c r="B142" s="478"/>
      <c r="C142" s="478"/>
      <c r="D142" s="481"/>
      <c r="E142" s="430"/>
      <c r="F142" s="249" t="s">
        <v>597</v>
      </c>
      <c r="G142" s="250" t="str">
        <f>Практики!F341</f>
        <v>Не заполнено</v>
      </c>
      <c r="H142" s="430"/>
      <c r="I142" s="251">
        <f>Практики!Q341</f>
        <v>0</v>
      </c>
    </row>
    <row r="143" spans="1:9" x14ac:dyDescent="0.4">
      <c r="A143" s="509"/>
      <c r="B143" s="478"/>
      <c r="C143" s="478"/>
      <c r="D143" s="482"/>
      <c r="E143" s="431"/>
      <c r="F143" s="249" t="s">
        <v>607</v>
      </c>
      <c r="G143" s="250" t="str">
        <f>Практики!F346</f>
        <v>Не заполнено</v>
      </c>
      <c r="H143" s="431"/>
      <c r="I143" s="251">
        <f>Практики!Q346</f>
        <v>0</v>
      </c>
    </row>
    <row r="144" spans="1:9" x14ac:dyDescent="0.4">
      <c r="A144" s="509"/>
      <c r="B144" s="478"/>
      <c r="C144" s="478"/>
      <c r="D144" s="249" t="s">
        <v>1958</v>
      </c>
      <c r="E144" s="251" t="s">
        <v>1935</v>
      </c>
      <c r="F144" s="226"/>
      <c r="G144" s="227"/>
      <c r="H144" s="251"/>
      <c r="I144" s="234"/>
    </row>
    <row r="145" spans="1:9" x14ac:dyDescent="0.4">
      <c r="A145" s="509"/>
      <c r="B145" s="478"/>
      <c r="C145" s="479"/>
      <c r="D145" s="249" t="s">
        <v>2084</v>
      </c>
      <c r="E145" s="251" t="s">
        <v>2085</v>
      </c>
      <c r="F145" s="249" t="s">
        <v>623</v>
      </c>
      <c r="G145" s="250" t="str">
        <f>Практики!F356</f>
        <v>Не заполнено</v>
      </c>
      <c r="H145" s="251">
        <v>0</v>
      </c>
      <c r="I145" s="251">
        <f>Практики!Q356</f>
        <v>0</v>
      </c>
    </row>
    <row r="146" spans="1:9" x14ac:dyDescent="0.4">
      <c r="A146" s="509"/>
      <c r="B146" s="478"/>
      <c r="C146" s="477" t="s">
        <v>2086</v>
      </c>
      <c r="D146" s="249" t="s">
        <v>2087</v>
      </c>
      <c r="E146" s="251" t="s">
        <v>1906</v>
      </c>
      <c r="F146" s="249" t="s">
        <v>581</v>
      </c>
      <c r="G146" s="250" t="str">
        <f>Практики!F332</f>
        <v>Не заполнено</v>
      </c>
      <c r="H146" s="251">
        <v>0</v>
      </c>
      <c r="I146" s="251">
        <f>Практики!Q332</f>
        <v>0</v>
      </c>
    </row>
    <row r="147" spans="1:9" x14ac:dyDescent="0.4">
      <c r="A147" s="509"/>
      <c r="B147" s="478"/>
      <c r="C147" s="478"/>
      <c r="D147" s="480" t="s">
        <v>877</v>
      </c>
      <c r="E147" s="429" t="s">
        <v>1852</v>
      </c>
      <c r="F147" s="249" t="s">
        <v>80</v>
      </c>
      <c r="G147" s="250" t="str">
        <f>Практики!F39</f>
        <v>Не заполнено</v>
      </c>
      <c r="H147" s="429">
        <v>0</v>
      </c>
      <c r="I147" s="251">
        <f>Практики!Q39</f>
        <v>0</v>
      </c>
    </row>
    <row r="148" spans="1:9" x14ac:dyDescent="0.4">
      <c r="A148" s="509"/>
      <c r="B148" s="478"/>
      <c r="C148" s="478"/>
      <c r="D148" s="481"/>
      <c r="E148" s="430"/>
      <c r="F148" s="249" t="s">
        <v>374</v>
      </c>
      <c r="G148" s="250" t="str">
        <f>Практики!F214</f>
        <v>Не заполнено</v>
      </c>
      <c r="H148" s="430"/>
      <c r="I148" s="251">
        <f>Практики!Q214</f>
        <v>0</v>
      </c>
    </row>
    <row r="149" spans="1:9" x14ac:dyDescent="0.4">
      <c r="A149" s="509"/>
      <c r="B149" s="478"/>
      <c r="C149" s="478"/>
      <c r="D149" s="481"/>
      <c r="E149" s="430"/>
      <c r="F149" s="249" t="s">
        <v>381</v>
      </c>
      <c r="G149" s="250" t="str">
        <f>Практики!F217</f>
        <v>Не заполнено</v>
      </c>
      <c r="H149" s="430"/>
      <c r="I149" s="251">
        <f>Практики!Q217</f>
        <v>0</v>
      </c>
    </row>
    <row r="150" spans="1:9" x14ac:dyDescent="0.4">
      <c r="A150" s="509"/>
      <c r="B150" s="478"/>
      <c r="C150" s="478"/>
      <c r="D150" s="481"/>
      <c r="E150" s="430"/>
      <c r="F150" s="249" t="s">
        <v>385</v>
      </c>
      <c r="G150" s="250" t="str">
        <f>Практики!F219</f>
        <v>Не заполнено</v>
      </c>
      <c r="H150" s="430"/>
      <c r="I150" s="251">
        <f>Практики!Q219</f>
        <v>0</v>
      </c>
    </row>
    <row r="151" spans="1:9" x14ac:dyDescent="0.4">
      <c r="A151" s="509"/>
      <c r="B151" s="478"/>
      <c r="C151" s="478"/>
      <c r="D151" s="482"/>
      <c r="E151" s="431"/>
      <c r="F151" s="249" t="s">
        <v>390</v>
      </c>
      <c r="G151" s="250" t="str">
        <f>Практики!F222</f>
        <v>Не заполнено</v>
      </c>
      <c r="H151" s="431"/>
      <c r="I151" s="251">
        <f>Практики!Q222</f>
        <v>0</v>
      </c>
    </row>
    <row r="152" spans="1:9" x14ac:dyDescent="0.4">
      <c r="A152" s="509"/>
      <c r="B152" s="478"/>
      <c r="C152" s="478"/>
      <c r="D152" s="480" t="s">
        <v>2088</v>
      </c>
      <c r="E152" s="429" t="s">
        <v>1844</v>
      </c>
      <c r="F152" s="249" t="s">
        <v>36</v>
      </c>
      <c r="G152" s="250" t="str">
        <f>Практики!F13</f>
        <v>Не заполнено</v>
      </c>
      <c r="H152" s="429">
        <v>0</v>
      </c>
      <c r="I152" s="251">
        <f>Практики!Q13</f>
        <v>0</v>
      </c>
    </row>
    <row r="153" spans="1:9" x14ac:dyDescent="0.4">
      <c r="A153" s="509"/>
      <c r="B153" s="478"/>
      <c r="C153" s="478"/>
      <c r="D153" s="481"/>
      <c r="E153" s="430"/>
      <c r="F153" s="249" t="s">
        <v>40</v>
      </c>
      <c r="G153" s="250" t="str">
        <f>Практики!F15</f>
        <v>Не заполнено</v>
      </c>
      <c r="H153" s="430"/>
      <c r="I153" s="251">
        <f>Практики!Q15</f>
        <v>0</v>
      </c>
    </row>
    <row r="154" spans="1:9" x14ac:dyDescent="0.4">
      <c r="A154" s="509"/>
      <c r="B154" s="478"/>
      <c r="C154" s="478"/>
      <c r="D154" s="481"/>
      <c r="E154" s="430"/>
      <c r="F154" s="249" t="s">
        <v>55</v>
      </c>
      <c r="G154" s="250" t="str">
        <f>Практики!F23</f>
        <v>Не заполнено</v>
      </c>
      <c r="H154" s="430"/>
      <c r="I154" s="251">
        <f>Практики!Q23</f>
        <v>0</v>
      </c>
    </row>
    <row r="155" spans="1:9" x14ac:dyDescent="0.4">
      <c r="A155" s="509"/>
      <c r="B155" s="478"/>
      <c r="C155" s="478"/>
      <c r="D155" s="481"/>
      <c r="E155" s="430"/>
      <c r="F155" s="249" t="s">
        <v>58</v>
      </c>
      <c r="G155" s="250" t="str">
        <f>Практики!F24</f>
        <v>Не заполнено</v>
      </c>
      <c r="H155" s="430"/>
      <c r="I155" s="251">
        <f>Практики!Q24</f>
        <v>0</v>
      </c>
    </row>
    <row r="156" spans="1:9" x14ac:dyDescent="0.4">
      <c r="A156" s="510"/>
      <c r="B156" s="479"/>
      <c r="C156" s="479"/>
      <c r="D156" s="482"/>
      <c r="E156" s="431"/>
      <c r="F156" s="249" t="s">
        <v>63</v>
      </c>
      <c r="G156" s="250" t="str">
        <f>Практики!F26</f>
        <v>Не заполнено</v>
      </c>
      <c r="H156" s="431"/>
      <c r="I156" s="251">
        <f>Практики!Q26</f>
        <v>0</v>
      </c>
    </row>
    <row r="157" spans="1:9" x14ac:dyDescent="0.4">
      <c r="A157" s="463" t="s">
        <v>2089</v>
      </c>
      <c r="B157" s="469" t="s">
        <v>1316</v>
      </c>
      <c r="C157" s="469" t="s">
        <v>2090</v>
      </c>
      <c r="D157" s="466" t="s">
        <v>2091</v>
      </c>
      <c r="E157" s="432" t="s">
        <v>1851</v>
      </c>
      <c r="F157" s="252" t="s">
        <v>67</v>
      </c>
      <c r="G157" s="253" t="str">
        <f>Практики!F32</f>
        <v>Не заполнено</v>
      </c>
      <c r="H157" s="432">
        <v>0</v>
      </c>
      <c r="I157" s="254">
        <f>Практики!Q32</f>
        <v>0</v>
      </c>
    </row>
    <row r="158" spans="1:9" x14ac:dyDescent="0.4">
      <c r="A158" s="464"/>
      <c r="B158" s="486"/>
      <c r="C158" s="486"/>
      <c r="D158" s="467"/>
      <c r="E158" s="433"/>
      <c r="F158" s="252" t="s">
        <v>71</v>
      </c>
      <c r="G158" s="253" t="str">
        <f>Практики!F34</f>
        <v>Не заполнено</v>
      </c>
      <c r="H158" s="433"/>
      <c r="I158" s="254">
        <f>Практики!Q34</f>
        <v>0</v>
      </c>
    </row>
    <row r="159" spans="1:9" x14ac:dyDescent="0.4">
      <c r="A159" s="464"/>
      <c r="B159" s="486"/>
      <c r="C159" s="486"/>
      <c r="D159" s="467"/>
      <c r="E159" s="433"/>
      <c r="F159" s="252" t="s">
        <v>73</v>
      </c>
      <c r="G159" s="253" t="str">
        <f>Практики!F35</f>
        <v>Не заполнено</v>
      </c>
      <c r="H159" s="433"/>
      <c r="I159" s="254">
        <f>Практики!Q35</f>
        <v>0</v>
      </c>
    </row>
    <row r="160" spans="1:9" x14ac:dyDescent="0.4">
      <c r="A160" s="464"/>
      <c r="B160" s="486"/>
      <c r="C160" s="486"/>
      <c r="D160" s="467"/>
      <c r="E160" s="433"/>
      <c r="F160" s="252" t="s">
        <v>90</v>
      </c>
      <c r="G160" s="253" t="str">
        <f>Практики!F45</f>
        <v>Не заполнено</v>
      </c>
      <c r="H160" s="433"/>
      <c r="I160" s="254">
        <f>Практики!Q45</f>
        <v>0</v>
      </c>
    </row>
    <row r="161" spans="1:9" x14ac:dyDescent="0.4">
      <c r="A161" s="464"/>
      <c r="B161" s="486"/>
      <c r="C161" s="486"/>
      <c r="D161" s="467"/>
      <c r="E161" s="433"/>
      <c r="F161" s="252" t="s">
        <v>93</v>
      </c>
      <c r="G161" s="253" t="str">
        <f>Практики!F47</f>
        <v>Не заполнено</v>
      </c>
      <c r="H161" s="433"/>
      <c r="I161" s="254">
        <f>Практики!Q47</f>
        <v>0</v>
      </c>
    </row>
    <row r="162" spans="1:9" x14ac:dyDescent="0.4">
      <c r="A162" s="464"/>
      <c r="B162" s="486"/>
      <c r="C162" s="486"/>
      <c r="D162" s="467"/>
      <c r="E162" s="433"/>
      <c r="F162" s="252" t="s">
        <v>179</v>
      </c>
      <c r="G162" s="253" t="str">
        <f>Практики!F94</f>
        <v>Не заполнено</v>
      </c>
      <c r="H162" s="433"/>
      <c r="I162" s="254">
        <f>Практики!Q94</f>
        <v>0</v>
      </c>
    </row>
    <row r="163" spans="1:9" x14ac:dyDescent="0.4">
      <c r="A163" s="464"/>
      <c r="B163" s="486"/>
      <c r="C163" s="486"/>
      <c r="D163" s="467"/>
      <c r="E163" s="433"/>
      <c r="F163" s="252" t="s">
        <v>432</v>
      </c>
      <c r="G163" s="253" t="str">
        <f>Практики!F252</f>
        <v>Не заполнено</v>
      </c>
      <c r="H163" s="433"/>
      <c r="I163" s="254">
        <f>Практики!Q252</f>
        <v>0</v>
      </c>
    </row>
    <row r="164" spans="1:9" x14ac:dyDescent="0.4">
      <c r="A164" s="464"/>
      <c r="B164" s="486"/>
      <c r="C164" s="486"/>
      <c r="D164" s="467"/>
      <c r="E164" s="433"/>
      <c r="F164" s="252" t="s">
        <v>449</v>
      </c>
      <c r="G164" s="253" t="str">
        <f>Практики!F260</f>
        <v>Не заполнено</v>
      </c>
      <c r="H164" s="433"/>
      <c r="I164" s="254">
        <f>Практики!Q260</f>
        <v>0</v>
      </c>
    </row>
    <row r="165" spans="1:9" x14ac:dyDescent="0.4">
      <c r="A165" s="464"/>
      <c r="B165" s="486"/>
      <c r="C165" s="486"/>
      <c r="D165" s="468"/>
      <c r="E165" s="434"/>
      <c r="F165" s="252" t="s">
        <v>453</v>
      </c>
      <c r="G165" s="253" t="str">
        <f>Практики!F262</f>
        <v>Не заполнено</v>
      </c>
      <c r="H165" s="434"/>
      <c r="I165" s="254">
        <f>Практики!Q262</f>
        <v>0</v>
      </c>
    </row>
    <row r="166" spans="1:9" x14ac:dyDescent="0.4">
      <c r="A166" s="464"/>
      <c r="B166" s="486"/>
      <c r="C166" s="486"/>
      <c r="D166" s="252" t="s">
        <v>2092</v>
      </c>
      <c r="E166" s="254" t="s">
        <v>2093</v>
      </c>
      <c r="F166" s="252" t="s">
        <v>453</v>
      </c>
      <c r="G166" s="253" t="str">
        <f>Практики!F262</f>
        <v>Не заполнено</v>
      </c>
      <c r="H166" s="254">
        <v>0</v>
      </c>
      <c r="I166" s="254">
        <f>Практики!Q262</f>
        <v>0</v>
      </c>
    </row>
    <row r="167" spans="1:9" x14ac:dyDescent="0.4">
      <c r="A167" s="464"/>
      <c r="B167" s="486"/>
      <c r="C167" s="486"/>
      <c r="D167" s="252" t="s">
        <v>1959</v>
      </c>
      <c r="E167" s="254" t="s">
        <v>1936</v>
      </c>
      <c r="F167" s="226"/>
      <c r="G167" s="227"/>
      <c r="H167" s="254"/>
      <c r="I167" s="234"/>
    </row>
    <row r="168" spans="1:9" x14ac:dyDescent="0.4">
      <c r="A168" s="464"/>
      <c r="B168" s="486"/>
      <c r="C168" s="486"/>
      <c r="D168" s="466" t="s">
        <v>2094</v>
      </c>
      <c r="E168" s="432" t="s">
        <v>1841</v>
      </c>
      <c r="F168" s="252" t="s">
        <v>21</v>
      </c>
      <c r="G168" s="253" t="str">
        <f>Практики!F6</f>
        <v>Не заполнено</v>
      </c>
      <c r="H168" s="432">
        <v>0</v>
      </c>
      <c r="I168" s="254">
        <f>Практики!Q6</f>
        <v>0</v>
      </c>
    </row>
    <row r="169" spans="1:9" x14ac:dyDescent="0.4">
      <c r="A169" s="464"/>
      <c r="B169" s="486"/>
      <c r="C169" s="486"/>
      <c r="D169" s="467"/>
      <c r="E169" s="433"/>
      <c r="F169" s="252" t="s">
        <v>78</v>
      </c>
      <c r="G169" s="253" t="str">
        <f>Практики!F38</f>
        <v>Не заполнено</v>
      </c>
      <c r="H169" s="433"/>
      <c r="I169" s="254">
        <f>Практики!Q38</f>
        <v>0</v>
      </c>
    </row>
    <row r="170" spans="1:9" x14ac:dyDescent="0.4">
      <c r="A170" s="464"/>
      <c r="B170" s="486"/>
      <c r="C170" s="486"/>
      <c r="D170" s="467"/>
      <c r="E170" s="433"/>
      <c r="F170" s="252" t="s">
        <v>143</v>
      </c>
      <c r="G170" s="253" t="str">
        <f>Практики!F72</f>
        <v>Не заполнено</v>
      </c>
      <c r="H170" s="433"/>
      <c r="I170" s="254">
        <f>Практики!Q72</f>
        <v>0</v>
      </c>
    </row>
    <row r="171" spans="1:9" x14ac:dyDescent="0.4">
      <c r="A171" s="464"/>
      <c r="B171" s="486"/>
      <c r="C171" s="486"/>
      <c r="D171" s="467"/>
      <c r="E171" s="433"/>
      <c r="F171" s="252" t="s">
        <v>379</v>
      </c>
      <c r="G171" s="253" t="str">
        <f>Практики!F216</f>
        <v>Не заполнено</v>
      </c>
      <c r="H171" s="433"/>
      <c r="I171" s="254">
        <f>Практики!Q216</f>
        <v>0</v>
      </c>
    </row>
    <row r="172" spans="1:9" x14ac:dyDescent="0.4">
      <c r="A172" s="464"/>
      <c r="B172" s="486"/>
      <c r="C172" s="486"/>
      <c r="D172" s="467"/>
      <c r="E172" s="433"/>
      <c r="F172" s="252" t="s">
        <v>383</v>
      </c>
      <c r="G172" s="253" t="str">
        <f>Практики!F218</f>
        <v>Не заполнено</v>
      </c>
      <c r="H172" s="433"/>
      <c r="I172" s="254">
        <f>Практики!Q218</f>
        <v>0</v>
      </c>
    </row>
    <row r="173" spans="1:9" x14ac:dyDescent="0.4">
      <c r="A173" s="464"/>
      <c r="B173" s="486"/>
      <c r="C173" s="486"/>
      <c r="D173" s="467"/>
      <c r="E173" s="433"/>
      <c r="F173" s="252" t="s">
        <v>487</v>
      </c>
      <c r="G173" s="253" t="str">
        <f>Практики!F280</f>
        <v>Не заполнено</v>
      </c>
      <c r="H173" s="433"/>
      <c r="I173" s="254">
        <f>Практики!Q280</f>
        <v>0</v>
      </c>
    </row>
    <row r="174" spans="1:9" x14ac:dyDescent="0.4">
      <c r="A174" s="464"/>
      <c r="B174" s="486"/>
      <c r="C174" s="486"/>
      <c r="D174" s="467"/>
      <c r="E174" s="433"/>
      <c r="F174" s="252" t="s">
        <v>489</v>
      </c>
      <c r="G174" s="253" t="str">
        <f>Практики!F281</f>
        <v>Не заполнено</v>
      </c>
      <c r="H174" s="433"/>
      <c r="I174" s="254">
        <f>Практики!Q281</f>
        <v>0</v>
      </c>
    </row>
    <row r="175" spans="1:9" x14ac:dyDescent="0.4">
      <c r="A175" s="464"/>
      <c r="B175" s="486"/>
      <c r="C175" s="486"/>
      <c r="D175" s="468"/>
      <c r="E175" s="434"/>
      <c r="F175" s="252" t="s">
        <v>490</v>
      </c>
      <c r="G175" s="253" t="str">
        <f>Практики!F282</f>
        <v>Не заполнено</v>
      </c>
      <c r="H175" s="434"/>
      <c r="I175" s="254">
        <f>Практики!Q282</f>
        <v>0</v>
      </c>
    </row>
    <row r="176" spans="1:9" x14ac:dyDescent="0.4">
      <c r="A176" s="464"/>
      <c r="B176" s="486"/>
      <c r="C176" s="470"/>
      <c r="D176" s="252" t="s">
        <v>1960</v>
      </c>
      <c r="E176" s="254" t="s">
        <v>1937</v>
      </c>
      <c r="F176" s="226"/>
      <c r="G176" s="227"/>
      <c r="H176" s="254"/>
      <c r="I176" s="234"/>
    </row>
    <row r="177" spans="1:9" x14ac:dyDescent="0.4">
      <c r="A177" s="464"/>
      <c r="B177" s="486"/>
      <c r="C177" s="469" t="s">
        <v>2095</v>
      </c>
      <c r="D177" s="466" t="s">
        <v>2096</v>
      </c>
      <c r="E177" s="432" t="s">
        <v>1909</v>
      </c>
      <c r="F177" s="252" t="s">
        <v>611</v>
      </c>
      <c r="G177" s="253" t="str">
        <f>Практики!F350</f>
        <v>Не заполнено</v>
      </c>
      <c r="H177" s="432">
        <v>0</v>
      </c>
      <c r="I177" s="254">
        <f>Практики!Q350</f>
        <v>0</v>
      </c>
    </row>
    <row r="178" spans="1:9" x14ac:dyDescent="0.4">
      <c r="A178" s="464"/>
      <c r="B178" s="486"/>
      <c r="C178" s="486"/>
      <c r="D178" s="467"/>
      <c r="E178" s="433"/>
      <c r="F178" s="252" t="s">
        <v>613</v>
      </c>
      <c r="G178" s="253" t="str">
        <f>Практики!F351</f>
        <v>Не заполнено</v>
      </c>
      <c r="H178" s="433"/>
      <c r="I178" s="254">
        <f>Практики!Q351</f>
        <v>0</v>
      </c>
    </row>
    <row r="179" spans="1:9" x14ac:dyDescent="0.4">
      <c r="A179" s="464"/>
      <c r="B179" s="486"/>
      <c r="C179" s="486"/>
      <c r="D179" s="467"/>
      <c r="E179" s="433"/>
      <c r="F179" s="252" t="s">
        <v>619</v>
      </c>
      <c r="G179" s="253" t="str">
        <f>Практики!F354</f>
        <v>Не заполнено</v>
      </c>
      <c r="H179" s="433"/>
      <c r="I179" s="254">
        <f>Практики!Q354</f>
        <v>0</v>
      </c>
    </row>
    <row r="180" spans="1:9" x14ac:dyDescent="0.4">
      <c r="A180" s="464"/>
      <c r="B180" s="486"/>
      <c r="C180" s="486"/>
      <c r="D180" s="467"/>
      <c r="E180" s="433"/>
      <c r="F180" s="252" t="s">
        <v>621</v>
      </c>
      <c r="G180" s="253" t="str">
        <f>Практики!F355</f>
        <v>Не заполнено</v>
      </c>
      <c r="H180" s="433"/>
      <c r="I180" s="254">
        <f>Практики!Q355</f>
        <v>0</v>
      </c>
    </row>
    <row r="181" spans="1:9" x14ac:dyDescent="0.4">
      <c r="A181" s="464"/>
      <c r="B181" s="486"/>
      <c r="C181" s="486"/>
      <c r="D181" s="467"/>
      <c r="E181" s="433"/>
      <c r="F181" s="252" t="s">
        <v>625</v>
      </c>
      <c r="G181" s="253" t="str">
        <f>Практики!F357</f>
        <v>Не заполнено</v>
      </c>
      <c r="H181" s="433"/>
      <c r="I181" s="254">
        <f>Практики!Q357</f>
        <v>0</v>
      </c>
    </row>
    <row r="182" spans="1:9" x14ac:dyDescent="0.4">
      <c r="A182" s="464"/>
      <c r="B182" s="486"/>
      <c r="C182" s="486"/>
      <c r="D182" s="467"/>
      <c r="E182" s="433"/>
      <c r="F182" s="252" t="s">
        <v>627</v>
      </c>
      <c r="G182" s="253" t="str">
        <f>Практики!F358</f>
        <v>Не заполнено</v>
      </c>
      <c r="H182" s="433"/>
      <c r="I182" s="254">
        <f>Практики!Q358</f>
        <v>0</v>
      </c>
    </row>
    <row r="183" spans="1:9" x14ac:dyDescent="0.4">
      <c r="A183" s="464"/>
      <c r="B183" s="486"/>
      <c r="C183" s="486"/>
      <c r="D183" s="468"/>
      <c r="E183" s="434"/>
      <c r="F183" s="252" t="s">
        <v>629</v>
      </c>
      <c r="G183" s="253" t="str">
        <f>Практики!F359</f>
        <v>Не заполнено</v>
      </c>
      <c r="H183" s="434"/>
      <c r="I183" s="254">
        <f>Практики!Q359</f>
        <v>0</v>
      </c>
    </row>
    <row r="184" spans="1:9" x14ac:dyDescent="0.4">
      <c r="A184" s="464"/>
      <c r="B184" s="486"/>
      <c r="C184" s="486"/>
      <c r="D184" s="466" t="s">
        <v>2097</v>
      </c>
      <c r="E184" s="432" t="s">
        <v>1874</v>
      </c>
      <c r="F184" s="252" t="s">
        <v>212</v>
      </c>
      <c r="G184" s="253" t="str">
        <f>Практики!F127</f>
        <v>Не заполнено</v>
      </c>
      <c r="H184" s="432">
        <v>0</v>
      </c>
      <c r="I184" s="254">
        <f>Практики!Q127</f>
        <v>0</v>
      </c>
    </row>
    <row r="185" spans="1:9" x14ac:dyDescent="0.4">
      <c r="A185" s="464"/>
      <c r="B185" s="486"/>
      <c r="C185" s="486"/>
      <c r="D185" s="467"/>
      <c r="E185" s="433"/>
      <c r="F185" s="252" t="s">
        <v>278</v>
      </c>
      <c r="G185" s="253" t="str">
        <f>Практики!F160</f>
        <v>Не заполнено</v>
      </c>
      <c r="H185" s="433"/>
      <c r="I185" s="254">
        <f>Практики!Q160</f>
        <v>0</v>
      </c>
    </row>
    <row r="186" spans="1:9" x14ac:dyDescent="0.4">
      <c r="A186" s="464"/>
      <c r="B186" s="486"/>
      <c r="C186" s="486"/>
      <c r="D186" s="467"/>
      <c r="E186" s="433"/>
      <c r="F186" s="252" t="s">
        <v>309</v>
      </c>
      <c r="G186" s="253" t="str">
        <f>Практики!F179</f>
        <v>Не заполнено</v>
      </c>
      <c r="H186" s="433"/>
      <c r="I186" s="254">
        <f>Практики!Q179</f>
        <v>0</v>
      </c>
    </row>
    <row r="187" spans="1:9" x14ac:dyDescent="0.4">
      <c r="A187" s="464"/>
      <c r="B187" s="486"/>
      <c r="C187" s="486"/>
      <c r="D187" s="467"/>
      <c r="E187" s="433"/>
      <c r="F187" s="252" t="s">
        <v>311</v>
      </c>
      <c r="G187" s="253" t="str">
        <f>Практики!F180</f>
        <v>Не заполнено</v>
      </c>
      <c r="H187" s="433"/>
      <c r="I187" s="254">
        <f>Практики!Q180</f>
        <v>0</v>
      </c>
    </row>
    <row r="188" spans="1:9" x14ac:dyDescent="0.4">
      <c r="A188" s="464"/>
      <c r="B188" s="486"/>
      <c r="C188" s="486"/>
      <c r="D188" s="468"/>
      <c r="E188" s="434"/>
      <c r="F188" s="252" t="s">
        <v>460</v>
      </c>
      <c r="G188" s="253" t="str">
        <f>Практики!F266</f>
        <v>Не заполнено</v>
      </c>
      <c r="H188" s="434"/>
      <c r="I188" s="254">
        <f>Практики!Q266</f>
        <v>0</v>
      </c>
    </row>
    <row r="189" spans="1:9" x14ac:dyDescent="0.4">
      <c r="A189" s="464"/>
      <c r="B189" s="486"/>
      <c r="C189" s="470"/>
      <c r="D189" s="252" t="s">
        <v>2098</v>
      </c>
      <c r="E189" s="254" t="s">
        <v>2099</v>
      </c>
      <c r="F189" s="252" t="s">
        <v>621</v>
      </c>
      <c r="G189" s="253" t="str">
        <f>Практики!F355</f>
        <v>Не заполнено</v>
      </c>
      <c r="H189" s="254">
        <v>0</v>
      </c>
      <c r="I189" s="254">
        <f>Практики!Q355</f>
        <v>0</v>
      </c>
    </row>
    <row r="190" spans="1:9" x14ac:dyDescent="0.4">
      <c r="A190" s="464"/>
      <c r="B190" s="486"/>
      <c r="C190" s="469" t="s">
        <v>1961</v>
      </c>
      <c r="D190" s="252" t="s">
        <v>1961</v>
      </c>
      <c r="E190" s="254" t="s">
        <v>1938</v>
      </c>
      <c r="F190" s="226"/>
      <c r="G190" s="227"/>
      <c r="H190" s="254"/>
      <c r="I190" s="234"/>
    </row>
    <row r="191" spans="1:9" x14ac:dyDescent="0.4">
      <c r="A191" s="464"/>
      <c r="B191" s="470"/>
      <c r="C191" s="470"/>
      <c r="D191" s="252" t="s">
        <v>1962</v>
      </c>
      <c r="E191" s="254" t="s">
        <v>1939</v>
      </c>
      <c r="F191" s="252" t="s">
        <v>402</v>
      </c>
      <c r="G191" s="253" t="str">
        <f>Практики!F230</f>
        <v>Не заполнено</v>
      </c>
      <c r="H191" s="254">
        <v>0</v>
      </c>
      <c r="I191" s="254">
        <f>Практики!Q230</f>
        <v>0</v>
      </c>
    </row>
    <row r="192" spans="1:9" x14ac:dyDescent="0.4">
      <c r="A192" s="464"/>
      <c r="B192" s="471" t="s">
        <v>2100</v>
      </c>
      <c r="C192" s="471" t="s">
        <v>2101</v>
      </c>
      <c r="D192" s="474" t="s">
        <v>2102</v>
      </c>
      <c r="E192" s="421" t="s">
        <v>1880</v>
      </c>
      <c r="F192" s="255" t="s">
        <v>344</v>
      </c>
      <c r="G192" s="256" t="str">
        <f>Практики!F197</f>
        <v>Не заполнено</v>
      </c>
      <c r="H192" s="421">
        <v>0</v>
      </c>
      <c r="I192" s="257">
        <f>Практики!Q197</f>
        <v>0</v>
      </c>
    </row>
    <row r="193" spans="1:9" x14ac:dyDescent="0.4">
      <c r="A193" s="464"/>
      <c r="B193" s="472"/>
      <c r="C193" s="472"/>
      <c r="D193" s="475"/>
      <c r="E193" s="423"/>
      <c r="F193" s="255" t="s">
        <v>349</v>
      </c>
      <c r="G193" s="256" t="str">
        <f>Практики!F200</f>
        <v>Не заполнено</v>
      </c>
      <c r="H193" s="423"/>
      <c r="I193" s="257">
        <f>Практики!Q200</f>
        <v>0</v>
      </c>
    </row>
    <row r="194" spans="1:9" x14ac:dyDescent="0.4">
      <c r="A194" s="464"/>
      <c r="B194" s="472"/>
      <c r="C194" s="472"/>
      <c r="D194" s="475"/>
      <c r="E194" s="423"/>
      <c r="F194" s="255" t="s">
        <v>355</v>
      </c>
      <c r="G194" s="256" t="str">
        <f>Практики!F203</f>
        <v>Не заполнено</v>
      </c>
      <c r="H194" s="423"/>
      <c r="I194" s="257">
        <f>Практики!Q203</f>
        <v>0</v>
      </c>
    </row>
    <row r="195" spans="1:9" x14ac:dyDescent="0.4">
      <c r="A195" s="464"/>
      <c r="B195" s="472"/>
      <c r="C195" s="472"/>
      <c r="D195" s="475"/>
      <c r="E195" s="423"/>
      <c r="F195" s="255" t="s">
        <v>464</v>
      </c>
      <c r="G195" s="256" t="str">
        <f>Практики!F268</f>
        <v>Не заполнено</v>
      </c>
      <c r="H195" s="423"/>
      <c r="I195" s="257">
        <f>Практики!Q268</f>
        <v>0</v>
      </c>
    </row>
    <row r="196" spans="1:9" x14ac:dyDescent="0.4">
      <c r="A196" s="464"/>
      <c r="B196" s="472"/>
      <c r="C196" s="472"/>
      <c r="D196" s="475"/>
      <c r="E196" s="423"/>
      <c r="F196" s="255" t="s">
        <v>466</v>
      </c>
      <c r="G196" s="256" t="str">
        <f>Практики!F269</f>
        <v>Не заполнено</v>
      </c>
      <c r="H196" s="423"/>
      <c r="I196" s="257">
        <f>Практики!Q269</f>
        <v>0</v>
      </c>
    </row>
    <row r="197" spans="1:9" x14ac:dyDescent="0.4">
      <c r="A197" s="464"/>
      <c r="B197" s="472"/>
      <c r="C197" s="472"/>
      <c r="D197" s="476"/>
      <c r="E197" s="422"/>
      <c r="F197" s="255" t="s">
        <v>475</v>
      </c>
      <c r="G197" s="256" t="str">
        <f>Практики!F274</f>
        <v>Не заполнено</v>
      </c>
      <c r="H197" s="422"/>
      <c r="I197" s="257">
        <f>Практики!Q274</f>
        <v>0</v>
      </c>
    </row>
    <row r="198" spans="1:9" x14ac:dyDescent="0.4">
      <c r="A198" s="464"/>
      <c r="B198" s="472"/>
      <c r="C198" s="472"/>
      <c r="D198" s="474" t="s">
        <v>1963</v>
      </c>
      <c r="E198" s="421" t="s">
        <v>2103</v>
      </c>
      <c r="F198" s="255" t="s">
        <v>573</v>
      </c>
      <c r="G198" s="256" t="str">
        <f>Практики!F328</f>
        <v>Не заполнено</v>
      </c>
      <c r="H198" s="421">
        <v>0</v>
      </c>
      <c r="I198" s="257">
        <f>Практики!Q328</f>
        <v>0</v>
      </c>
    </row>
    <row r="199" spans="1:9" x14ac:dyDescent="0.4">
      <c r="A199" s="464"/>
      <c r="B199" s="472"/>
      <c r="C199" s="472"/>
      <c r="D199" s="476"/>
      <c r="E199" s="422"/>
      <c r="F199" s="255" t="s">
        <v>575</v>
      </c>
      <c r="G199" s="256" t="str">
        <f>Практики!F329</f>
        <v>Не заполнено</v>
      </c>
      <c r="H199" s="422"/>
      <c r="I199" s="257">
        <f>Практики!Q329</f>
        <v>0</v>
      </c>
    </row>
    <row r="200" spans="1:9" x14ac:dyDescent="0.4">
      <c r="A200" s="464"/>
      <c r="B200" s="472"/>
      <c r="C200" s="472"/>
      <c r="D200" s="483" t="s">
        <v>2104</v>
      </c>
      <c r="E200" s="421" t="s">
        <v>2105</v>
      </c>
      <c r="F200" s="255" t="s">
        <v>324</v>
      </c>
      <c r="G200" s="256" t="str">
        <f>Практики!F186</f>
        <v>Не заполнено</v>
      </c>
      <c r="H200" s="421">
        <v>0</v>
      </c>
      <c r="I200" s="257">
        <f>Практики!Q186</f>
        <v>0</v>
      </c>
    </row>
    <row r="201" spans="1:9" x14ac:dyDescent="0.4">
      <c r="A201" s="464"/>
      <c r="B201" s="472"/>
      <c r="C201" s="472"/>
      <c r="D201" s="484"/>
      <c r="E201" s="423"/>
      <c r="F201" s="255" t="s">
        <v>326</v>
      </c>
      <c r="G201" s="256" t="str">
        <f>Практики!F187</f>
        <v>Не заполнено</v>
      </c>
      <c r="H201" s="423"/>
      <c r="I201" s="257">
        <f>Практики!Q187</f>
        <v>0</v>
      </c>
    </row>
    <row r="202" spans="1:9" x14ac:dyDescent="0.4">
      <c r="A202" s="464"/>
      <c r="B202" s="472"/>
      <c r="C202" s="472"/>
      <c r="D202" s="484"/>
      <c r="E202" s="423"/>
      <c r="F202" s="255" t="s">
        <v>331</v>
      </c>
      <c r="G202" s="256" t="str">
        <f>Практики!F190</f>
        <v>Не заполнено</v>
      </c>
      <c r="H202" s="423"/>
      <c r="I202" s="257">
        <f>Практики!Q190</f>
        <v>0</v>
      </c>
    </row>
    <row r="203" spans="1:9" x14ac:dyDescent="0.4">
      <c r="A203" s="464"/>
      <c r="B203" s="472"/>
      <c r="C203" s="472"/>
      <c r="D203" s="484"/>
      <c r="E203" s="423"/>
      <c r="F203" s="255" t="s">
        <v>394</v>
      </c>
      <c r="G203" s="256" t="str">
        <f>Практики!F225</f>
        <v>Не заполнено</v>
      </c>
      <c r="H203" s="423"/>
      <c r="I203" s="257">
        <f>Практики!Q225</f>
        <v>0</v>
      </c>
    </row>
    <row r="204" spans="1:9" x14ac:dyDescent="0.4">
      <c r="A204" s="464"/>
      <c r="B204" s="472"/>
      <c r="C204" s="473"/>
      <c r="D204" s="485"/>
      <c r="E204" s="422"/>
      <c r="F204" s="255" t="s">
        <v>397</v>
      </c>
      <c r="G204" s="256" t="str">
        <f>Практики!F227</f>
        <v>Не заполнено</v>
      </c>
      <c r="H204" s="422"/>
      <c r="I204" s="257">
        <f>Практики!Q227</f>
        <v>0</v>
      </c>
    </row>
    <row r="205" spans="1:9" x14ac:dyDescent="0.4">
      <c r="A205" s="464"/>
      <c r="B205" s="472"/>
      <c r="C205" s="471" t="s">
        <v>2106</v>
      </c>
      <c r="D205" s="255" t="s">
        <v>2107</v>
      </c>
      <c r="E205" s="257" t="s">
        <v>2108</v>
      </c>
      <c r="F205" s="255" t="s">
        <v>402</v>
      </c>
      <c r="G205" s="256" t="str">
        <f>Практики!F230</f>
        <v>Не заполнено</v>
      </c>
      <c r="H205" s="257">
        <v>0</v>
      </c>
      <c r="I205" s="257">
        <f>Практики!Q230</f>
        <v>0</v>
      </c>
    </row>
    <row r="206" spans="1:9" x14ac:dyDescent="0.4">
      <c r="A206" s="464"/>
      <c r="B206" s="472"/>
      <c r="C206" s="472"/>
      <c r="D206" s="255" t="s">
        <v>2109</v>
      </c>
      <c r="E206" s="257" t="s">
        <v>1940</v>
      </c>
      <c r="F206" s="226"/>
      <c r="G206" s="227"/>
      <c r="H206" s="257"/>
      <c r="I206" s="234"/>
    </row>
    <row r="207" spans="1:9" x14ac:dyDescent="0.4">
      <c r="A207" s="464"/>
      <c r="B207" s="472"/>
      <c r="C207" s="472"/>
      <c r="D207" s="474" t="s">
        <v>2110</v>
      </c>
      <c r="E207" s="421" t="s">
        <v>2111</v>
      </c>
      <c r="F207" s="255" t="s">
        <v>324</v>
      </c>
      <c r="G207" s="256" t="str">
        <f>Практики!F186</f>
        <v>Не заполнено</v>
      </c>
      <c r="H207" s="421">
        <v>0</v>
      </c>
      <c r="I207" s="257">
        <f>Практики!Q186</f>
        <v>0</v>
      </c>
    </row>
    <row r="208" spans="1:9" x14ac:dyDescent="0.4">
      <c r="A208" s="464"/>
      <c r="B208" s="472"/>
      <c r="C208" s="472"/>
      <c r="D208" s="475"/>
      <c r="E208" s="423"/>
      <c r="F208" s="255" t="s">
        <v>326</v>
      </c>
      <c r="G208" s="256" t="str">
        <f>Практики!F187</f>
        <v>Не заполнено</v>
      </c>
      <c r="H208" s="423"/>
      <c r="I208" s="257">
        <f>Практики!Q187</f>
        <v>0</v>
      </c>
    </row>
    <row r="209" spans="1:9" x14ac:dyDescent="0.4">
      <c r="A209" s="464"/>
      <c r="B209" s="472"/>
      <c r="C209" s="472"/>
      <c r="D209" s="475"/>
      <c r="E209" s="423"/>
      <c r="F209" s="255" t="s">
        <v>331</v>
      </c>
      <c r="G209" s="256" t="str">
        <f>Практики!F190</f>
        <v>Не заполнено</v>
      </c>
      <c r="H209" s="423"/>
      <c r="I209" s="257">
        <f>Практики!Q190</f>
        <v>0</v>
      </c>
    </row>
    <row r="210" spans="1:9" x14ac:dyDescent="0.4">
      <c r="A210" s="464"/>
      <c r="B210" s="472"/>
      <c r="C210" s="472"/>
      <c r="D210" s="475"/>
      <c r="E210" s="423"/>
      <c r="F210" s="255" t="s">
        <v>394</v>
      </c>
      <c r="G210" s="256" t="str">
        <f>Практики!F225</f>
        <v>Не заполнено</v>
      </c>
      <c r="H210" s="423"/>
      <c r="I210" s="257">
        <f>Практики!Q225</f>
        <v>0</v>
      </c>
    </row>
    <row r="211" spans="1:9" x14ac:dyDescent="0.4">
      <c r="A211" s="464"/>
      <c r="B211" s="472"/>
      <c r="C211" s="472"/>
      <c r="D211" s="475"/>
      <c r="E211" s="423"/>
      <c r="F211" s="255" t="s">
        <v>397</v>
      </c>
      <c r="G211" s="256" t="str">
        <f>Практики!F227</f>
        <v>Не заполнено</v>
      </c>
      <c r="H211" s="423"/>
      <c r="I211" s="257">
        <f>Практики!Q227</f>
        <v>0</v>
      </c>
    </row>
    <row r="212" spans="1:9" x14ac:dyDescent="0.4">
      <c r="A212" s="464"/>
      <c r="B212" s="472"/>
      <c r="C212" s="472"/>
      <c r="D212" s="475"/>
      <c r="E212" s="423"/>
      <c r="F212" s="255" t="s">
        <v>464</v>
      </c>
      <c r="G212" s="256" t="str">
        <f>Практики!F268</f>
        <v>Не заполнено</v>
      </c>
      <c r="H212" s="423"/>
      <c r="I212" s="257">
        <f>Практики!Q268</f>
        <v>0</v>
      </c>
    </row>
    <row r="213" spans="1:9" x14ac:dyDescent="0.4">
      <c r="A213" s="465"/>
      <c r="B213" s="473"/>
      <c r="C213" s="473"/>
      <c r="D213" s="476"/>
      <c r="E213" s="422"/>
      <c r="F213" s="255" t="s">
        <v>475</v>
      </c>
      <c r="G213" s="256" t="str">
        <f>Практики!F274</f>
        <v>Не заполнено</v>
      </c>
      <c r="H213" s="422"/>
      <c r="I213" s="257">
        <f>Практики!Q274</f>
        <v>0</v>
      </c>
    </row>
    <row r="214" spans="1:9" x14ac:dyDescent="0.4">
      <c r="A214" s="451" t="s">
        <v>2112</v>
      </c>
      <c r="B214" s="452"/>
      <c r="C214" s="457" t="s">
        <v>2113</v>
      </c>
      <c r="D214" s="258" t="s">
        <v>2114</v>
      </c>
      <c r="E214" s="259" t="s">
        <v>1886</v>
      </c>
      <c r="F214" s="258" t="s">
        <v>494</v>
      </c>
      <c r="G214" s="260" t="str">
        <f>Практики!F286</f>
        <v>Не заполнено</v>
      </c>
      <c r="H214" s="259">
        <v>0</v>
      </c>
      <c r="I214" s="259">
        <f>Практики!Q286</f>
        <v>0</v>
      </c>
    </row>
    <row r="215" spans="1:9" x14ac:dyDescent="0.4">
      <c r="A215" s="453"/>
      <c r="B215" s="454"/>
      <c r="C215" s="458"/>
      <c r="D215" s="460" t="s">
        <v>2115</v>
      </c>
      <c r="E215" s="424" t="s">
        <v>1885</v>
      </c>
      <c r="F215" s="258" t="s">
        <v>492</v>
      </c>
      <c r="G215" s="260" t="str">
        <f>Практики!F285</f>
        <v>Не заполнено</v>
      </c>
      <c r="H215" s="424">
        <v>0</v>
      </c>
      <c r="I215" s="259">
        <f>Практики!Q285</f>
        <v>0</v>
      </c>
    </row>
    <row r="216" spans="1:9" x14ac:dyDescent="0.4">
      <c r="A216" s="453"/>
      <c r="B216" s="454"/>
      <c r="C216" s="458"/>
      <c r="D216" s="461"/>
      <c r="E216" s="425"/>
      <c r="F216" s="258" t="s">
        <v>497</v>
      </c>
      <c r="G216" s="260" t="str">
        <f>Практики!F287</f>
        <v>Не заполнено</v>
      </c>
      <c r="H216" s="425"/>
      <c r="I216" s="259">
        <f>Практики!Q287</f>
        <v>0</v>
      </c>
    </row>
    <row r="217" spans="1:9" x14ac:dyDescent="0.4">
      <c r="A217" s="453"/>
      <c r="B217" s="454"/>
      <c r="C217" s="458"/>
      <c r="D217" s="461"/>
      <c r="E217" s="425"/>
      <c r="F217" s="258" t="s">
        <v>499</v>
      </c>
      <c r="G217" s="260" t="str">
        <f>Практики!F288</f>
        <v>Не заполнено</v>
      </c>
      <c r="H217" s="425"/>
      <c r="I217" s="259">
        <f>Практики!Q288</f>
        <v>0</v>
      </c>
    </row>
    <row r="218" spans="1:9" x14ac:dyDescent="0.4">
      <c r="A218" s="453"/>
      <c r="B218" s="454"/>
      <c r="C218" s="458"/>
      <c r="D218" s="461"/>
      <c r="E218" s="425"/>
      <c r="F218" s="258" t="s">
        <v>508</v>
      </c>
      <c r="G218" s="260" t="str">
        <f>Практики!F292</f>
        <v>Не заполнено</v>
      </c>
      <c r="H218" s="425"/>
      <c r="I218" s="259">
        <f>Практики!Q292</f>
        <v>0</v>
      </c>
    </row>
    <row r="219" spans="1:9" x14ac:dyDescent="0.4">
      <c r="A219" s="453"/>
      <c r="B219" s="454"/>
      <c r="C219" s="458"/>
      <c r="D219" s="462"/>
      <c r="E219" s="426"/>
      <c r="F219" s="258" t="s">
        <v>510</v>
      </c>
      <c r="G219" s="260" t="str">
        <f>Практики!F293</f>
        <v>Не заполнено</v>
      </c>
      <c r="H219" s="426"/>
      <c r="I219" s="259">
        <f>Практики!Q293</f>
        <v>0</v>
      </c>
    </row>
    <row r="220" spans="1:9" x14ac:dyDescent="0.4">
      <c r="A220" s="453"/>
      <c r="B220" s="454"/>
      <c r="C220" s="458"/>
      <c r="D220" s="258" t="s">
        <v>1964</v>
      </c>
      <c r="E220" s="259" t="s">
        <v>1941</v>
      </c>
      <c r="F220" s="226"/>
      <c r="G220" s="227"/>
      <c r="H220" s="259"/>
      <c r="I220" s="234"/>
    </row>
    <row r="221" spans="1:9" x14ac:dyDescent="0.4">
      <c r="A221" s="453"/>
      <c r="B221" s="454"/>
      <c r="C221" s="458"/>
      <c r="D221" s="460" t="s">
        <v>2116</v>
      </c>
      <c r="E221" s="424" t="s">
        <v>1888</v>
      </c>
      <c r="F221" s="258" t="s">
        <v>506</v>
      </c>
      <c r="G221" s="260" t="str">
        <f>Практики!F291</f>
        <v>Не заполнено</v>
      </c>
      <c r="H221" s="424">
        <v>0</v>
      </c>
      <c r="I221" s="259">
        <f>Практики!Q291</f>
        <v>0</v>
      </c>
    </row>
    <row r="222" spans="1:9" x14ac:dyDescent="0.4">
      <c r="A222" s="453"/>
      <c r="B222" s="454"/>
      <c r="C222" s="458"/>
      <c r="D222" s="461"/>
      <c r="E222" s="425"/>
      <c r="F222" s="258" t="s">
        <v>510</v>
      </c>
      <c r="G222" s="260" t="str">
        <f>Практики!F293</f>
        <v>Не заполнено</v>
      </c>
      <c r="H222" s="425"/>
      <c r="I222" s="259">
        <f>Практики!Q293</f>
        <v>0</v>
      </c>
    </row>
    <row r="223" spans="1:9" x14ac:dyDescent="0.4">
      <c r="A223" s="453"/>
      <c r="B223" s="454"/>
      <c r="C223" s="459"/>
      <c r="D223" s="462"/>
      <c r="E223" s="426"/>
      <c r="F223" s="258" t="s">
        <v>513</v>
      </c>
      <c r="G223" s="260" t="str">
        <f>Практики!F294</f>
        <v>Не заполнено</v>
      </c>
      <c r="H223" s="426"/>
      <c r="I223" s="259">
        <f>Практики!Q294</f>
        <v>0</v>
      </c>
    </row>
    <row r="224" spans="1:9" x14ac:dyDescent="0.4">
      <c r="A224" s="453"/>
      <c r="B224" s="454"/>
      <c r="C224" s="457" t="s">
        <v>2117</v>
      </c>
      <c r="D224" s="460" t="s">
        <v>2118</v>
      </c>
      <c r="E224" s="424" t="s">
        <v>1887</v>
      </c>
      <c r="F224" s="258" t="s">
        <v>503</v>
      </c>
      <c r="G224" s="260" t="str">
        <f>Практики!F290</f>
        <v>Не заполнено</v>
      </c>
      <c r="H224" s="424">
        <v>0</v>
      </c>
      <c r="I224" s="259">
        <f>Практики!Q290</f>
        <v>0</v>
      </c>
    </row>
    <row r="225" spans="1:9" x14ac:dyDescent="0.4">
      <c r="A225" s="453"/>
      <c r="B225" s="454"/>
      <c r="C225" s="458"/>
      <c r="D225" s="461"/>
      <c r="E225" s="425"/>
      <c r="F225" s="258" t="s">
        <v>698</v>
      </c>
      <c r="G225" s="260" t="str">
        <f>Практики!F395</f>
        <v>Не заполнено</v>
      </c>
      <c r="H225" s="425"/>
      <c r="I225" s="259">
        <f>Практики!Q395</f>
        <v>0</v>
      </c>
    </row>
    <row r="226" spans="1:9" x14ac:dyDescent="0.4">
      <c r="A226" s="453"/>
      <c r="B226" s="454"/>
      <c r="C226" s="458"/>
      <c r="D226" s="462"/>
      <c r="E226" s="426"/>
      <c r="F226" s="258" t="s">
        <v>702</v>
      </c>
      <c r="G226" s="260" t="str">
        <f>Практики!F397</f>
        <v>Не заполнено</v>
      </c>
      <c r="H226" s="426"/>
      <c r="I226" s="259">
        <f>Практики!Q397</f>
        <v>0</v>
      </c>
    </row>
    <row r="227" spans="1:9" x14ac:dyDescent="0.4">
      <c r="A227" s="453"/>
      <c r="B227" s="454"/>
      <c r="C227" s="458"/>
      <c r="D227" s="258" t="s">
        <v>1965</v>
      </c>
      <c r="E227" s="259" t="s">
        <v>1942</v>
      </c>
      <c r="F227" s="258" t="s">
        <v>508</v>
      </c>
      <c r="G227" s="260" t="str">
        <f>Практики!F292</f>
        <v>Не заполнено</v>
      </c>
      <c r="H227" s="259">
        <v>0</v>
      </c>
      <c r="I227" s="259">
        <f>Практики!Q292</f>
        <v>0</v>
      </c>
    </row>
    <row r="228" spans="1:9" x14ac:dyDescent="0.4">
      <c r="A228" s="453"/>
      <c r="B228" s="454"/>
      <c r="C228" s="458"/>
      <c r="D228" s="258" t="s">
        <v>1966</v>
      </c>
      <c r="E228" s="259" t="s">
        <v>1943</v>
      </c>
      <c r="F228" s="226"/>
      <c r="G228" s="227"/>
      <c r="H228" s="259"/>
      <c r="I228" s="234"/>
    </row>
    <row r="229" spans="1:9" x14ac:dyDescent="0.4">
      <c r="A229" s="453"/>
      <c r="B229" s="454"/>
      <c r="C229" s="458"/>
      <c r="D229" s="460" t="s">
        <v>920</v>
      </c>
      <c r="E229" s="424" t="s">
        <v>1918</v>
      </c>
      <c r="F229" s="258" t="s">
        <v>670</v>
      </c>
      <c r="G229" s="260" t="str">
        <f>Практики!F382</f>
        <v>Не заполнено</v>
      </c>
      <c r="H229" s="424">
        <v>0</v>
      </c>
      <c r="I229" s="259">
        <f>Практики!Q382</f>
        <v>0</v>
      </c>
    </row>
    <row r="230" spans="1:9" x14ac:dyDescent="0.4">
      <c r="A230" s="453"/>
      <c r="B230" s="454"/>
      <c r="C230" s="458"/>
      <c r="D230" s="461"/>
      <c r="E230" s="425"/>
      <c r="F230" s="258" t="s">
        <v>673</v>
      </c>
      <c r="G230" s="260" t="str">
        <f>Практики!F383</f>
        <v>Не заполнено</v>
      </c>
      <c r="H230" s="425"/>
      <c r="I230" s="259">
        <f>Практики!Q383</f>
        <v>0</v>
      </c>
    </row>
    <row r="231" spans="1:9" x14ac:dyDescent="0.4">
      <c r="A231" s="453"/>
      <c r="B231" s="454"/>
      <c r="C231" s="458"/>
      <c r="D231" s="461"/>
      <c r="E231" s="425"/>
      <c r="F231" s="258" t="s">
        <v>675</v>
      </c>
      <c r="G231" s="260" t="str">
        <f>Практики!F384</f>
        <v>Не заполнено</v>
      </c>
      <c r="H231" s="425"/>
      <c r="I231" s="259">
        <f>Практики!Q384</f>
        <v>0</v>
      </c>
    </row>
    <row r="232" spans="1:9" x14ac:dyDescent="0.4">
      <c r="A232" s="453"/>
      <c r="B232" s="454"/>
      <c r="C232" s="458"/>
      <c r="D232" s="461"/>
      <c r="E232" s="425"/>
      <c r="F232" s="258" t="s">
        <v>680</v>
      </c>
      <c r="G232" s="260" t="str">
        <f>Практики!F386</f>
        <v>Не заполнено</v>
      </c>
      <c r="H232" s="425"/>
      <c r="I232" s="259">
        <f>Практики!Q386</f>
        <v>0</v>
      </c>
    </row>
    <row r="233" spans="1:9" x14ac:dyDescent="0.4">
      <c r="A233" s="453"/>
      <c r="B233" s="454"/>
      <c r="C233" s="459"/>
      <c r="D233" s="462"/>
      <c r="E233" s="426"/>
      <c r="F233" s="258" t="s">
        <v>682</v>
      </c>
      <c r="G233" s="260" t="str">
        <f>Практики!F387</f>
        <v>Не заполнено</v>
      </c>
      <c r="H233" s="426"/>
      <c r="I233" s="259">
        <f>Практики!Q387</f>
        <v>0</v>
      </c>
    </row>
    <row r="234" spans="1:9" x14ac:dyDescent="0.4">
      <c r="A234" s="453"/>
      <c r="B234" s="454"/>
      <c r="C234" s="457" t="s">
        <v>2119</v>
      </c>
      <c r="D234" s="460" t="s">
        <v>2120</v>
      </c>
      <c r="E234" s="424" t="s">
        <v>1893</v>
      </c>
      <c r="F234" s="258" t="s">
        <v>515</v>
      </c>
      <c r="G234" s="260" t="str">
        <f>Практики!F295</f>
        <v>Не заполнено</v>
      </c>
      <c r="H234" s="424">
        <v>0</v>
      </c>
      <c r="I234" s="259">
        <f>Практики!Q295</f>
        <v>0</v>
      </c>
    </row>
    <row r="235" spans="1:9" x14ac:dyDescent="0.4">
      <c r="A235" s="453"/>
      <c r="B235" s="454"/>
      <c r="C235" s="458"/>
      <c r="D235" s="462"/>
      <c r="E235" s="426"/>
      <c r="F235" s="258" t="s">
        <v>519</v>
      </c>
      <c r="G235" s="260" t="str">
        <f>Практики!F297</f>
        <v>Не заполнено</v>
      </c>
      <c r="H235" s="426"/>
      <c r="I235" s="259">
        <f>Практики!Q297</f>
        <v>0</v>
      </c>
    </row>
    <row r="236" spans="1:9" x14ac:dyDescent="0.4">
      <c r="A236" s="453"/>
      <c r="B236" s="454"/>
      <c r="C236" s="458"/>
      <c r="D236" s="460" t="s">
        <v>2121</v>
      </c>
      <c r="E236" s="424" t="s">
        <v>1894</v>
      </c>
      <c r="F236" s="258" t="s">
        <v>521</v>
      </c>
      <c r="G236" s="260" t="str">
        <f>Практики!F298</f>
        <v>Не заполнено</v>
      </c>
      <c r="H236" s="424">
        <v>0</v>
      </c>
      <c r="I236" s="259">
        <f>Практики!Q298</f>
        <v>0</v>
      </c>
    </row>
    <row r="237" spans="1:9" x14ac:dyDescent="0.4">
      <c r="A237" s="453"/>
      <c r="B237" s="454"/>
      <c r="C237" s="458"/>
      <c r="D237" s="462"/>
      <c r="E237" s="426"/>
      <c r="F237" s="258" t="s">
        <v>525</v>
      </c>
      <c r="G237" s="260" t="str">
        <f>Практики!F300</f>
        <v>Не заполнено</v>
      </c>
      <c r="H237" s="426"/>
      <c r="I237" s="259">
        <f>Практики!Q300</f>
        <v>0</v>
      </c>
    </row>
    <row r="238" spans="1:9" x14ac:dyDescent="0.4">
      <c r="A238" s="455"/>
      <c r="B238" s="456"/>
      <c r="C238" s="459"/>
      <c r="D238" s="258" t="s">
        <v>2122</v>
      </c>
      <c r="E238" s="259" t="s">
        <v>1892</v>
      </c>
      <c r="F238" s="258" t="s">
        <v>517</v>
      </c>
      <c r="G238" s="260" t="str">
        <f>Практики!F296</f>
        <v>Не заполнено</v>
      </c>
      <c r="H238" s="259">
        <v>0</v>
      </c>
      <c r="I238" s="259">
        <f>Практики!Q296</f>
        <v>0</v>
      </c>
    </row>
  </sheetData>
  <autoFilter ref="A1:I238" xr:uid="{00000000-0009-0000-0000-00000D000000}"/>
  <mergeCells count="175">
    <mergeCell ref="A2:A69"/>
    <mergeCell ref="B2:B12"/>
    <mergeCell ref="C2:C6"/>
    <mergeCell ref="C7:C12"/>
    <mergeCell ref="D8:D9"/>
    <mergeCell ref="E8:E9"/>
    <mergeCell ref="B13:B33"/>
    <mergeCell ref="C13:C23"/>
    <mergeCell ref="D14:D18"/>
    <mergeCell ref="E14:E18"/>
    <mergeCell ref="E51:E66"/>
    <mergeCell ref="D67:D69"/>
    <mergeCell ref="D20:D21"/>
    <mergeCell ref="E20:E21"/>
    <mergeCell ref="C24:C28"/>
    <mergeCell ref="D26:D27"/>
    <mergeCell ref="E26:E27"/>
    <mergeCell ref="C29:C33"/>
    <mergeCell ref="D31:D32"/>
    <mergeCell ref="E31:E32"/>
    <mergeCell ref="D87:D88"/>
    <mergeCell ref="E87:E88"/>
    <mergeCell ref="D89:D90"/>
    <mergeCell ref="E89:E90"/>
    <mergeCell ref="D91:D92"/>
    <mergeCell ref="E91:E92"/>
    <mergeCell ref="E67:E69"/>
    <mergeCell ref="A70:A156"/>
    <mergeCell ref="B70:B99"/>
    <mergeCell ref="C70:C78"/>
    <mergeCell ref="D71:D77"/>
    <mergeCell ref="E71:E77"/>
    <mergeCell ref="C79:C82"/>
    <mergeCell ref="C83:C96"/>
    <mergeCell ref="D83:D85"/>
    <mergeCell ref="E83:E85"/>
    <mergeCell ref="B34:B69"/>
    <mergeCell ref="C34:C50"/>
    <mergeCell ref="D34:D38"/>
    <mergeCell ref="E34:E38"/>
    <mergeCell ref="D39:D50"/>
    <mergeCell ref="E39:E50"/>
    <mergeCell ref="C51:C69"/>
    <mergeCell ref="D51:D66"/>
    <mergeCell ref="D94:D96"/>
    <mergeCell ref="E94:E96"/>
    <mergeCell ref="C97:C99"/>
    <mergeCell ref="D97:D98"/>
    <mergeCell ref="E97:E98"/>
    <mergeCell ref="B100:B115"/>
    <mergeCell ref="C100:C106"/>
    <mergeCell ref="D100:D102"/>
    <mergeCell ref="E100:E102"/>
    <mergeCell ref="C107:C115"/>
    <mergeCell ref="D107:D110"/>
    <mergeCell ref="E107:E110"/>
    <mergeCell ref="D111:D115"/>
    <mergeCell ref="E111:E115"/>
    <mergeCell ref="D177:D183"/>
    <mergeCell ref="E177:E183"/>
    <mergeCell ref="B116:B140"/>
    <mergeCell ref="C116:C126"/>
    <mergeCell ref="D116:D117"/>
    <mergeCell ref="E116:E117"/>
    <mergeCell ref="D118:D119"/>
    <mergeCell ref="E118:E119"/>
    <mergeCell ref="E131:E134"/>
    <mergeCell ref="C137:C140"/>
    <mergeCell ref="D137:D138"/>
    <mergeCell ref="E137:E138"/>
    <mergeCell ref="D139:D140"/>
    <mergeCell ref="E139:E140"/>
    <mergeCell ref="D120:D121"/>
    <mergeCell ref="E120:E121"/>
    <mergeCell ref="D123:D126"/>
    <mergeCell ref="E123:E126"/>
    <mergeCell ref="C127:C136"/>
    <mergeCell ref="D127:D128"/>
    <mergeCell ref="E127:E128"/>
    <mergeCell ref="D129:D130"/>
    <mergeCell ref="E129:E130"/>
    <mergeCell ref="D131:D134"/>
    <mergeCell ref="C192:C204"/>
    <mergeCell ref="D192:D197"/>
    <mergeCell ref="C205:C213"/>
    <mergeCell ref="D207:D213"/>
    <mergeCell ref="E207:E213"/>
    <mergeCell ref="B141:B156"/>
    <mergeCell ref="C141:C145"/>
    <mergeCell ref="D141:D143"/>
    <mergeCell ref="E141:E143"/>
    <mergeCell ref="C146:C156"/>
    <mergeCell ref="D147:D151"/>
    <mergeCell ref="E147:E151"/>
    <mergeCell ref="D152:D156"/>
    <mergeCell ref="E152:E156"/>
    <mergeCell ref="D198:D199"/>
    <mergeCell ref="E198:E199"/>
    <mergeCell ref="D200:D204"/>
    <mergeCell ref="B157:B191"/>
    <mergeCell ref="C157:C176"/>
    <mergeCell ref="D157:D165"/>
    <mergeCell ref="E157:E165"/>
    <mergeCell ref="D168:D175"/>
    <mergeCell ref="E168:E175"/>
    <mergeCell ref="C177:C189"/>
    <mergeCell ref="L6:N6"/>
    <mergeCell ref="E192:E197"/>
    <mergeCell ref="E200:E204"/>
    <mergeCell ref="A214:B238"/>
    <mergeCell ref="C214:C223"/>
    <mergeCell ref="D215:D219"/>
    <mergeCell ref="E215:E219"/>
    <mergeCell ref="D221:D223"/>
    <mergeCell ref="E221:E223"/>
    <mergeCell ref="A157:A213"/>
    <mergeCell ref="C224:C233"/>
    <mergeCell ref="D224:D226"/>
    <mergeCell ref="E224:E226"/>
    <mergeCell ref="D229:D233"/>
    <mergeCell ref="E229:E233"/>
    <mergeCell ref="C234:C238"/>
    <mergeCell ref="D234:D235"/>
    <mergeCell ref="E234:E235"/>
    <mergeCell ref="D236:D237"/>
    <mergeCell ref="E236:E237"/>
    <mergeCell ref="D184:D188"/>
    <mergeCell ref="E184:E188"/>
    <mergeCell ref="C190:C191"/>
    <mergeCell ref="B192:B213"/>
    <mergeCell ref="H8:H9"/>
    <mergeCell ref="H14:H18"/>
    <mergeCell ref="H20:H21"/>
    <mergeCell ref="H26:H27"/>
    <mergeCell ref="H31:H32"/>
    <mergeCell ref="H34:H38"/>
    <mergeCell ref="H39:H50"/>
    <mergeCell ref="H51:H66"/>
    <mergeCell ref="H67:H69"/>
    <mergeCell ref="H71:H77"/>
    <mergeCell ref="H83:H85"/>
    <mergeCell ref="H87:H88"/>
    <mergeCell ref="H89:H90"/>
    <mergeCell ref="H91:H92"/>
    <mergeCell ref="H94:H96"/>
    <mergeCell ref="H97:H98"/>
    <mergeCell ref="H100:H102"/>
    <mergeCell ref="H107:H110"/>
    <mergeCell ref="H111:H115"/>
    <mergeCell ref="H116:H117"/>
    <mergeCell ref="H118:H119"/>
    <mergeCell ref="H120:H121"/>
    <mergeCell ref="H123:H126"/>
    <mergeCell ref="H127:H128"/>
    <mergeCell ref="H129:H130"/>
    <mergeCell ref="H131:H134"/>
    <mergeCell ref="H137:H138"/>
    <mergeCell ref="H139:H140"/>
    <mergeCell ref="H141:H143"/>
    <mergeCell ref="H147:H151"/>
    <mergeCell ref="H152:H156"/>
    <mergeCell ref="H157:H165"/>
    <mergeCell ref="H168:H175"/>
    <mergeCell ref="H177:H183"/>
    <mergeCell ref="H184:H188"/>
    <mergeCell ref="H192:H197"/>
    <mergeCell ref="H198:H199"/>
    <mergeCell ref="H200:H204"/>
    <mergeCell ref="H207:H213"/>
    <mergeCell ref="H215:H219"/>
    <mergeCell ref="H221:H223"/>
    <mergeCell ref="H224:H226"/>
    <mergeCell ref="H229:H233"/>
    <mergeCell ref="H234:H235"/>
    <mergeCell ref="H236:H23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26">
    <tabColor rgb="FF92D050"/>
  </sheetPr>
  <dimension ref="B1:M178"/>
  <sheetViews>
    <sheetView zoomScale="85" zoomScaleNormal="85" workbookViewId="0">
      <pane xSplit="2" ySplit="1" topLeftCell="C2" activePane="bottomRight" state="frozen"/>
      <selection pane="topRight" activeCell="C1" sqref="C1"/>
      <selection pane="bottomLeft" activeCell="A2" sqref="A2"/>
      <selection pane="bottomRight" activeCell="B2" sqref="B2:H2"/>
    </sheetView>
  </sheetViews>
  <sheetFormatPr defaultColWidth="8.88671875" defaultRowHeight="16.8" x14ac:dyDescent="0.4"/>
  <cols>
    <col min="1" max="1" width="3.44140625" style="133" customWidth="1"/>
    <col min="2" max="2" width="26.88671875" style="133" customWidth="1"/>
    <col min="3" max="3" width="7.33203125" style="133" customWidth="1"/>
    <col min="4" max="4" width="126.44140625" style="146" customWidth="1"/>
    <col min="5" max="5" width="7.5546875" style="133" bestFit="1" customWidth="1"/>
    <col min="6" max="6" width="23.5546875" style="133" bestFit="1" customWidth="1"/>
    <col min="7" max="7" width="24.5546875" style="133" bestFit="1" customWidth="1"/>
    <col min="8" max="8" width="26.88671875" style="133" customWidth="1"/>
    <col min="9" max="9" width="16.5546875" style="133" hidden="1" customWidth="1"/>
    <col min="10" max="10" width="8.88671875" style="133"/>
    <col min="11" max="11" width="16.5546875" style="133" bestFit="1" customWidth="1"/>
    <col min="12" max="12" width="22.5546875" style="133" bestFit="1" customWidth="1"/>
    <col min="13" max="13" width="20.44140625" style="133" bestFit="1" customWidth="1"/>
    <col min="14" max="16384" width="8.88671875" style="133"/>
  </cols>
  <sheetData>
    <row r="1" spans="2:13" ht="41.4" thickBot="1" x14ac:dyDescent="0.45">
      <c r="B1" s="167"/>
      <c r="C1" s="168" t="s">
        <v>2158</v>
      </c>
      <c r="D1" s="169" t="s">
        <v>2159</v>
      </c>
      <c r="E1" s="168" t="s">
        <v>2</v>
      </c>
      <c r="F1" s="170" t="s">
        <v>1993</v>
      </c>
      <c r="G1" s="170" t="s">
        <v>1994</v>
      </c>
      <c r="H1" s="171" t="s">
        <v>1427</v>
      </c>
      <c r="I1" s="172" t="s">
        <v>2287</v>
      </c>
      <c r="K1" s="173" t="s">
        <v>2124</v>
      </c>
      <c r="L1" s="173" t="s">
        <v>2123</v>
      </c>
      <c r="M1" s="173" t="s">
        <v>2125</v>
      </c>
    </row>
    <row r="2" spans="2:13" ht="19.8" thickBot="1" x14ac:dyDescent="0.45">
      <c r="B2" s="549" t="s">
        <v>1311</v>
      </c>
      <c r="C2" s="550"/>
      <c r="D2" s="550"/>
      <c r="E2" s="550"/>
      <c r="F2" s="550"/>
      <c r="G2" s="550"/>
      <c r="H2" s="550"/>
      <c r="I2" s="610"/>
      <c r="K2" s="174">
        <f>COUNTA(I4:I178)</f>
        <v>57</v>
      </c>
      <c r="L2" s="174">
        <f>COUNTA(E4:E10,E12:E17,E19:E31,E34:E41,E43:E51,E53:E58,E61:E77,E79:E90,E92:E102,E105:E110,E112:E121,E123:E145,E148:E154,E156:E167,E169:E178)</f>
        <v>90</v>
      </c>
      <c r="M2" s="175">
        <f>(K2/L2)*100</f>
        <v>63.333333333333329</v>
      </c>
    </row>
    <row r="3" spans="2:13" ht="17.399999999999999" thickBot="1" x14ac:dyDescent="0.45">
      <c r="B3" s="551" t="s">
        <v>2160</v>
      </c>
      <c r="C3" s="552"/>
      <c r="D3" s="552"/>
      <c r="E3" s="552"/>
      <c r="F3" s="552"/>
      <c r="G3" s="552"/>
      <c r="H3" s="552"/>
      <c r="I3" s="553"/>
    </row>
    <row r="4" spans="2:13" x14ac:dyDescent="0.4">
      <c r="B4" s="541" t="s">
        <v>2161</v>
      </c>
      <c r="C4" s="176">
        <v>1</v>
      </c>
      <c r="D4" s="177" t="s">
        <v>2162</v>
      </c>
      <c r="E4" s="178" t="s">
        <v>751</v>
      </c>
      <c r="F4" s="179" t="str">
        <f>Практики!C314</f>
        <v>P-REQ-TM-3-2</v>
      </c>
      <c r="G4" s="179" t="str">
        <f>Практики!F314</f>
        <v>Не заполнено</v>
      </c>
      <c r="H4" s="180">
        <f>Практики!Q314</f>
        <v>0</v>
      </c>
      <c r="I4" s="178">
        <v>0</v>
      </c>
    </row>
    <row r="5" spans="2:13" x14ac:dyDescent="0.4">
      <c r="B5" s="539"/>
      <c r="C5" s="181">
        <v>2</v>
      </c>
      <c r="D5" s="134" t="s">
        <v>2163</v>
      </c>
      <c r="E5" s="182" t="s">
        <v>752</v>
      </c>
      <c r="F5" s="133" t="str">
        <f>Практики!C400</f>
        <v>P-ROLE-RESP-2-4</v>
      </c>
      <c r="G5" s="133" t="str">
        <f>Практики!F402</f>
        <v>Не заполнено</v>
      </c>
      <c r="H5" s="143">
        <f>Практики!Q402</f>
        <v>0</v>
      </c>
      <c r="I5" s="182">
        <v>0</v>
      </c>
    </row>
    <row r="6" spans="2:13" ht="17.399999999999999" thickBot="1" x14ac:dyDescent="0.45">
      <c r="B6" s="540"/>
      <c r="C6" s="183">
        <v>3</v>
      </c>
      <c r="D6" s="184" t="s">
        <v>2164</v>
      </c>
      <c r="E6" s="185" t="s">
        <v>753</v>
      </c>
      <c r="F6" s="186" t="str">
        <f>Практики!C402</f>
        <v>P-ROLE-RESP-3-2</v>
      </c>
      <c r="G6" s="186" t="str">
        <f>Практики!F402</f>
        <v>Не заполнено</v>
      </c>
      <c r="H6" s="187">
        <f>Практики!Q403</f>
        <v>0</v>
      </c>
      <c r="I6" s="182">
        <v>0</v>
      </c>
      <c r="M6" s="188"/>
    </row>
    <row r="7" spans="2:13" x14ac:dyDescent="0.4">
      <c r="B7" s="541" t="s">
        <v>2165</v>
      </c>
      <c r="C7" s="176">
        <v>1</v>
      </c>
      <c r="D7" s="177" t="s">
        <v>2166</v>
      </c>
      <c r="E7" s="178" t="s">
        <v>646</v>
      </c>
      <c r="F7" s="179" t="str">
        <f>Практики!C369</f>
        <v>P-MET-SET-2-1</v>
      </c>
      <c r="G7" s="179" t="str">
        <f>Практики!F369</f>
        <v>Не заполнено</v>
      </c>
      <c r="H7" s="180">
        <f>Практики!Q369</f>
        <v>0</v>
      </c>
      <c r="I7" s="182">
        <v>0</v>
      </c>
    </row>
    <row r="8" spans="2:13" x14ac:dyDescent="0.4">
      <c r="B8" s="539"/>
      <c r="C8" s="181">
        <v>2</v>
      </c>
      <c r="D8" s="134" t="s">
        <v>2167</v>
      </c>
      <c r="E8" s="182" t="s">
        <v>649</v>
      </c>
      <c r="F8" s="133" t="str">
        <f>Практики!C370</f>
        <v>P-MET-SET-2-2</v>
      </c>
      <c r="G8" s="133" t="str">
        <f>Практики!F370</f>
        <v>Не заполнено</v>
      </c>
      <c r="H8" s="143">
        <f>Практики!Q370</f>
        <v>0</v>
      </c>
      <c r="I8" s="182">
        <v>0</v>
      </c>
    </row>
    <row r="9" spans="2:13" x14ac:dyDescent="0.4">
      <c r="B9" s="539"/>
      <c r="C9" s="546">
        <v>3</v>
      </c>
      <c r="D9" s="548" t="s">
        <v>2168</v>
      </c>
      <c r="E9" s="539" t="s">
        <v>660</v>
      </c>
      <c r="F9" s="133" t="s">
        <v>652</v>
      </c>
      <c r="G9" s="133" t="str">
        <f>Практики!F372</f>
        <v>Не заполнено</v>
      </c>
      <c r="H9" s="143">
        <f>Практики!Q372</f>
        <v>0</v>
      </c>
      <c r="I9" s="539">
        <v>0</v>
      </c>
    </row>
    <row r="10" spans="2:13" ht="17.399999999999999" thickBot="1" x14ac:dyDescent="0.45">
      <c r="B10" s="540"/>
      <c r="C10" s="554"/>
      <c r="D10" s="555"/>
      <c r="E10" s="540"/>
      <c r="F10" s="186" t="str">
        <f>Практики!C373</f>
        <v>P-MET-EX-0-1</v>
      </c>
      <c r="G10" s="186" t="str">
        <f>Практики!F373</f>
        <v>Не заполнено</v>
      </c>
      <c r="H10" s="187">
        <f>Практики!Q373</f>
        <v>0</v>
      </c>
      <c r="I10" s="539"/>
    </row>
    <row r="11" spans="2:13" ht="17.399999999999999" thickBot="1" x14ac:dyDescent="0.45">
      <c r="B11" s="542" t="s">
        <v>1319</v>
      </c>
      <c r="C11" s="543"/>
      <c r="D11" s="543"/>
      <c r="E11" s="543"/>
      <c r="F11" s="543"/>
      <c r="G11" s="543"/>
      <c r="H11" s="544"/>
      <c r="I11" s="182"/>
    </row>
    <row r="12" spans="2:13" x14ac:dyDescent="0.4">
      <c r="B12" s="541" t="s">
        <v>2169</v>
      </c>
      <c r="C12" s="176">
        <v>1</v>
      </c>
      <c r="D12" s="177" t="s">
        <v>2170</v>
      </c>
      <c r="E12" s="178" t="s">
        <v>754</v>
      </c>
      <c r="F12" s="179" t="str">
        <f>Практики!C399</f>
        <v>P-ROLE-RESP-2-3</v>
      </c>
      <c r="G12" s="179" t="str">
        <f>Практики!F399</f>
        <v>Не заполнено</v>
      </c>
      <c r="H12" s="180">
        <f>Практики!Q399</f>
        <v>0</v>
      </c>
      <c r="I12" s="182">
        <v>0</v>
      </c>
    </row>
    <row r="13" spans="2:13" x14ac:dyDescent="0.4">
      <c r="B13" s="539"/>
      <c r="C13" s="181">
        <v>2</v>
      </c>
      <c r="D13" s="134" t="s">
        <v>2171</v>
      </c>
      <c r="E13" s="182" t="s">
        <v>755</v>
      </c>
      <c r="F13" s="133" t="str">
        <f>Практики!C194</f>
        <v>T-PREPROD-SECTEST-2-1</v>
      </c>
      <c r="G13" s="133" t="str">
        <f>Практики!F194</f>
        <v>Не заполнено</v>
      </c>
      <c r="H13" s="143">
        <f>Практики!Q194</f>
        <v>0</v>
      </c>
      <c r="I13" s="182">
        <v>0</v>
      </c>
    </row>
    <row r="14" spans="2:13" ht="17.399999999999999" thickBot="1" x14ac:dyDescent="0.45">
      <c r="B14" s="540"/>
      <c r="C14" s="183">
        <v>3</v>
      </c>
      <c r="D14" s="184" t="s">
        <v>2172</v>
      </c>
      <c r="E14" s="185" t="s">
        <v>756</v>
      </c>
      <c r="F14" s="186" t="str">
        <f>Практики!C278</f>
        <v>T-PROD-VULN-4-1</v>
      </c>
      <c r="G14" s="186" t="str">
        <f>Практики!F278</f>
        <v>Не заполнено</v>
      </c>
      <c r="H14" s="187">
        <f>Практики!Q278</f>
        <v>0</v>
      </c>
      <c r="I14" s="182">
        <v>0</v>
      </c>
    </row>
    <row r="15" spans="2:13" x14ac:dyDescent="0.4">
      <c r="B15" s="541" t="s">
        <v>2173</v>
      </c>
      <c r="C15" s="176">
        <v>1</v>
      </c>
      <c r="D15" s="177" t="s">
        <v>2174</v>
      </c>
      <c r="E15" s="178" t="s">
        <v>2404</v>
      </c>
      <c r="F15" s="189"/>
      <c r="G15" s="189"/>
      <c r="H15" s="180"/>
      <c r="I15" s="182"/>
    </row>
    <row r="16" spans="2:13" ht="33.6" x14ac:dyDescent="0.4">
      <c r="B16" s="539"/>
      <c r="C16" s="181">
        <v>2</v>
      </c>
      <c r="D16" s="134" t="s">
        <v>2175</v>
      </c>
      <c r="E16" s="182" t="s">
        <v>2405</v>
      </c>
      <c r="F16" s="190"/>
      <c r="G16" s="190"/>
      <c r="H16" s="143"/>
      <c r="I16" s="182"/>
    </row>
    <row r="17" spans="2:9" ht="28.2" customHeight="1" thickBot="1" x14ac:dyDescent="0.45">
      <c r="B17" s="540"/>
      <c r="C17" s="183">
        <v>3</v>
      </c>
      <c r="D17" s="184" t="s">
        <v>2176</v>
      </c>
      <c r="E17" s="191" t="s">
        <v>2406</v>
      </c>
      <c r="F17" s="192"/>
      <c r="G17" s="192"/>
      <c r="H17" s="187"/>
      <c r="I17" s="182"/>
    </row>
    <row r="18" spans="2:9" ht="17.399999999999999" thickBot="1" x14ac:dyDescent="0.45">
      <c r="B18" s="542" t="s">
        <v>2177</v>
      </c>
      <c r="C18" s="543"/>
      <c r="D18" s="543"/>
      <c r="E18" s="543"/>
      <c r="F18" s="543"/>
      <c r="G18" s="543"/>
      <c r="H18" s="544"/>
      <c r="I18" s="182"/>
    </row>
    <row r="19" spans="2:9" x14ac:dyDescent="0.4">
      <c r="B19" s="556" t="s">
        <v>2178</v>
      </c>
      <c r="C19" s="545">
        <v>1</v>
      </c>
      <c r="D19" s="571" t="s">
        <v>2179</v>
      </c>
      <c r="E19" s="541" t="s">
        <v>1816</v>
      </c>
      <c r="F19" s="179" t="str">
        <f>Практики!C285</f>
        <v>P-EDU-AWR-0-1</v>
      </c>
      <c r="G19" s="179" t="str">
        <f>Практики!F285</f>
        <v>Не заполнено</v>
      </c>
      <c r="H19" s="180">
        <f>Практики!Q285</f>
        <v>0</v>
      </c>
      <c r="I19" s="539">
        <v>0</v>
      </c>
    </row>
    <row r="20" spans="2:9" x14ac:dyDescent="0.4">
      <c r="B20" s="557"/>
      <c r="C20" s="546"/>
      <c r="D20" s="572"/>
      <c r="E20" s="539"/>
      <c r="F20" s="133" t="str">
        <f>Практики!C286</f>
        <v>P-EDU-AWR-1-1</v>
      </c>
      <c r="G20" s="133" t="str">
        <f>Практики!F286</f>
        <v>Не заполнено</v>
      </c>
      <c r="H20" s="143">
        <f>Практики!Q286</f>
        <v>0</v>
      </c>
      <c r="I20" s="539"/>
    </row>
    <row r="21" spans="2:9" x14ac:dyDescent="0.4">
      <c r="B21" s="557"/>
      <c r="C21" s="546">
        <v>2</v>
      </c>
      <c r="D21" s="572" t="s">
        <v>2180</v>
      </c>
      <c r="E21" s="539" t="s">
        <v>1815</v>
      </c>
      <c r="F21" s="133" t="str">
        <f>Практики!C232</f>
        <v>T-PROD-PENTEST-4-2</v>
      </c>
      <c r="G21" s="133" t="str">
        <f>Практики!F232</f>
        <v>Не заполнено</v>
      </c>
      <c r="H21" s="143">
        <f>Практики!Q232</f>
        <v>0</v>
      </c>
      <c r="I21" s="539">
        <v>0</v>
      </c>
    </row>
    <row r="22" spans="2:9" x14ac:dyDescent="0.4">
      <c r="B22" s="557"/>
      <c r="C22" s="546"/>
      <c r="D22" s="572"/>
      <c r="E22" s="539"/>
      <c r="F22" s="133" t="str">
        <f>Практики!C290</f>
        <v>P-EDU-AWR-2-3</v>
      </c>
      <c r="G22" s="133" t="str">
        <f>Практики!F290</f>
        <v>Не заполнено</v>
      </c>
      <c r="H22" s="143">
        <f>Практики!Q290</f>
        <v>0</v>
      </c>
      <c r="I22" s="539"/>
    </row>
    <row r="23" spans="2:9" x14ac:dyDescent="0.4">
      <c r="B23" s="557"/>
      <c r="C23" s="546"/>
      <c r="D23" s="572"/>
      <c r="E23" s="539"/>
      <c r="F23" s="133" t="str">
        <f>Практики!C288</f>
        <v>P-EDU-AWR-2-1</v>
      </c>
      <c r="G23" s="133" t="str">
        <f>Практики!F288</f>
        <v>Не заполнено</v>
      </c>
      <c r="H23" s="143">
        <f>Практики!Q288</f>
        <v>0</v>
      </c>
      <c r="I23" s="539"/>
    </row>
    <row r="24" spans="2:9" x14ac:dyDescent="0.4">
      <c r="B24" s="557"/>
      <c r="C24" s="546">
        <v>3</v>
      </c>
      <c r="D24" s="572" t="s">
        <v>2181</v>
      </c>
      <c r="E24" s="539" t="s">
        <v>1817</v>
      </c>
      <c r="F24" s="133" t="str">
        <f>Практики!C288</f>
        <v>P-EDU-AWR-2-1</v>
      </c>
      <c r="G24" s="133" t="str">
        <f>Практики!F288</f>
        <v>Не заполнено</v>
      </c>
      <c r="H24" s="143">
        <f>Практики!Q288</f>
        <v>0</v>
      </c>
      <c r="I24" s="539">
        <v>0</v>
      </c>
    </row>
    <row r="25" spans="2:9" ht="17.399999999999999" thickBot="1" x14ac:dyDescent="0.45">
      <c r="B25" s="558"/>
      <c r="C25" s="554"/>
      <c r="D25" s="573"/>
      <c r="E25" s="540"/>
      <c r="F25" s="186" t="str">
        <f>Практики!C291</f>
        <v>P-EDU-AWR-2-4</v>
      </c>
      <c r="G25" s="186" t="str">
        <f>Практики!F291</f>
        <v>Не заполнено</v>
      </c>
      <c r="H25" s="187">
        <f>Практики!Q291</f>
        <v>0</v>
      </c>
      <c r="I25" s="539"/>
    </row>
    <row r="26" spans="2:9" x14ac:dyDescent="0.4">
      <c r="B26" s="541" t="s">
        <v>2182</v>
      </c>
      <c r="C26" s="545">
        <v>1</v>
      </c>
      <c r="D26" s="547" t="s">
        <v>2183</v>
      </c>
      <c r="E26" s="541" t="s">
        <v>1826</v>
      </c>
      <c r="F26" s="179" t="str">
        <f>Практики!C382</f>
        <v>P-ROLE-SC-0-1</v>
      </c>
      <c r="G26" s="179" t="str">
        <f>Практики!F382</f>
        <v>Не заполнено</v>
      </c>
      <c r="H26" s="180">
        <f>Практики!Q382</f>
        <v>0</v>
      </c>
      <c r="I26" s="539">
        <v>0</v>
      </c>
    </row>
    <row r="27" spans="2:9" x14ac:dyDescent="0.4">
      <c r="B27" s="539"/>
      <c r="C27" s="546"/>
      <c r="D27" s="548"/>
      <c r="E27" s="539"/>
      <c r="F27" s="133" t="str">
        <f>Практики!C384</f>
        <v>P-ROLE-SC-2-1</v>
      </c>
      <c r="G27" s="133" t="str">
        <f>Практики!F384</f>
        <v>Не заполнено</v>
      </c>
      <c r="H27" s="143">
        <f>Практики!Q384</f>
        <v>0</v>
      </c>
      <c r="I27" s="539"/>
    </row>
    <row r="28" spans="2:9" x14ac:dyDescent="0.4">
      <c r="B28" s="539"/>
      <c r="C28" s="546"/>
      <c r="D28" s="548"/>
      <c r="E28" s="539"/>
      <c r="F28" s="133" t="str">
        <f>Практики!C388</f>
        <v>P-ROLE-SC-3-3</v>
      </c>
      <c r="G28" s="133" t="str">
        <f>Практики!F388</f>
        <v>Не заполнено</v>
      </c>
      <c r="H28" s="143">
        <f>Практики!Q388</f>
        <v>0</v>
      </c>
      <c r="I28" s="539"/>
    </row>
    <row r="29" spans="2:9" x14ac:dyDescent="0.4">
      <c r="B29" s="539"/>
      <c r="C29" s="181">
        <v>2</v>
      </c>
      <c r="D29" s="134" t="s">
        <v>2184</v>
      </c>
      <c r="E29" s="182" t="s">
        <v>1828</v>
      </c>
      <c r="F29" s="133" t="str">
        <f>Практики!C395</f>
        <v>P-ROLE-RESP-1-1</v>
      </c>
      <c r="G29" s="133" t="str">
        <f>Практики!F395</f>
        <v>Не заполнено</v>
      </c>
      <c r="H29" s="143">
        <f>Практики!Q395</f>
        <v>0</v>
      </c>
      <c r="I29" s="182">
        <v>0</v>
      </c>
    </row>
    <row r="30" spans="2:9" x14ac:dyDescent="0.4">
      <c r="B30" s="539"/>
      <c r="C30" s="546">
        <v>3</v>
      </c>
      <c r="D30" s="548" t="s">
        <v>2185</v>
      </c>
      <c r="E30" s="539" t="s">
        <v>1818</v>
      </c>
      <c r="F30" s="133" t="str">
        <f>Практики!C292</f>
        <v>P-EDU-AWR-3-1</v>
      </c>
      <c r="G30" s="133" t="str">
        <f>Практики!F292</f>
        <v>Не заполнено</v>
      </c>
      <c r="H30" s="143">
        <f>Практики!Q292</f>
        <v>0</v>
      </c>
      <c r="I30" s="539">
        <v>0</v>
      </c>
    </row>
    <row r="31" spans="2:9" ht="17.399999999999999" thickBot="1" x14ac:dyDescent="0.45">
      <c r="B31" s="540"/>
      <c r="C31" s="554"/>
      <c r="D31" s="555"/>
      <c r="E31" s="540"/>
      <c r="F31" s="186" t="str">
        <f>Практики!C295</f>
        <v>P-EDU-KB-0-1</v>
      </c>
      <c r="G31" s="186" t="str">
        <f>Практики!F295</f>
        <v>Не заполнено</v>
      </c>
      <c r="H31" s="187">
        <f>Практики!Q295</f>
        <v>0</v>
      </c>
      <c r="I31" s="539"/>
    </row>
    <row r="32" spans="2:9" ht="19.2" x14ac:dyDescent="0.4">
      <c r="B32" s="559" t="s">
        <v>1312</v>
      </c>
      <c r="C32" s="560"/>
      <c r="D32" s="560"/>
      <c r="E32" s="560"/>
      <c r="F32" s="560"/>
      <c r="G32" s="560"/>
      <c r="H32" s="561"/>
      <c r="I32" s="182"/>
    </row>
    <row r="33" spans="2:9" ht="17.399999999999999" thickBot="1" x14ac:dyDescent="0.45">
      <c r="B33" s="542" t="s">
        <v>1317</v>
      </c>
      <c r="C33" s="543"/>
      <c r="D33" s="543"/>
      <c r="E33" s="543"/>
      <c r="F33" s="543"/>
      <c r="G33" s="543"/>
      <c r="H33" s="544"/>
      <c r="I33" s="182"/>
    </row>
    <row r="34" spans="2:9" x14ac:dyDescent="0.4">
      <c r="B34" s="541" t="s">
        <v>2186</v>
      </c>
      <c r="C34" s="545">
        <v>1</v>
      </c>
      <c r="D34" s="547" t="s">
        <v>2187</v>
      </c>
      <c r="E34" s="541" t="s">
        <v>496</v>
      </c>
      <c r="F34" s="179" t="str">
        <f>Практики!C308</f>
        <v>P-REQ-TM-1-2</v>
      </c>
      <c r="G34" s="179" t="str">
        <f>Практики!F308</f>
        <v>Не заполнено</v>
      </c>
      <c r="H34" s="180">
        <f>Практики!Q308</f>
        <v>0</v>
      </c>
      <c r="I34" s="539">
        <v>0</v>
      </c>
    </row>
    <row r="35" spans="2:9" x14ac:dyDescent="0.4">
      <c r="B35" s="539"/>
      <c r="C35" s="546"/>
      <c r="D35" s="548"/>
      <c r="E35" s="539"/>
      <c r="F35" s="133" t="str">
        <f>Практики!C309</f>
        <v>P-REQ-TM-1-3</v>
      </c>
      <c r="G35" s="133" t="str">
        <f>Практики!F309</f>
        <v>Не заполнено</v>
      </c>
      <c r="H35" s="143">
        <f>Практики!Q309</f>
        <v>0</v>
      </c>
      <c r="I35" s="539"/>
    </row>
    <row r="36" spans="2:9" x14ac:dyDescent="0.4">
      <c r="B36" s="539"/>
      <c r="C36" s="181">
        <v>2</v>
      </c>
      <c r="D36" s="134" t="s">
        <v>2188</v>
      </c>
      <c r="E36" s="182" t="s">
        <v>757</v>
      </c>
      <c r="F36" s="133" t="str">
        <f>Практики!C312</f>
        <v>P-REQ-TM-2-3</v>
      </c>
      <c r="G36" s="133" t="str">
        <f>Практики!F312</f>
        <v>Не заполнено</v>
      </c>
      <c r="H36" s="143">
        <f>Практики!Q312</f>
        <v>0</v>
      </c>
      <c r="I36" s="182">
        <v>0</v>
      </c>
    </row>
    <row r="37" spans="2:9" ht="17.399999999999999" thickBot="1" x14ac:dyDescent="0.45">
      <c r="B37" s="540"/>
      <c r="C37" s="183">
        <v>3</v>
      </c>
      <c r="D37" s="184" t="s">
        <v>2189</v>
      </c>
      <c r="E37" s="185" t="s">
        <v>2407</v>
      </c>
      <c r="F37" s="192"/>
      <c r="G37" s="192"/>
      <c r="H37" s="187"/>
      <c r="I37" s="182"/>
    </row>
    <row r="38" spans="2:9" x14ac:dyDescent="0.4">
      <c r="B38" s="541" t="s">
        <v>2190</v>
      </c>
      <c r="C38" s="176">
        <v>1</v>
      </c>
      <c r="D38" s="177" t="s">
        <v>2191</v>
      </c>
      <c r="E38" s="178" t="s">
        <v>677</v>
      </c>
      <c r="F38" s="179" t="str">
        <f>Практики!C306</f>
        <v>P-REQ-TM-0-1</v>
      </c>
      <c r="G38" s="179" t="str">
        <f>Практики!F306</f>
        <v>Не заполнено</v>
      </c>
      <c r="H38" s="180">
        <f>Практики!Q306</f>
        <v>0</v>
      </c>
      <c r="I38" s="182">
        <v>0</v>
      </c>
    </row>
    <row r="39" spans="2:9" x14ac:dyDescent="0.4">
      <c r="B39" s="539"/>
      <c r="C39" s="546">
        <v>2</v>
      </c>
      <c r="D39" s="548" t="s">
        <v>2192</v>
      </c>
      <c r="E39" s="539" t="s">
        <v>758</v>
      </c>
      <c r="F39" s="133" t="str">
        <f>Практики!C314</f>
        <v>P-REQ-TM-3-2</v>
      </c>
      <c r="G39" s="133" t="str">
        <f>Практики!F314</f>
        <v>Не заполнено</v>
      </c>
      <c r="H39" s="143">
        <f>Практики!Q314</f>
        <v>0</v>
      </c>
      <c r="I39" s="539">
        <v>0</v>
      </c>
    </row>
    <row r="40" spans="2:9" x14ac:dyDescent="0.4">
      <c r="B40" s="539"/>
      <c r="C40" s="546"/>
      <c r="D40" s="548"/>
      <c r="E40" s="539"/>
      <c r="F40" s="133" t="str">
        <f>Практики!C323</f>
        <v>P-REQ-RD-3-1</v>
      </c>
      <c r="G40" s="133" t="str">
        <f>Практики!F323</f>
        <v>Не заполнено</v>
      </c>
      <c r="H40" s="143">
        <f>Практики!Q323</f>
        <v>0</v>
      </c>
      <c r="I40" s="539"/>
    </row>
    <row r="41" spans="2:9" ht="17.399999999999999" thickBot="1" x14ac:dyDescent="0.45">
      <c r="B41" s="540"/>
      <c r="C41" s="183">
        <v>3</v>
      </c>
      <c r="D41" s="184" t="s">
        <v>2193</v>
      </c>
      <c r="E41" s="191" t="s">
        <v>1819</v>
      </c>
      <c r="F41" s="186" t="str">
        <f>Практики!C315</f>
        <v>P-REQ-TM-3-3</v>
      </c>
      <c r="G41" s="186" t="str">
        <f>Практики!F315</f>
        <v>Не заполнено</v>
      </c>
      <c r="H41" s="187">
        <f>Практики!Q315</f>
        <v>0</v>
      </c>
      <c r="I41" s="182">
        <v>0</v>
      </c>
    </row>
    <row r="42" spans="2:9" ht="17.399999999999999" thickBot="1" x14ac:dyDescent="0.45">
      <c r="B42" s="542" t="s">
        <v>2194</v>
      </c>
      <c r="C42" s="543"/>
      <c r="D42" s="543"/>
      <c r="E42" s="543"/>
      <c r="F42" s="543"/>
      <c r="G42" s="543"/>
      <c r="H42" s="544"/>
      <c r="I42" s="182"/>
    </row>
    <row r="43" spans="2:9" x14ac:dyDescent="0.4">
      <c r="B43" s="541" t="s">
        <v>2195</v>
      </c>
      <c r="C43" s="176">
        <v>1</v>
      </c>
      <c r="D43" s="177" t="s">
        <v>2196</v>
      </c>
      <c r="E43" s="178" t="s">
        <v>338</v>
      </c>
      <c r="F43" s="179" t="str">
        <f>Практики!C317</f>
        <v>P-REQ-RD-0-1</v>
      </c>
      <c r="G43" s="179" t="str">
        <f>Практики!F317</f>
        <v>Не заполнено</v>
      </c>
      <c r="H43" s="180">
        <f>Практики!Q317</f>
        <v>0</v>
      </c>
      <c r="I43" s="182">
        <v>0</v>
      </c>
    </row>
    <row r="44" spans="2:9" x14ac:dyDescent="0.4">
      <c r="B44" s="539"/>
      <c r="C44" s="546">
        <v>2</v>
      </c>
      <c r="D44" s="548" t="s">
        <v>2197</v>
      </c>
      <c r="E44" s="539" t="s">
        <v>759</v>
      </c>
      <c r="F44" s="133" t="str">
        <f>Практики!C318</f>
        <v>P-REQ-RD-1-1</v>
      </c>
      <c r="G44" s="133" t="str">
        <f>Практики!F318</f>
        <v>Не заполнено</v>
      </c>
      <c r="H44" s="143">
        <f>Практики!Q318</f>
        <v>0</v>
      </c>
      <c r="I44" s="539">
        <v>0</v>
      </c>
    </row>
    <row r="45" spans="2:9" x14ac:dyDescent="0.4">
      <c r="B45" s="539"/>
      <c r="C45" s="546"/>
      <c r="D45" s="548"/>
      <c r="E45" s="539"/>
      <c r="F45" s="133" t="str">
        <f>Практики!C319</f>
        <v>P-REQ-RD-1-2</v>
      </c>
      <c r="G45" s="133" t="str">
        <f>Практики!F319</f>
        <v>Не заполнено</v>
      </c>
      <c r="H45" s="143">
        <f>Практики!Q319</f>
        <v>0</v>
      </c>
      <c r="I45" s="539"/>
    </row>
    <row r="46" spans="2:9" x14ac:dyDescent="0.4">
      <c r="B46" s="539"/>
      <c r="C46" s="546"/>
      <c r="D46" s="548"/>
      <c r="E46" s="539"/>
      <c r="F46" s="133" t="str">
        <f>Практики!C321</f>
        <v>P-REQ-RD-2-2</v>
      </c>
      <c r="G46" s="133" t="str">
        <f>Практики!F321</f>
        <v>Не заполнено</v>
      </c>
      <c r="H46" s="143">
        <f>Практики!Q321</f>
        <v>0</v>
      </c>
      <c r="I46" s="539"/>
    </row>
    <row r="47" spans="2:9" x14ac:dyDescent="0.4">
      <c r="B47" s="539"/>
      <c r="C47" s="546"/>
      <c r="D47" s="548"/>
      <c r="E47" s="539"/>
      <c r="F47" s="133" t="str">
        <f>Практики!C327</f>
        <v>P-REQ-CR-0-1</v>
      </c>
      <c r="G47" s="133" t="str">
        <f>Практики!F327</f>
        <v>Не заполнено</v>
      </c>
      <c r="H47" s="143">
        <f>Практики!Q327</f>
        <v>0</v>
      </c>
      <c r="I47" s="539"/>
    </row>
    <row r="48" spans="2:9" ht="17.399999999999999" thickBot="1" x14ac:dyDescent="0.45">
      <c r="B48" s="540"/>
      <c r="C48" s="183">
        <v>3</v>
      </c>
      <c r="D48" s="184" t="s">
        <v>2198</v>
      </c>
      <c r="E48" s="185" t="s">
        <v>760</v>
      </c>
      <c r="F48" s="192"/>
      <c r="G48" s="192"/>
      <c r="H48" s="187"/>
      <c r="I48" s="182"/>
    </row>
    <row r="49" spans="2:9" x14ac:dyDescent="0.4">
      <c r="B49" s="541" t="s">
        <v>2199</v>
      </c>
      <c r="C49" s="176">
        <v>1</v>
      </c>
      <c r="D49" s="177" t="s">
        <v>2200</v>
      </c>
      <c r="E49" s="178" t="s">
        <v>761</v>
      </c>
      <c r="F49" s="189"/>
      <c r="G49" s="189"/>
      <c r="H49" s="180"/>
      <c r="I49" s="182"/>
    </row>
    <row r="50" spans="2:9" x14ac:dyDescent="0.4">
      <c r="B50" s="539"/>
      <c r="C50" s="181">
        <v>2</v>
      </c>
      <c r="D50" s="134" t="s">
        <v>2201</v>
      </c>
      <c r="E50" s="182" t="s">
        <v>762</v>
      </c>
      <c r="F50" s="190"/>
      <c r="G50" s="190"/>
      <c r="H50" s="143"/>
      <c r="I50" s="182"/>
    </row>
    <row r="51" spans="2:9" ht="17.399999999999999" thickBot="1" x14ac:dyDescent="0.45">
      <c r="B51" s="540"/>
      <c r="C51" s="183">
        <v>3</v>
      </c>
      <c r="D51" s="184" t="s">
        <v>2202</v>
      </c>
      <c r="E51" s="191" t="s">
        <v>763</v>
      </c>
      <c r="F51" s="192"/>
      <c r="G51" s="192"/>
      <c r="H51" s="187"/>
      <c r="I51" s="182"/>
    </row>
    <row r="52" spans="2:9" ht="17.399999999999999" thickBot="1" x14ac:dyDescent="0.45">
      <c r="B52" s="542" t="s">
        <v>2203</v>
      </c>
      <c r="C52" s="543"/>
      <c r="D52" s="543"/>
      <c r="E52" s="543"/>
      <c r="F52" s="543"/>
      <c r="G52" s="543"/>
      <c r="H52" s="544"/>
      <c r="I52" s="182"/>
    </row>
    <row r="53" spans="2:9" x14ac:dyDescent="0.4">
      <c r="B53" s="541" t="s">
        <v>2204</v>
      </c>
      <c r="C53" s="176">
        <v>1</v>
      </c>
      <c r="D53" s="177" t="s">
        <v>2205</v>
      </c>
      <c r="E53" s="178" t="s">
        <v>562</v>
      </c>
      <c r="F53" s="179" t="str">
        <f>Практики!C66</f>
        <v>T-DEV-SCM-2-5</v>
      </c>
      <c r="G53" s="179" t="str">
        <f>Практики!F66</f>
        <v>Не заполнено</v>
      </c>
      <c r="H53" s="180">
        <f>Практики!Q66</f>
        <v>0</v>
      </c>
      <c r="I53" s="182">
        <v>0</v>
      </c>
    </row>
    <row r="54" spans="2:9" x14ac:dyDescent="0.4">
      <c r="B54" s="539"/>
      <c r="C54" s="181">
        <v>2</v>
      </c>
      <c r="D54" s="134" t="s">
        <v>2206</v>
      </c>
      <c r="E54" s="182" t="s">
        <v>764</v>
      </c>
      <c r="F54" s="190"/>
      <c r="G54" s="190"/>
      <c r="H54" s="143"/>
      <c r="I54" s="182"/>
    </row>
    <row r="55" spans="2:9" ht="17.399999999999999" thickBot="1" x14ac:dyDescent="0.45">
      <c r="B55" s="540"/>
      <c r="C55" s="183">
        <v>3</v>
      </c>
      <c r="D55" s="184" t="s">
        <v>2207</v>
      </c>
      <c r="E55" s="185" t="s">
        <v>765</v>
      </c>
      <c r="F55" s="186" t="str">
        <f>Практики!C325</f>
        <v>P-REQ-RD-3-3</v>
      </c>
      <c r="G55" s="186" t="str">
        <f>Практики!F325</f>
        <v>Не заполнено</v>
      </c>
      <c r="H55" s="187">
        <f>Практики!Q325</f>
        <v>0</v>
      </c>
      <c r="I55" s="182">
        <v>0</v>
      </c>
    </row>
    <row r="56" spans="2:9" x14ac:dyDescent="0.4">
      <c r="B56" s="541" t="s">
        <v>2208</v>
      </c>
      <c r="C56" s="176">
        <v>1</v>
      </c>
      <c r="D56" s="177" t="s">
        <v>2209</v>
      </c>
      <c r="E56" s="178" t="s">
        <v>766</v>
      </c>
      <c r="F56" s="179" t="str">
        <f>Практики!C8</f>
        <v>T-ADI-DEP-1-5</v>
      </c>
      <c r="G56" s="179" t="str">
        <f>Практики!F8</f>
        <v>Не заполнено</v>
      </c>
      <c r="H56" s="180">
        <f>Практики!Q8</f>
        <v>0</v>
      </c>
      <c r="I56" s="182">
        <v>0</v>
      </c>
    </row>
    <row r="57" spans="2:9" x14ac:dyDescent="0.4">
      <c r="B57" s="539"/>
      <c r="C57" s="181">
        <v>2</v>
      </c>
      <c r="D57" s="134" t="s">
        <v>2210</v>
      </c>
      <c r="E57" s="182" t="s">
        <v>767</v>
      </c>
      <c r="F57" s="133" t="str">
        <f>Практики!C16</f>
        <v>T-ADI-ART-0-1</v>
      </c>
      <c r="G57" s="133" t="str">
        <f>Практики!F16</f>
        <v>Не заполнено</v>
      </c>
      <c r="H57" s="143">
        <f>Практики!Q16</f>
        <v>0</v>
      </c>
      <c r="I57" s="182">
        <v>0</v>
      </c>
    </row>
    <row r="58" spans="2:9" ht="17.399999999999999" thickBot="1" x14ac:dyDescent="0.45">
      <c r="B58" s="540"/>
      <c r="C58" s="183">
        <v>3</v>
      </c>
      <c r="D58" s="184" t="s">
        <v>2211</v>
      </c>
      <c r="E58" s="191" t="s">
        <v>768</v>
      </c>
      <c r="F58" s="192"/>
      <c r="G58" s="192"/>
      <c r="H58" s="187"/>
      <c r="I58" s="182"/>
    </row>
    <row r="59" spans="2:9" ht="19.8" thickBot="1" x14ac:dyDescent="0.45">
      <c r="B59" s="562" t="s">
        <v>1313</v>
      </c>
      <c r="C59" s="563"/>
      <c r="D59" s="563"/>
      <c r="E59" s="563"/>
      <c r="F59" s="563"/>
      <c r="G59" s="563"/>
      <c r="H59" s="564"/>
      <c r="I59" s="182"/>
    </row>
    <row r="60" spans="2:9" ht="17.399999999999999" thickBot="1" x14ac:dyDescent="0.45">
      <c r="B60" s="565" t="s">
        <v>1318</v>
      </c>
      <c r="C60" s="566"/>
      <c r="D60" s="566"/>
      <c r="E60" s="566"/>
      <c r="F60" s="566"/>
      <c r="G60" s="566"/>
      <c r="H60" s="567"/>
      <c r="I60" s="182"/>
    </row>
    <row r="61" spans="2:9" x14ac:dyDescent="0.4">
      <c r="B61" s="539"/>
      <c r="C61" s="546">
        <v>1</v>
      </c>
      <c r="D61" s="548" t="s">
        <v>3132</v>
      </c>
      <c r="E61" s="539" t="s">
        <v>1805</v>
      </c>
      <c r="F61" s="133" t="str">
        <f>Практики!C44</f>
        <v>T-DEV-BLD-0-1</v>
      </c>
      <c r="G61" s="133" t="str">
        <f>Практики!F44</f>
        <v>Не заполнено</v>
      </c>
      <c r="H61" s="143">
        <f>Практики!Q44</f>
        <v>0</v>
      </c>
      <c r="I61" s="539">
        <v>0</v>
      </c>
    </row>
    <row r="62" spans="2:9" x14ac:dyDescent="0.4">
      <c r="B62" s="539"/>
      <c r="C62" s="546"/>
      <c r="D62" s="548"/>
      <c r="E62" s="539"/>
      <c r="F62" s="133" t="str">
        <f>Практики!C51</f>
        <v>T-DEV-BLD-3-2</v>
      </c>
      <c r="G62" s="133" t="str">
        <f>Практики!F51</f>
        <v>Не заполнено</v>
      </c>
      <c r="H62" s="143">
        <f>Практики!Q51</f>
        <v>0</v>
      </c>
      <c r="I62" s="539"/>
    </row>
    <row r="63" spans="2:9" x14ac:dyDescent="0.4">
      <c r="B63" s="539"/>
      <c r="C63" s="546"/>
      <c r="D63" s="548"/>
      <c r="E63" s="539"/>
      <c r="F63" s="133" t="str">
        <f>Практики!C94</f>
        <v>T-DEV-CICD-0-1</v>
      </c>
      <c r="G63" s="133" t="str">
        <f>Практики!F94</f>
        <v>Не заполнено</v>
      </c>
      <c r="H63" s="143">
        <f>Практики!Q94</f>
        <v>0</v>
      </c>
      <c r="I63" s="539"/>
    </row>
    <row r="64" spans="2:9" x14ac:dyDescent="0.4">
      <c r="B64" s="539"/>
      <c r="C64" s="546"/>
      <c r="D64" s="548"/>
      <c r="E64" s="539"/>
      <c r="F64" s="133" t="str">
        <f>Практики!C136</f>
        <v>T-CODE-SC-2-3</v>
      </c>
      <c r="G64" s="133" t="str">
        <f>Практики!F136</f>
        <v>Не заполнено</v>
      </c>
      <c r="H64" s="143">
        <f>Практики!Q136</f>
        <v>0</v>
      </c>
      <c r="I64" s="539"/>
    </row>
    <row r="65" spans="2:11" x14ac:dyDescent="0.4">
      <c r="B65" s="539"/>
      <c r="C65" s="546">
        <v>2</v>
      </c>
      <c r="D65" s="548" t="s">
        <v>2212</v>
      </c>
      <c r="E65" s="539" t="s">
        <v>1351</v>
      </c>
      <c r="F65" s="133" t="str">
        <f>Практики!C47</f>
        <v>T-DEV-BLD-1-3</v>
      </c>
      <c r="G65" s="133" t="str">
        <f>Практики!F47</f>
        <v>Не заполнено</v>
      </c>
      <c r="H65" s="143">
        <f>Практики!Q47</f>
        <v>0</v>
      </c>
      <c r="I65" s="539">
        <v>0</v>
      </c>
    </row>
    <row r="66" spans="2:11" x14ac:dyDescent="0.4">
      <c r="B66" s="539"/>
      <c r="C66" s="546"/>
      <c r="D66" s="548"/>
      <c r="E66" s="539"/>
      <c r="F66" s="133" t="str">
        <f>Практики!C51</f>
        <v>T-DEV-BLD-3-2</v>
      </c>
      <c r="G66" s="133" t="str">
        <f>Практики!F51</f>
        <v>Не заполнено</v>
      </c>
      <c r="H66" s="143">
        <f>Практики!Q51</f>
        <v>0</v>
      </c>
      <c r="I66" s="539"/>
    </row>
    <row r="67" spans="2:11" x14ac:dyDescent="0.4">
      <c r="B67" s="539"/>
      <c r="C67" s="546">
        <v>3</v>
      </c>
      <c r="D67" s="548" t="s">
        <v>2213</v>
      </c>
      <c r="E67" s="539" t="s">
        <v>1352</v>
      </c>
      <c r="F67" s="133" t="str">
        <f>Практики!C48</f>
        <v>T-DEV-BLD-1-4</v>
      </c>
      <c r="G67" s="133" t="str">
        <f>Практики!F48</f>
        <v>Не заполнено</v>
      </c>
      <c r="H67" s="143">
        <f>Практики!Q48</f>
        <v>0</v>
      </c>
      <c r="I67" s="539">
        <v>0</v>
      </c>
    </row>
    <row r="68" spans="2:11" x14ac:dyDescent="0.4">
      <c r="B68" s="539"/>
      <c r="C68" s="546"/>
      <c r="D68" s="548"/>
      <c r="E68" s="539"/>
      <c r="F68" s="133" t="str">
        <f>Практики!C330</f>
        <v>P-REQ-CR-3-1</v>
      </c>
      <c r="G68" s="133" t="str">
        <f>Практики!F330</f>
        <v>Не заполнено</v>
      </c>
      <c r="H68" s="143">
        <f>Практики!Q330</f>
        <v>0</v>
      </c>
      <c r="I68" s="539"/>
    </row>
    <row r="69" spans="2:11" x14ac:dyDescent="0.4">
      <c r="B69" s="539"/>
      <c r="C69" s="546"/>
      <c r="D69" s="548"/>
      <c r="E69" s="539"/>
      <c r="F69" s="133" t="str">
        <f>Практики!C356</f>
        <v>P-DEFECT-MNG-3-3</v>
      </c>
      <c r="G69" s="133" t="str">
        <f>Практики!F356</f>
        <v>Не заполнено</v>
      </c>
      <c r="H69" s="143">
        <f>Практики!Q356</f>
        <v>0</v>
      </c>
      <c r="I69" s="539"/>
    </row>
    <row r="70" spans="2:11" ht="17.399999999999999" thickBot="1" x14ac:dyDescent="0.45">
      <c r="B70" s="540"/>
      <c r="C70" s="554"/>
      <c r="D70" s="555"/>
      <c r="E70" s="540"/>
      <c r="F70" s="186" t="str">
        <f>Практики!C328</f>
        <v>P-REQ-CR-1-1</v>
      </c>
      <c r="G70" s="186" t="str">
        <f>Практики!F328</f>
        <v>Не заполнено</v>
      </c>
      <c r="H70" s="187">
        <f>Практики!Q328</f>
        <v>0</v>
      </c>
      <c r="I70" s="539"/>
    </row>
    <row r="71" spans="2:11" x14ac:dyDescent="0.4">
      <c r="B71" s="541" t="s">
        <v>2214</v>
      </c>
      <c r="C71" s="545">
        <v>1</v>
      </c>
      <c r="D71" s="547" t="s">
        <v>2215</v>
      </c>
      <c r="E71" s="541" t="s">
        <v>34</v>
      </c>
      <c r="F71" s="179" t="str">
        <f>Практики!C3</f>
        <v>T-ADI-DEP-0-1</v>
      </c>
      <c r="G71" s="179" t="str">
        <f>Практики!F3</f>
        <v>Не заполнено</v>
      </c>
      <c r="H71" s="180">
        <f>Практики!Q3</f>
        <v>0</v>
      </c>
      <c r="I71" s="539">
        <v>0</v>
      </c>
    </row>
    <row r="72" spans="2:11" x14ac:dyDescent="0.4">
      <c r="B72" s="539"/>
      <c r="C72" s="546"/>
      <c r="D72" s="548"/>
      <c r="E72" s="539"/>
      <c r="F72" s="133" t="str">
        <f>Практики!C11</f>
        <v>T-ADI-DEP-3-1</v>
      </c>
      <c r="G72" s="133" t="str">
        <f>Практики!F11</f>
        <v>Не заполнено</v>
      </c>
      <c r="H72" s="143">
        <f>Практики!Q11</f>
        <v>0</v>
      </c>
      <c r="I72" s="539"/>
      <c r="K72" s="193"/>
    </row>
    <row r="73" spans="2:11" x14ac:dyDescent="0.4">
      <c r="B73" s="539"/>
      <c r="C73" s="546">
        <v>2</v>
      </c>
      <c r="D73" s="548" t="s">
        <v>2216</v>
      </c>
      <c r="E73" s="539" t="s">
        <v>17</v>
      </c>
      <c r="F73" s="133" t="str">
        <f>Практики!C4</f>
        <v>T-ADI-DEP-1-1</v>
      </c>
      <c r="G73" s="133" t="str">
        <f>Практики!F4</f>
        <v>Не заполнено</v>
      </c>
      <c r="H73" s="143">
        <f>Практики!Q4</f>
        <v>0</v>
      </c>
      <c r="I73" s="539">
        <v>0</v>
      </c>
    </row>
    <row r="74" spans="2:11" x14ac:dyDescent="0.4">
      <c r="B74" s="539"/>
      <c r="C74" s="546"/>
      <c r="D74" s="548"/>
      <c r="E74" s="539"/>
      <c r="F74" s="133" t="str">
        <f>Практики!C5</f>
        <v>T-ADI-DEP-1-2</v>
      </c>
      <c r="G74" s="133" t="str">
        <f>Практики!F5</f>
        <v>Не заполнено</v>
      </c>
      <c r="H74" s="143">
        <f>Практики!Q5</f>
        <v>0</v>
      </c>
      <c r="I74" s="539"/>
    </row>
    <row r="75" spans="2:11" x14ac:dyDescent="0.4">
      <c r="B75" s="539"/>
      <c r="C75" s="546"/>
      <c r="D75" s="548"/>
      <c r="E75" s="539"/>
      <c r="F75" s="133" t="str">
        <f>Практики!C10</f>
        <v>T-ADI-DEP-2-2</v>
      </c>
      <c r="G75" s="133" t="str">
        <f>Практики!F10</f>
        <v>Не заполнено</v>
      </c>
      <c r="H75" s="143">
        <f>Практики!Q10</f>
        <v>0</v>
      </c>
      <c r="I75" s="539"/>
    </row>
    <row r="76" spans="2:11" x14ac:dyDescent="0.4">
      <c r="B76" s="539"/>
      <c r="C76" s="546"/>
      <c r="D76" s="548"/>
      <c r="E76" s="539"/>
      <c r="F76" s="133" t="str">
        <f>Практики!C138</f>
        <v>T-CODE-SC-2-5</v>
      </c>
      <c r="G76" s="133" t="str">
        <f>Практики!F138</f>
        <v>Не заполнено</v>
      </c>
      <c r="H76" s="143">
        <f>Практики!Q138</f>
        <v>0</v>
      </c>
      <c r="I76" s="539"/>
    </row>
    <row r="77" spans="2:11" ht="17.399999999999999" thickBot="1" x14ac:dyDescent="0.45">
      <c r="B77" s="539"/>
      <c r="C77" s="181">
        <v>3</v>
      </c>
      <c r="D77" s="134" t="s">
        <v>2217</v>
      </c>
      <c r="E77" s="194" t="s">
        <v>1350</v>
      </c>
      <c r="F77" s="133" t="str">
        <f>Практики!C129</f>
        <v>T-CODE-SST-4-1</v>
      </c>
      <c r="G77" s="133" t="str">
        <f>Практики!F129</f>
        <v>Не заполнено</v>
      </c>
      <c r="H77" s="143">
        <f>Практики!Q129</f>
        <v>0</v>
      </c>
      <c r="I77" s="182">
        <v>0</v>
      </c>
    </row>
    <row r="78" spans="2:11" ht="17.399999999999999" thickBot="1" x14ac:dyDescent="0.45">
      <c r="B78" s="565" t="s">
        <v>1320</v>
      </c>
      <c r="C78" s="566"/>
      <c r="D78" s="566"/>
      <c r="E78" s="566"/>
      <c r="F78" s="566"/>
      <c r="G78" s="566"/>
      <c r="H78" s="567"/>
      <c r="I78" s="182"/>
    </row>
    <row r="79" spans="2:11" x14ac:dyDescent="0.4">
      <c r="B79" s="541" t="s">
        <v>2218</v>
      </c>
      <c r="C79" s="176">
        <v>1</v>
      </c>
      <c r="D79" s="177" t="s">
        <v>2219</v>
      </c>
      <c r="E79" s="178" t="s">
        <v>769</v>
      </c>
      <c r="F79" s="189"/>
      <c r="G79" s="189"/>
      <c r="H79" s="180"/>
      <c r="I79" s="182"/>
    </row>
    <row r="80" spans="2:11" x14ac:dyDescent="0.4">
      <c r="B80" s="539"/>
      <c r="C80" s="546">
        <v>2</v>
      </c>
      <c r="D80" s="548" t="s">
        <v>2220</v>
      </c>
      <c r="E80" s="539" t="s">
        <v>770</v>
      </c>
      <c r="F80" s="133" t="str">
        <f>Практики!C330</f>
        <v>P-REQ-CR-3-1</v>
      </c>
      <c r="G80" s="133" t="str">
        <f>Практики!F330</f>
        <v>Не заполнено</v>
      </c>
      <c r="H80" s="143">
        <f>Практики!Q330</f>
        <v>0</v>
      </c>
      <c r="I80" s="539">
        <v>0</v>
      </c>
    </row>
    <row r="81" spans="2:9" x14ac:dyDescent="0.4">
      <c r="B81" s="539"/>
      <c r="C81" s="546"/>
      <c r="D81" s="548"/>
      <c r="E81" s="539"/>
      <c r="F81" s="133" t="str">
        <f>Практики!C353</f>
        <v>P-DEFECT-MNG-2-2</v>
      </c>
      <c r="G81" s="133" t="str">
        <f>Практики!F353</f>
        <v>Не заполнено</v>
      </c>
      <c r="H81" s="143">
        <f>Практики!Q353</f>
        <v>0</v>
      </c>
      <c r="I81" s="539"/>
    </row>
    <row r="82" spans="2:9" ht="17.399999999999999" thickBot="1" x14ac:dyDescent="0.45">
      <c r="B82" s="540"/>
      <c r="C82" s="183">
        <v>3</v>
      </c>
      <c r="D82" s="184" t="s">
        <v>2221</v>
      </c>
      <c r="E82" s="185" t="s">
        <v>771</v>
      </c>
      <c r="F82" s="192"/>
      <c r="G82" s="192"/>
      <c r="H82" s="187"/>
      <c r="I82" s="182"/>
    </row>
    <row r="83" spans="2:9" x14ac:dyDescent="0.4">
      <c r="B83" s="541" t="s">
        <v>1428</v>
      </c>
      <c r="C83" s="545">
        <v>1</v>
      </c>
      <c r="D83" s="547" t="s">
        <v>2222</v>
      </c>
      <c r="E83" s="541" t="s">
        <v>1353</v>
      </c>
      <c r="F83" s="179" t="str">
        <f>Практики!C36</f>
        <v>T-DEV-SM-0-1</v>
      </c>
      <c r="G83" s="179" t="str">
        <f>Практики!F36</f>
        <v>Не заполнено</v>
      </c>
      <c r="H83" s="180">
        <f>Практики!Q36</f>
        <v>0</v>
      </c>
      <c r="I83" s="539">
        <v>0</v>
      </c>
    </row>
    <row r="84" spans="2:9" x14ac:dyDescent="0.4">
      <c r="B84" s="539"/>
      <c r="C84" s="546"/>
      <c r="D84" s="548"/>
      <c r="E84" s="539"/>
      <c r="F84" s="133" t="str">
        <f>Практики!C37</f>
        <v>T-DEV-SM-1-1</v>
      </c>
      <c r="G84" s="133" t="str">
        <f>Практики!F37</f>
        <v>Не заполнено</v>
      </c>
      <c r="H84" s="143">
        <f>Практики!Q37</f>
        <v>0</v>
      </c>
      <c r="I84" s="539"/>
    </row>
    <row r="85" spans="2:9" x14ac:dyDescent="0.4">
      <c r="B85" s="539"/>
      <c r="C85" s="546"/>
      <c r="D85" s="548"/>
      <c r="E85" s="539"/>
      <c r="F85" s="133" t="str">
        <f>Практики!C41</f>
        <v>T-DEV-SM-3-1</v>
      </c>
      <c r="G85" s="133" t="str">
        <f>Практики!F41</f>
        <v>Не заполнено</v>
      </c>
      <c r="H85" s="143">
        <f>Практики!Q41</f>
        <v>0</v>
      </c>
      <c r="I85" s="539"/>
    </row>
    <row r="86" spans="2:9" x14ac:dyDescent="0.4">
      <c r="B86" s="539"/>
      <c r="C86" s="546">
        <v>2</v>
      </c>
      <c r="D86" s="548" t="s">
        <v>2223</v>
      </c>
      <c r="E86" s="539" t="s">
        <v>1362</v>
      </c>
      <c r="F86" s="133" t="str">
        <f>Практики!C39</f>
        <v>T-DEV-SM-2-1</v>
      </c>
      <c r="G86" s="133" t="str">
        <f>Практики!F39</f>
        <v>Не заполнено</v>
      </c>
      <c r="H86" s="143">
        <f>Практики!Q39</f>
        <v>0</v>
      </c>
      <c r="I86" s="539">
        <v>0</v>
      </c>
    </row>
    <row r="87" spans="2:9" x14ac:dyDescent="0.4">
      <c r="B87" s="539"/>
      <c r="C87" s="546"/>
      <c r="D87" s="548"/>
      <c r="E87" s="539"/>
      <c r="F87" s="133" t="str">
        <f>Практики!C40</f>
        <v>T-DEV-SM-2-2</v>
      </c>
      <c r="G87" s="133" t="str">
        <f>Практики!F40</f>
        <v>Не заполнено</v>
      </c>
      <c r="H87" s="143">
        <f>Практики!Q40</f>
        <v>0</v>
      </c>
      <c r="I87" s="539"/>
    </row>
    <row r="88" spans="2:9" x14ac:dyDescent="0.4">
      <c r="B88" s="539"/>
      <c r="C88" s="546"/>
      <c r="D88" s="548"/>
      <c r="E88" s="539"/>
      <c r="F88" s="133" t="str">
        <f>Практики!C130</f>
        <v>T-CODE-SC-0-1</v>
      </c>
      <c r="G88" s="133" t="str">
        <f>Практики!F130</f>
        <v>Не заполнено</v>
      </c>
      <c r="H88" s="143">
        <f>Практики!Q130</f>
        <v>0</v>
      </c>
      <c r="I88" s="539"/>
    </row>
    <row r="89" spans="2:9" x14ac:dyDescent="0.4">
      <c r="B89" s="539"/>
      <c r="C89" s="546"/>
      <c r="D89" s="548"/>
      <c r="E89" s="539"/>
      <c r="F89" s="133" t="str">
        <f>Практики!C165</f>
        <v>T-CODE-SECDN-4-1</v>
      </c>
      <c r="G89" s="133" t="str">
        <f>Практики!F165</f>
        <v>Не заполнено</v>
      </c>
      <c r="H89" s="143">
        <f>Практики!Q165</f>
        <v>0</v>
      </c>
      <c r="I89" s="539"/>
    </row>
    <row r="90" spans="2:9" ht="17.399999999999999" thickBot="1" x14ac:dyDescent="0.45">
      <c r="B90" s="540"/>
      <c r="C90" s="183">
        <v>3</v>
      </c>
      <c r="D90" s="184" t="s">
        <v>2224</v>
      </c>
      <c r="E90" s="191" t="s">
        <v>1354</v>
      </c>
      <c r="F90" s="186" t="str">
        <f>Практики!C42</f>
        <v>T-DEV-SM-3-2</v>
      </c>
      <c r="G90" s="186" t="str">
        <f>Практики!F42</f>
        <v>Не заполнено</v>
      </c>
      <c r="H90" s="187">
        <f>Практики!Q42</f>
        <v>0</v>
      </c>
      <c r="I90" s="182">
        <v>0</v>
      </c>
    </row>
    <row r="91" spans="2:9" ht="17.399999999999999" thickBot="1" x14ac:dyDescent="0.45">
      <c r="B91" s="542" t="s">
        <v>1321</v>
      </c>
      <c r="C91" s="543"/>
      <c r="D91" s="543"/>
      <c r="E91" s="543"/>
      <c r="F91" s="543"/>
      <c r="G91" s="543"/>
      <c r="H91" s="544"/>
      <c r="I91" s="182"/>
    </row>
    <row r="92" spans="2:9" x14ac:dyDescent="0.4">
      <c r="B92" s="541" t="s">
        <v>2225</v>
      </c>
      <c r="C92" s="176">
        <v>1</v>
      </c>
      <c r="D92" s="177" t="s">
        <v>2226</v>
      </c>
      <c r="E92" s="178" t="s">
        <v>2408</v>
      </c>
      <c r="F92" s="189"/>
      <c r="G92" s="189"/>
      <c r="H92" s="180"/>
      <c r="I92" s="182"/>
    </row>
    <row r="93" spans="2:9" x14ac:dyDescent="0.4">
      <c r="B93" s="539"/>
      <c r="C93" s="546">
        <v>2</v>
      </c>
      <c r="D93" s="548" t="s">
        <v>2227</v>
      </c>
      <c r="E93" s="539" t="s">
        <v>1809</v>
      </c>
      <c r="F93" s="133" t="str">
        <f>Практики!C134</f>
        <v>T-CODE-SC-2-1</v>
      </c>
      <c r="G93" s="133" t="str">
        <f>Практики!F134</f>
        <v>Не заполнено</v>
      </c>
      <c r="H93" s="143">
        <f>Практики!Q134</f>
        <v>0</v>
      </c>
      <c r="I93" s="539">
        <v>0</v>
      </c>
    </row>
    <row r="94" spans="2:9" x14ac:dyDescent="0.4">
      <c r="B94" s="539"/>
      <c r="C94" s="546"/>
      <c r="D94" s="548"/>
      <c r="E94" s="539"/>
      <c r="F94" s="133" t="str">
        <f>Практики!C351</f>
        <v>P-DEFECT-MNG-1-1</v>
      </c>
      <c r="G94" s="133" t="str">
        <f>Практики!F351</f>
        <v>Не заполнено</v>
      </c>
      <c r="H94" s="143">
        <f>Практики!Q351</f>
        <v>0</v>
      </c>
      <c r="I94" s="539"/>
    </row>
    <row r="95" spans="2:9" x14ac:dyDescent="0.4">
      <c r="B95" s="539"/>
      <c r="C95" s="546"/>
      <c r="D95" s="548"/>
      <c r="E95" s="539"/>
      <c r="F95" s="133" t="str">
        <f>Практики!C352</f>
        <v>P-DEFECT-MNG-2-1</v>
      </c>
      <c r="G95" s="133" t="str">
        <f>Практики!F352</f>
        <v>Не заполнено</v>
      </c>
      <c r="H95" s="143">
        <f>Практики!Q352</f>
        <v>0</v>
      </c>
      <c r="I95" s="539"/>
    </row>
    <row r="96" spans="2:9" x14ac:dyDescent="0.4">
      <c r="B96" s="539"/>
      <c r="C96" s="546"/>
      <c r="D96" s="548"/>
      <c r="E96" s="539"/>
      <c r="F96" s="133" t="str">
        <f>Практики!C354</f>
        <v>P-DEFECT-MNG-3-1</v>
      </c>
      <c r="G96" s="133" t="str">
        <f>Практики!F354</f>
        <v>Не заполнено</v>
      </c>
      <c r="H96" s="143">
        <f>Практики!Q354</f>
        <v>0</v>
      </c>
      <c r="I96" s="539"/>
    </row>
    <row r="97" spans="2:9" x14ac:dyDescent="0.4">
      <c r="B97" s="539"/>
      <c r="C97" s="546"/>
      <c r="D97" s="548"/>
      <c r="E97" s="539"/>
      <c r="F97" s="133" t="str">
        <f>Практики!C357</f>
        <v>P-DEFECT-MNG-4-1</v>
      </c>
      <c r="G97" s="133" t="str">
        <f>Практики!F357</f>
        <v>Не заполнено</v>
      </c>
      <c r="H97" s="143">
        <f>Практики!Q357</f>
        <v>0</v>
      </c>
      <c r="I97" s="539"/>
    </row>
    <row r="98" spans="2:9" x14ac:dyDescent="0.4">
      <c r="B98" s="539"/>
      <c r="C98" s="546"/>
      <c r="D98" s="548"/>
      <c r="E98" s="539"/>
      <c r="F98" s="133" t="str">
        <f>Практики!C358</f>
        <v>P-DEFECT-CNS-0-1</v>
      </c>
      <c r="G98" s="133" t="str">
        <f>Практики!F358</f>
        <v>Не заполнено</v>
      </c>
      <c r="H98" s="143">
        <f>Практики!Q358</f>
        <v>0</v>
      </c>
      <c r="I98" s="539"/>
    </row>
    <row r="99" spans="2:9" ht="17.399999999999999" thickBot="1" x14ac:dyDescent="0.45">
      <c r="B99" s="540"/>
      <c r="C99" s="183">
        <v>3</v>
      </c>
      <c r="D99" s="184" t="s">
        <v>2228</v>
      </c>
      <c r="E99" s="185" t="s">
        <v>1825</v>
      </c>
      <c r="F99" s="186" t="str">
        <f>Практики!C355</f>
        <v>P-DEFECT-MNG-3-2</v>
      </c>
      <c r="G99" s="186" t="str">
        <f>Практики!F355</f>
        <v>Не заполнено</v>
      </c>
      <c r="H99" s="187">
        <f>Практики!Q355</f>
        <v>0</v>
      </c>
      <c r="I99" s="182">
        <v>0</v>
      </c>
    </row>
    <row r="100" spans="2:9" x14ac:dyDescent="0.4">
      <c r="B100" s="541" t="s">
        <v>2229</v>
      </c>
      <c r="C100" s="176">
        <v>1</v>
      </c>
      <c r="D100" s="177" t="s">
        <v>2230</v>
      </c>
      <c r="E100" s="178" t="s">
        <v>2409</v>
      </c>
      <c r="F100" s="189"/>
      <c r="G100" s="189"/>
      <c r="H100" s="180"/>
      <c r="I100" s="182"/>
    </row>
    <row r="101" spans="2:9" x14ac:dyDescent="0.4">
      <c r="B101" s="539"/>
      <c r="C101" s="181">
        <v>2</v>
      </c>
      <c r="D101" s="134" t="s">
        <v>2231</v>
      </c>
      <c r="E101" s="182" t="s">
        <v>2410</v>
      </c>
      <c r="F101" s="190"/>
      <c r="G101" s="190"/>
      <c r="H101" s="143"/>
      <c r="I101" s="182"/>
    </row>
    <row r="102" spans="2:9" ht="34.200000000000003" thickBot="1" x14ac:dyDescent="0.45">
      <c r="B102" s="540"/>
      <c r="C102" s="183">
        <v>3</v>
      </c>
      <c r="D102" s="184" t="s">
        <v>2232</v>
      </c>
      <c r="E102" s="191" t="s">
        <v>2411</v>
      </c>
      <c r="F102" s="192"/>
      <c r="G102" s="192"/>
      <c r="H102" s="187"/>
      <c r="I102" s="182"/>
    </row>
    <row r="103" spans="2:9" ht="19.2" x14ac:dyDescent="0.4">
      <c r="B103" s="559" t="s">
        <v>1314</v>
      </c>
      <c r="C103" s="560"/>
      <c r="D103" s="560"/>
      <c r="E103" s="560"/>
      <c r="F103" s="560"/>
      <c r="G103" s="560"/>
      <c r="H103" s="561"/>
      <c r="I103" s="182"/>
    </row>
    <row r="104" spans="2:9" ht="17.399999999999999" thickBot="1" x14ac:dyDescent="0.45">
      <c r="B104" s="542" t="s">
        <v>2233</v>
      </c>
      <c r="C104" s="543"/>
      <c r="D104" s="543"/>
      <c r="E104" s="543"/>
      <c r="F104" s="543"/>
      <c r="G104" s="543"/>
      <c r="H104" s="544"/>
      <c r="I104" s="182"/>
    </row>
    <row r="105" spans="2:9" x14ac:dyDescent="0.4">
      <c r="B105" s="541" t="s">
        <v>2234</v>
      </c>
      <c r="C105" s="176">
        <v>1</v>
      </c>
      <c r="D105" s="177" t="s">
        <v>2235</v>
      </c>
      <c r="E105" s="178" t="s">
        <v>1823</v>
      </c>
      <c r="F105" s="179" t="str">
        <f>Практики!C331</f>
        <v>P-REQ-CR-4-1</v>
      </c>
      <c r="G105" s="179" t="str">
        <f>Практики!F331</f>
        <v>Не заполнено</v>
      </c>
      <c r="H105" s="180">
        <f>Практики!Q331</f>
        <v>0</v>
      </c>
      <c r="I105" s="182">
        <v>0</v>
      </c>
    </row>
    <row r="106" spans="2:9" x14ac:dyDescent="0.4">
      <c r="B106" s="539"/>
      <c r="C106" s="181">
        <v>2</v>
      </c>
      <c r="D106" s="134" t="s">
        <v>2236</v>
      </c>
      <c r="E106" s="182" t="s">
        <v>2412</v>
      </c>
      <c r="F106" s="190"/>
      <c r="G106" s="190"/>
      <c r="H106" s="143"/>
      <c r="I106" s="182"/>
    </row>
    <row r="107" spans="2:9" ht="34.200000000000003" thickBot="1" x14ac:dyDescent="0.45">
      <c r="B107" s="540"/>
      <c r="C107" s="183">
        <v>3</v>
      </c>
      <c r="D107" s="184" t="s">
        <v>2237</v>
      </c>
      <c r="E107" s="191" t="s">
        <v>2413</v>
      </c>
      <c r="F107" s="192"/>
      <c r="G107" s="192"/>
      <c r="H107" s="187"/>
      <c r="I107" s="182"/>
    </row>
    <row r="108" spans="2:9" x14ac:dyDescent="0.4">
      <c r="B108" s="541" t="s">
        <v>2238</v>
      </c>
      <c r="C108" s="176">
        <v>1</v>
      </c>
      <c r="D108" s="177" t="s">
        <v>2239</v>
      </c>
      <c r="E108" s="178" t="s">
        <v>2414</v>
      </c>
      <c r="F108" s="189"/>
      <c r="G108" s="189"/>
      <c r="H108" s="180"/>
      <c r="I108" s="182"/>
    </row>
    <row r="109" spans="2:9" x14ac:dyDescent="0.4">
      <c r="B109" s="539"/>
      <c r="C109" s="181">
        <v>2</v>
      </c>
      <c r="D109" s="134" t="s">
        <v>2240</v>
      </c>
      <c r="E109" s="182" t="s">
        <v>2415</v>
      </c>
      <c r="F109" s="190"/>
      <c r="G109" s="190"/>
      <c r="H109" s="143"/>
      <c r="I109" s="182"/>
    </row>
    <row r="110" spans="2:9" ht="17.399999999999999" thickBot="1" x14ac:dyDescent="0.45">
      <c r="B110" s="540"/>
      <c r="C110" s="183">
        <v>3</v>
      </c>
      <c r="D110" s="184" t="s">
        <v>2241</v>
      </c>
      <c r="E110" s="191" t="s">
        <v>2416</v>
      </c>
      <c r="F110" s="192"/>
      <c r="G110" s="192"/>
      <c r="H110" s="187"/>
      <c r="I110" s="182"/>
    </row>
    <row r="111" spans="2:9" ht="17.399999999999999" thickBot="1" x14ac:dyDescent="0.45">
      <c r="B111" s="542" t="s">
        <v>2242</v>
      </c>
      <c r="C111" s="543"/>
      <c r="D111" s="543"/>
      <c r="E111" s="543"/>
      <c r="F111" s="543"/>
      <c r="G111" s="543"/>
      <c r="H111" s="544"/>
      <c r="I111" s="182"/>
    </row>
    <row r="112" spans="2:9" x14ac:dyDescent="0.4">
      <c r="B112" s="541" t="s">
        <v>2243</v>
      </c>
      <c r="C112" s="545">
        <v>1</v>
      </c>
      <c r="D112" s="547" t="s">
        <v>2244</v>
      </c>
      <c r="E112" s="541" t="s">
        <v>1365</v>
      </c>
      <c r="F112" s="179" t="str">
        <f>Практики!C193</f>
        <v>T-PREPROD-SECTEST-1-1</v>
      </c>
      <c r="G112" s="179" t="str">
        <f>Практики!F193</f>
        <v>Не заполнено</v>
      </c>
      <c r="H112" s="180">
        <f>Практики!Q193</f>
        <v>0</v>
      </c>
      <c r="I112" s="539">
        <v>0</v>
      </c>
    </row>
    <row r="113" spans="2:9" x14ac:dyDescent="0.4">
      <c r="B113" s="539"/>
      <c r="C113" s="546"/>
      <c r="D113" s="548"/>
      <c r="E113" s="539"/>
      <c r="F113" s="133" t="str">
        <f>Практики!C195</f>
        <v>T-PREPROD-SECTEST-2-2</v>
      </c>
      <c r="G113" s="133" t="str">
        <f>Практики!F195</f>
        <v>Не заполнено</v>
      </c>
      <c r="H113" s="143">
        <f>Практики!Q195</f>
        <v>0</v>
      </c>
      <c r="I113" s="539"/>
    </row>
    <row r="114" spans="2:9" x14ac:dyDescent="0.4">
      <c r="B114" s="539"/>
      <c r="C114" s="181">
        <v>2</v>
      </c>
      <c r="D114" s="134" t="s">
        <v>2245</v>
      </c>
      <c r="E114" s="182" t="s">
        <v>2426</v>
      </c>
      <c r="F114" s="190"/>
      <c r="G114" s="190"/>
      <c r="H114" s="143"/>
      <c r="I114" s="182"/>
    </row>
    <row r="115" spans="2:9" x14ac:dyDescent="0.4">
      <c r="B115" s="539"/>
      <c r="C115" s="546">
        <v>3</v>
      </c>
      <c r="D115" s="548" t="s">
        <v>2246</v>
      </c>
      <c r="E115" s="539" t="s">
        <v>1808</v>
      </c>
      <c r="F115" s="133" t="str">
        <f>Практики!C75</f>
        <v>T-DEV-SRC-0-1</v>
      </c>
      <c r="G115" s="133" t="str">
        <f>Практики!F75</f>
        <v>Не заполнено</v>
      </c>
      <c r="H115" s="143">
        <f>Практики!Q75</f>
        <v>0</v>
      </c>
      <c r="I115" s="539">
        <v>0</v>
      </c>
    </row>
    <row r="116" spans="2:9" ht="17.399999999999999" thickBot="1" x14ac:dyDescent="0.45">
      <c r="B116" s="539"/>
      <c r="C116" s="546"/>
      <c r="D116" s="548"/>
      <c r="E116" s="540"/>
      <c r="F116" s="133" t="str">
        <f>Практики!C196</f>
        <v>T-PREPROD-SECTEST-3-1</v>
      </c>
      <c r="G116" s="133" t="str">
        <f>Практики!F196</f>
        <v>Не заполнено</v>
      </c>
      <c r="H116" s="143">
        <f>Практики!Q196</f>
        <v>0</v>
      </c>
      <c r="I116" s="539"/>
    </row>
    <row r="117" spans="2:9" x14ac:dyDescent="0.4">
      <c r="B117" s="541" t="s">
        <v>2247</v>
      </c>
      <c r="C117" s="176">
        <v>1</v>
      </c>
      <c r="D117" s="177" t="s">
        <v>2248</v>
      </c>
      <c r="E117" s="178" t="s">
        <v>2427</v>
      </c>
      <c r="F117" s="189"/>
      <c r="G117" s="189"/>
      <c r="H117" s="180"/>
      <c r="I117" s="182"/>
    </row>
    <row r="118" spans="2:9" x14ac:dyDescent="0.4">
      <c r="B118" s="539"/>
      <c r="C118" s="546">
        <v>2</v>
      </c>
      <c r="D118" s="548" t="s">
        <v>2249</v>
      </c>
      <c r="E118" s="539" t="s">
        <v>1366</v>
      </c>
      <c r="F118" s="133" t="str">
        <f>Практики!C181</f>
        <v>T-PREPROD-DAST-3-3</v>
      </c>
      <c r="G118" s="133" t="str">
        <f>Практики!F181</f>
        <v>Не заполнено</v>
      </c>
      <c r="H118" s="143">
        <f>Практики!Q181</f>
        <v>0</v>
      </c>
      <c r="I118" s="539">
        <v>0</v>
      </c>
    </row>
    <row r="119" spans="2:9" x14ac:dyDescent="0.4">
      <c r="B119" s="539"/>
      <c r="C119" s="546"/>
      <c r="D119" s="548"/>
      <c r="E119" s="539"/>
      <c r="F119" s="133" t="str">
        <f>Практики!C316</f>
        <v>P-REQ-TM-4-1</v>
      </c>
      <c r="G119" s="133" t="str">
        <f>Практики!F316</f>
        <v>Не заполнено</v>
      </c>
      <c r="H119" s="143">
        <f>Практики!Q316</f>
        <v>0</v>
      </c>
      <c r="I119" s="539"/>
    </row>
    <row r="120" spans="2:9" x14ac:dyDescent="0.4">
      <c r="B120" s="539"/>
      <c r="C120" s="546"/>
      <c r="D120" s="548"/>
      <c r="E120" s="539"/>
      <c r="F120" s="133" t="str">
        <f>Практики!C329</f>
        <v>P-REQ-CR-2-1</v>
      </c>
      <c r="G120" s="133" t="str">
        <f>Практики!F329</f>
        <v>Не заполнено</v>
      </c>
      <c r="H120" s="143">
        <f>Практики!Q329</f>
        <v>0</v>
      </c>
      <c r="I120" s="539"/>
    </row>
    <row r="121" spans="2:9" ht="17.399999999999999" thickBot="1" x14ac:dyDescent="0.45">
      <c r="B121" s="540"/>
      <c r="C121" s="183">
        <v>3</v>
      </c>
      <c r="D121" s="184" t="s">
        <v>2250</v>
      </c>
      <c r="E121" s="191" t="s">
        <v>2428</v>
      </c>
      <c r="F121" s="192"/>
      <c r="G121" s="192"/>
      <c r="H121" s="187"/>
      <c r="I121" s="182"/>
    </row>
    <row r="122" spans="2:9" ht="17.399999999999999" thickBot="1" x14ac:dyDescent="0.45">
      <c r="B122" s="542" t="s">
        <v>1322</v>
      </c>
      <c r="C122" s="543"/>
      <c r="D122" s="543"/>
      <c r="E122" s="543"/>
      <c r="F122" s="543"/>
      <c r="G122" s="543"/>
      <c r="H122" s="544"/>
      <c r="I122" s="182"/>
    </row>
    <row r="123" spans="2:9" x14ac:dyDescent="0.4">
      <c r="B123" s="541" t="s">
        <v>2251</v>
      </c>
      <c r="C123" s="545">
        <v>1</v>
      </c>
      <c r="D123" s="547" t="s">
        <v>2252</v>
      </c>
      <c r="E123" s="541" t="s">
        <v>1356</v>
      </c>
      <c r="F123" s="179" t="str">
        <f>Практики!C119</f>
        <v>T-CODE-SST-0-1</v>
      </c>
      <c r="G123" s="179" t="str">
        <f>Практики!F119</f>
        <v>Не заполнено</v>
      </c>
      <c r="H123" s="180">
        <f>Практики!Q119</f>
        <v>0</v>
      </c>
      <c r="I123" s="539">
        <v>0</v>
      </c>
    </row>
    <row r="124" spans="2:9" x14ac:dyDescent="0.4">
      <c r="B124" s="539"/>
      <c r="C124" s="546"/>
      <c r="D124" s="548"/>
      <c r="E124" s="539"/>
      <c r="F124" s="133" t="str">
        <f>Практики!C120</f>
        <v>T-CODE-SST-1-1</v>
      </c>
      <c r="G124" s="133" t="str">
        <f>Практики!F120</f>
        <v>Не заполнено</v>
      </c>
      <c r="H124" s="143">
        <f>Практики!Q120</f>
        <v>0</v>
      </c>
      <c r="I124" s="539"/>
    </row>
    <row r="125" spans="2:9" x14ac:dyDescent="0.4">
      <c r="B125" s="539"/>
      <c r="C125" s="546"/>
      <c r="D125" s="548"/>
      <c r="E125" s="539"/>
      <c r="F125" s="133" t="str">
        <f>Практики!C121</f>
        <v>T-CODE-SST-1-2</v>
      </c>
      <c r="G125" s="133" t="str">
        <f>Практики!F121</f>
        <v>Не заполнено</v>
      </c>
      <c r="H125" s="143">
        <f>Практики!Q121</f>
        <v>0</v>
      </c>
      <c r="I125" s="539"/>
    </row>
    <row r="126" spans="2:9" x14ac:dyDescent="0.4">
      <c r="B126" s="539"/>
      <c r="C126" s="546"/>
      <c r="D126" s="548"/>
      <c r="E126" s="539"/>
      <c r="F126" s="133" t="str">
        <f>Практики!C126</f>
        <v>T-CODE-SST-3-1</v>
      </c>
      <c r="G126" s="133" t="str">
        <f>Практики!F126</f>
        <v>Не заполнено</v>
      </c>
      <c r="H126" s="143">
        <f>Практики!Q126</f>
        <v>0</v>
      </c>
      <c r="I126" s="539"/>
    </row>
    <row r="127" spans="2:9" x14ac:dyDescent="0.4">
      <c r="B127" s="539"/>
      <c r="C127" s="546"/>
      <c r="D127" s="548"/>
      <c r="E127" s="539"/>
      <c r="F127" s="133" t="str">
        <f>Практики!C172</f>
        <v>T-PREPROD-DAST-0-1</v>
      </c>
      <c r="G127" s="133" t="str">
        <f>Практики!F172</f>
        <v>Не заполнено</v>
      </c>
      <c r="H127" s="143">
        <f>Практики!Q172</f>
        <v>0</v>
      </c>
      <c r="I127" s="539"/>
    </row>
    <row r="128" spans="2:9" x14ac:dyDescent="0.4">
      <c r="B128" s="539"/>
      <c r="C128" s="546"/>
      <c r="D128" s="548"/>
      <c r="E128" s="539"/>
      <c r="F128" s="133" t="str">
        <f>Практики!C173</f>
        <v>T-PREPROD-DAST-1-1</v>
      </c>
      <c r="G128" s="133" t="str">
        <f>Практики!F173</f>
        <v>Не заполнено</v>
      </c>
      <c r="H128" s="143">
        <f>Практики!Q173</f>
        <v>0</v>
      </c>
      <c r="I128" s="539"/>
    </row>
    <row r="129" spans="2:9" x14ac:dyDescent="0.4">
      <c r="B129" s="539"/>
      <c r="C129" s="546"/>
      <c r="D129" s="548"/>
      <c r="E129" s="539"/>
      <c r="F129" s="133" t="str">
        <f>Практики!C184</f>
        <v>T-PREPROD-DAST-4-2</v>
      </c>
      <c r="G129" s="133" t="str">
        <f>Практики!F184</f>
        <v>Не заполнено</v>
      </c>
      <c r="H129" s="143">
        <f>Практики!Q184</f>
        <v>0</v>
      </c>
      <c r="I129" s="539"/>
    </row>
    <row r="130" spans="2:9" x14ac:dyDescent="0.4">
      <c r="B130" s="539"/>
      <c r="C130" s="546"/>
      <c r="D130" s="548"/>
      <c r="E130" s="539"/>
      <c r="F130" s="133" t="str">
        <f>Практики!C192</f>
        <v>T-PREPROD-SECTEST-0-1</v>
      </c>
      <c r="G130" s="133" t="str">
        <f>Практики!F192</f>
        <v>Не заполнено</v>
      </c>
      <c r="H130" s="143">
        <f>Практики!Q192</f>
        <v>0</v>
      </c>
      <c r="I130" s="539"/>
    </row>
    <row r="131" spans="2:9" x14ac:dyDescent="0.4">
      <c r="B131" s="539"/>
      <c r="C131" s="546">
        <v>2</v>
      </c>
      <c r="D131" s="548" t="s">
        <v>2253</v>
      </c>
      <c r="E131" s="539" t="s">
        <v>1358</v>
      </c>
      <c r="F131" s="133" t="str">
        <f>Практики!C122</f>
        <v>T-CODE-SST-2-1</v>
      </c>
      <c r="G131" s="133" t="str">
        <f>Практики!F122</f>
        <v>Не заполнено</v>
      </c>
      <c r="H131" s="143">
        <f>Практики!Q122</f>
        <v>0</v>
      </c>
      <c r="I131" s="539">
        <v>0</v>
      </c>
    </row>
    <row r="132" spans="2:9" x14ac:dyDescent="0.4">
      <c r="B132" s="539"/>
      <c r="C132" s="546"/>
      <c r="D132" s="548"/>
      <c r="E132" s="539"/>
      <c r="F132" s="133" t="str">
        <f>Практики!C123</f>
        <v>T-CODE-SST-2-2</v>
      </c>
      <c r="G132" s="133" t="str">
        <f>Практики!F123</f>
        <v>Не заполнено</v>
      </c>
      <c r="H132" s="143">
        <f>Практики!Q123</f>
        <v>0</v>
      </c>
      <c r="I132" s="539"/>
    </row>
    <row r="133" spans="2:9" x14ac:dyDescent="0.4">
      <c r="B133" s="539"/>
      <c r="C133" s="546"/>
      <c r="D133" s="548"/>
      <c r="E133" s="539"/>
      <c r="F133" s="133" t="str">
        <f>Практики!C127</f>
        <v>T-CODE-SST-3-2</v>
      </c>
      <c r="G133" s="133" t="str">
        <f>Практики!F127</f>
        <v>Не заполнено</v>
      </c>
      <c r="H133" s="143">
        <f>Практики!Q127</f>
        <v>0</v>
      </c>
      <c r="I133" s="539"/>
    </row>
    <row r="134" spans="2:9" x14ac:dyDescent="0.4">
      <c r="B134" s="539"/>
      <c r="C134" s="546"/>
      <c r="D134" s="548"/>
      <c r="E134" s="539"/>
      <c r="F134" s="133" t="str">
        <f>Практики!C175</f>
        <v>T-PREPROD-DAST-2-1</v>
      </c>
      <c r="G134" s="133" t="str">
        <f>Практики!F175</f>
        <v>Не заполнено</v>
      </c>
      <c r="H134" s="143">
        <f>Практики!Q175</f>
        <v>0</v>
      </c>
      <c r="I134" s="539"/>
    </row>
    <row r="135" spans="2:9" x14ac:dyDescent="0.4">
      <c r="B135" s="539"/>
      <c r="C135" s="546"/>
      <c r="D135" s="548"/>
      <c r="E135" s="539"/>
      <c r="F135" s="133" t="str">
        <f>Практики!C180</f>
        <v>T-PREPROD-DAST-3-2</v>
      </c>
      <c r="G135" s="133" t="str">
        <f>Практики!F180</f>
        <v>Не заполнено</v>
      </c>
      <c r="H135" s="143">
        <f>Практики!Q180</f>
        <v>0</v>
      </c>
      <c r="I135" s="539"/>
    </row>
    <row r="136" spans="2:9" x14ac:dyDescent="0.4">
      <c r="B136" s="539"/>
      <c r="C136" s="546">
        <v>3</v>
      </c>
      <c r="D136" s="548" t="s">
        <v>2254</v>
      </c>
      <c r="E136" s="539" t="s">
        <v>1357</v>
      </c>
      <c r="F136" s="133" t="str">
        <f>Практики!C124</f>
        <v>T-CODE-SST-2-3</v>
      </c>
      <c r="G136" s="133" t="str">
        <f>Практики!F124</f>
        <v>Не заполнено</v>
      </c>
      <c r="H136" s="143">
        <f>Практики!Q124</f>
        <v>0</v>
      </c>
      <c r="I136" s="539">
        <v>0</v>
      </c>
    </row>
    <row r="137" spans="2:9" x14ac:dyDescent="0.4">
      <c r="B137" s="539"/>
      <c r="C137" s="546"/>
      <c r="D137" s="548"/>
      <c r="E137" s="539"/>
      <c r="F137" s="133" t="str">
        <f>Практики!C178</f>
        <v>T-PREPROD-DAST-2-4</v>
      </c>
      <c r="G137" s="133" t="str">
        <f>Практики!F178</f>
        <v>Не заполнено</v>
      </c>
      <c r="H137" s="143">
        <f>Практики!Q178</f>
        <v>0</v>
      </c>
      <c r="I137" s="539"/>
    </row>
    <row r="138" spans="2:9" ht="17.399999999999999" thickBot="1" x14ac:dyDescent="0.45">
      <c r="B138" s="540"/>
      <c r="C138" s="554"/>
      <c r="D138" s="555"/>
      <c r="E138" s="540"/>
      <c r="F138" s="186" t="str">
        <f>Практики!C137</f>
        <v>T-CODE-SC-2-4</v>
      </c>
      <c r="G138" s="186" t="str">
        <f>Практики!F137</f>
        <v>Не заполнено</v>
      </c>
      <c r="H138" s="187">
        <f>Практики!Q137</f>
        <v>0</v>
      </c>
      <c r="I138" s="539"/>
    </row>
    <row r="139" spans="2:9" x14ac:dyDescent="0.4">
      <c r="B139" s="541" t="s">
        <v>2255</v>
      </c>
      <c r="C139" s="176">
        <v>1</v>
      </c>
      <c r="D139" s="177" t="s">
        <v>2256</v>
      </c>
      <c r="E139" s="178" t="s">
        <v>1364</v>
      </c>
      <c r="F139" s="179" t="str">
        <f>Практики!C185</f>
        <v>T-PREPROD-DAST-4-3</v>
      </c>
      <c r="G139" s="179" t="str">
        <f>Практики!F185</f>
        <v>Не заполнено</v>
      </c>
      <c r="H139" s="180">
        <f>Практики!Q185</f>
        <v>0</v>
      </c>
      <c r="I139" s="182">
        <v>0</v>
      </c>
    </row>
    <row r="140" spans="2:9" x14ac:dyDescent="0.4">
      <c r="B140" s="539"/>
      <c r="C140" s="546">
        <v>2</v>
      </c>
      <c r="D140" s="548" t="s">
        <v>2257</v>
      </c>
      <c r="E140" s="539" t="s">
        <v>1363</v>
      </c>
      <c r="F140" s="133" t="str">
        <f>Практики!C186</f>
        <v>T-PREPROD-PENTEST-0-1</v>
      </c>
      <c r="G140" s="133" t="str">
        <f>Практики!F186</f>
        <v>Не заполнено</v>
      </c>
      <c r="H140" s="143">
        <f>Практики!Q186</f>
        <v>0</v>
      </c>
      <c r="I140" s="539">
        <v>0</v>
      </c>
    </row>
    <row r="141" spans="2:9" x14ac:dyDescent="0.4">
      <c r="B141" s="539"/>
      <c r="C141" s="546"/>
      <c r="D141" s="548"/>
      <c r="E141" s="539"/>
      <c r="F141" s="133" t="str">
        <f>Практики!C187</f>
        <v>T-PREPROD-PENTEST-1-1</v>
      </c>
      <c r="G141" s="133" t="str">
        <f>Практики!F187</f>
        <v>Не заполнено</v>
      </c>
      <c r="H141" s="143">
        <f>Практики!Q187</f>
        <v>0</v>
      </c>
      <c r="I141" s="539"/>
    </row>
    <row r="142" spans="2:9" x14ac:dyDescent="0.4">
      <c r="B142" s="539"/>
      <c r="C142" s="546"/>
      <c r="D142" s="548"/>
      <c r="E142" s="539"/>
      <c r="F142" s="133" t="str">
        <f>Практики!C188</f>
        <v>T-PREPROD-PENTEST-1-2</v>
      </c>
      <c r="G142" s="133" t="str">
        <f>Практики!F188</f>
        <v>Не заполнено</v>
      </c>
      <c r="H142" s="143">
        <f>Практики!Q188</f>
        <v>0</v>
      </c>
      <c r="I142" s="539"/>
    </row>
    <row r="143" spans="2:9" x14ac:dyDescent="0.4">
      <c r="B143" s="539"/>
      <c r="C143" s="546"/>
      <c r="D143" s="548"/>
      <c r="E143" s="539"/>
      <c r="F143" s="133" t="str">
        <f>Практики!C189</f>
        <v>T-PREPROD-PENTEST-1-3</v>
      </c>
      <c r="G143" s="133" t="str">
        <f>Практики!F189</f>
        <v>Не заполнено</v>
      </c>
      <c r="H143" s="143">
        <f>Практики!Q189</f>
        <v>0</v>
      </c>
      <c r="I143" s="539"/>
    </row>
    <row r="144" spans="2:9" x14ac:dyDescent="0.4">
      <c r="B144" s="539"/>
      <c r="C144" s="546"/>
      <c r="D144" s="548"/>
      <c r="E144" s="539"/>
      <c r="F144" s="133" t="str">
        <f>Практики!C329</f>
        <v>P-REQ-CR-2-1</v>
      </c>
      <c r="G144" s="133" t="str">
        <f>Практики!F329</f>
        <v>Не заполнено</v>
      </c>
      <c r="H144" s="143">
        <f>Практики!Q329</f>
        <v>0</v>
      </c>
      <c r="I144" s="539"/>
    </row>
    <row r="145" spans="2:9" ht="17.399999999999999" thickBot="1" x14ac:dyDescent="0.45">
      <c r="B145" s="540"/>
      <c r="C145" s="183">
        <v>3</v>
      </c>
      <c r="D145" s="184" t="s">
        <v>2258</v>
      </c>
      <c r="E145" s="191" t="s">
        <v>2425</v>
      </c>
      <c r="F145" s="192"/>
      <c r="G145" s="192"/>
      <c r="H145" s="187"/>
      <c r="I145" s="182"/>
    </row>
    <row r="146" spans="2:9" ht="19.2" x14ac:dyDescent="0.4">
      <c r="B146" s="559" t="s">
        <v>1315</v>
      </c>
      <c r="C146" s="560"/>
      <c r="D146" s="560"/>
      <c r="E146" s="560"/>
      <c r="F146" s="560"/>
      <c r="G146" s="560"/>
      <c r="H146" s="561"/>
      <c r="I146" s="182"/>
    </row>
    <row r="147" spans="2:9" ht="17.399999999999999" thickBot="1" x14ac:dyDescent="0.45">
      <c r="B147" s="542" t="s">
        <v>2259</v>
      </c>
      <c r="C147" s="543"/>
      <c r="D147" s="543"/>
      <c r="E147" s="543"/>
      <c r="F147" s="543"/>
      <c r="G147" s="543"/>
      <c r="H147" s="544"/>
      <c r="I147" s="182"/>
    </row>
    <row r="148" spans="2:9" x14ac:dyDescent="0.4">
      <c r="B148" s="541" t="s">
        <v>2260</v>
      </c>
      <c r="C148" s="176">
        <v>1</v>
      </c>
      <c r="D148" s="177" t="s">
        <v>2261</v>
      </c>
      <c r="E148" s="178" t="s">
        <v>2421</v>
      </c>
      <c r="F148" s="189"/>
      <c r="G148" s="189"/>
      <c r="H148" s="180"/>
      <c r="I148" s="182"/>
    </row>
    <row r="149" spans="2:9" x14ac:dyDescent="0.4">
      <c r="B149" s="539"/>
      <c r="C149" s="546">
        <v>2</v>
      </c>
      <c r="D149" s="548" t="s">
        <v>2262</v>
      </c>
      <c r="E149" s="539" t="s">
        <v>1360</v>
      </c>
      <c r="F149" s="133" t="str">
        <f>Практики!C38</f>
        <v>T-DEV-SM-1-2</v>
      </c>
      <c r="G149" s="133" t="str">
        <f>Практики!F38</f>
        <v>Не заполнено</v>
      </c>
      <c r="H149" s="143">
        <f>Практики!Q38</f>
        <v>0</v>
      </c>
      <c r="I149" s="539">
        <v>0</v>
      </c>
    </row>
    <row r="150" spans="2:9" x14ac:dyDescent="0.4">
      <c r="B150" s="539"/>
      <c r="C150" s="546"/>
      <c r="D150" s="548"/>
      <c r="E150" s="539"/>
      <c r="F150" s="133" t="str">
        <f>Практики!C158</f>
        <v>T-CODE-SECDN-1-4</v>
      </c>
      <c r="G150" s="133" t="str">
        <f>Практики!F158</f>
        <v>Не заполнено</v>
      </c>
      <c r="H150" s="143">
        <f>Практики!Q158</f>
        <v>0</v>
      </c>
      <c r="I150" s="539"/>
    </row>
    <row r="151" spans="2:9" ht="17.399999999999999" thickBot="1" x14ac:dyDescent="0.45">
      <c r="B151" s="540"/>
      <c r="C151" s="183">
        <v>3</v>
      </c>
      <c r="D151" s="184" t="s">
        <v>2263</v>
      </c>
      <c r="E151" s="191" t="s">
        <v>2422</v>
      </c>
      <c r="F151" s="192"/>
      <c r="G151" s="192"/>
      <c r="H151" s="187"/>
      <c r="I151" s="182"/>
    </row>
    <row r="152" spans="2:9" x14ac:dyDescent="0.4">
      <c r="B152" s="541" t="s">
        <v>2264</v>
      </c>
      <c r="C152" s="176">
        <v>1</v>
      </c>
      <c r="D152" s="177" t="s">
        <v>2265</v>
      </c>
      <c r="E152" s="178" t="s">
        <v>2423</v>
      </c>
      <c r="F152" s="189"/>
      <c r="G152" s="189"/>
      <c r="H152" s="180"/>
      <c r="I152" s="182"/>
    </row>
    <row r="153" spans="2:9" x14ac:dyDescent="0.4">
      <c r="B153" s="539"/>
      <c r="C153" s="181">
        <v>2</v>
      </c>
      <c r="D153" s="134" t="s">
        <v>2266</v>
      </c>
      <c r="E153" s="182" t="s">
        <v>1361</v>
      </c>
      <c r="F153" s="133" t="str">
        <f>Практики!C161</f>
        <v>T-CODE-SECDN-2-3</v>
      </c>
      <c r="G153" s="133" t="str">
        <f>Практики!F161</f>
        <v>Не заполнено</v>
      </c>
      <c r="H153" s="143">
        <f>Практики!Q161</f>
        <v>0</v>
      </c>
      <c r="I153" s="182">
        <v>0</v>
      </c>
    </row>
    <row r="154" spans="2:9" ht="17.399999999999999" thickBot="1" x14ac:dyDescent="0.45">
      <c r="B154" s="540"/>
      <c r="C154" s="183">
        <v>3</v>
      </c>
      <c r="D154" s="184" t="s">
        <v>2267</v>
      </c>
      <c r="E154" s="191" t="s">
        <v>2424</v>
      </c>
      <c r="F154" s="192"/>
      <c r="G154" s="192"/>
      <c r="H154" s="187"/>
      <c r="I154" s="182"/>
    </row>
    <row r="155" spans="2:9" ht="17.399999999999999" thickBot="1" x14ac:dyDescent="0.45">
      <c r="B155" s="542" t="s">
        <v>2268</v>
      </c>
      <c r="C155" s="543"/>
      <c r="D155" s="543"/>
      <c r="E155" s="543"/>
      <c r="F155" s="543"/>
      <c r="G155" s="543"/>
      <c r="H155" s="544"/>
      <c r="I155" s="182"/>
    </row>
    <row r="156" spans="2:9" x14ac:dyDescent="0.4">
      <c r="B156" s="541" t="s">
        <v>2269</v>
      </c>
      <c r="C156" s="545">
        <v>1</v>
      </c>
      <c r="D156" s="547" t="s">
        <v>2270</v>
      </c>
      <c r="E156" s="541" t="s">
        <v>1804</v>
      </c>
      <c r="F156" s="179" t="str">
        <f>Практики!C7</f>
        <v>T-ADI-DEP-1-4</v>
      </c>
      <c r="G156" s="179" t="str">
        <f>Практики!F7</f>
        <v>Не заполнено</v>
      </c>
      <c r="H156" s="180">
        <f>Практики!Q7</f>
        <v>0</v>
      </c>
      <c r="I156" s="539">
        <v>0</v>
      </c>
    </row>
    <row r="157" spans="2:9" x14ac:dyDescent="0.4">
      <c r="B157" s="539"/>
      <c r="C157" s="546"/>
      <c r="D157" s="548"/>
      <c r="E157" s="539"/>
      <c r="F157" s="133" t="str">
        <f>Практики!C332</f>
        <v>P-REQ-STDR-App-0-1</v>
      </c>
      <c r="G157" s="133" t="str">
        <f>Практики!F332</f>
        <v>Не заполнено</v>
      </c>
      <c r="H157" s="143">
        <f>Практики!Q332</f>
        <v>0</v>
      </c>
      <c r="I157" s="539"/>
    </row>
    <row r="158" spans="2:9" x14ac:dyDescent="0.4">
      <c r="B158" s="539"/>
      <c r="C158" s="546"/>
      <c r="D158" s="548"/>
      <c r="E158" s="539"/>
      <c r="F158" s="133" t="str">
        <f>Практики!C333</f>
        <v>P-REQ-STDR-App-1-1</v>
      </c>
      <c r="G158" s="133" t="str">
        <f>Практики!F333</f>
        <v>Не заполнено</v>
      </c>
      <c r="H158" s="143">
        <f>Практики!Q333</f>
        <v>0</v>
      </c>
      <c r="I158" s="539"/>
    </row>
    <row r="159" spans="2:9" x14ac:dyDescent="0.4">
      <c r="B159" s="539"/>
      <c r="C159" s="546"/>
      <c r="D159" s="548"/>
      <c r="E159" s="539"/>
      <c r="F159" s="133" t="str">
        <f>Практики!C335</f>
        <v>P-REQ-STDR-App-2-1</v>
      </c>
      <c r="G159" s="133" t="str">
        <f>Практики!F335</f>
        <v>Не заполнено</v>
      </c>
      <c r="H159" s="143">
        <f>Практики!Q335</f>
        <v>0</v>
      </c>
      <c r="I159" s="539"/>
    </row>
    <row r="160" spans="2:9" x14ac:dyDescent="0.4">
      <c r="B160" s="539"/>
      <c r="C160" s="181">
        <v>2</v>
      </c>
      <c r="D160" s="134" t="s">
        <v>2271</v>
      </c>
      <c r="E160" s="182" t="s">
        <v>1824</v>
      </c>
      <c r="F160" s="133" t="str">
        <f>Практики!C336</f>
        <v>P-REQ-STDR-App-3-1</v>
      </c>
      <c r="G160" s="133" t="str">
        <f>Практики!F336</f>
        <v>Не заполнено</v>
      </c>
      <c r="H160" s="143">
        <f>Практики!Q336</f>
        <v>0</v>
      </c>
      <c r="I160" s="182">
        <v>0</v>
      </c>
    </row>
    <row r="161" spans="2:9" x14ac:dyDescent="0.4">
      <c r="B161" s="539"/>
      <c r="C161" s="546">
        <v>3</v>
      </c>
      <c r="D161" s="548" t="s">
        <v>2272</v>
      </c>
      <c r="E161" s="539" t="s">
        <v>1814</v>
      </c>
      <c r="F161" s="133" t="str">
        <f>Практики!C209</f>
        <v>T-PREPROD-MANSEC-0-1</v>
      </c>
      <c r="G161" s="133" t="str">
        <f>Практики!F209</f>
        <v>Не заполнено</v>
      </c>
      <c r="H161" s="143">
        <f>Практики!Q209</f>
        <v>0</v>
      </c>
      <c r="I161" s="539">
        <v>0</v>
      </c>
    </row>
    <row r="162" spans="2:9" ht="17.399999999999999" thickBot="1" x14ac:dyDescent="0.45">
      <c r="B162" s="540"/>
      <c r="C162" s="554"/>
      <c r="D162" s="555"/>
      <c r="E162" s="540"/>
      <c r="F162" s="186" t="str">
        <f>Практики!C338</f>
        <v>P-REQ-STDR-App-4-1</v>
      </c>
      <c r="G162" s="186" t="str">
        <f>Практики!F338</f>
        <v>Не заполнено</v>
      </c>
      <c r="H162" s="187">
        <f>Практики!Q338</f>
        <v>0</v>
      </c>
      <c r="I162" s="539"/>
    </row>
    <row r="163" spans="2:9" x14ac:dyDescent="0.4">
      <c r="B163" s="541" t="s">
        <v>2273</v>
      </c>
      <c r="C163" s="176">
        <v>1</v>
      </c>
      <c r="D163" s="177" t="s">
        <v>2274</v>
      </c>
      <c r="E163" s="178" t="s">
        <v>2420</v>
      </c>
      <c r="F163" s="189"/>
      <c r="G163" s="189"/>
      <c r="H163" s="180"/>
      <c r="I163" s="182"/>
    </row>
    <row r="164" spans="2:9" x14ac:dyDescent="0.4">
      <c r="B164" s="539"/>
      <c r="C164" s="546">
        <v>2</v>
      </c>
      <c r="D164" s="548" t="s">
        <v>2275</v>
      </c>
      <c r="E164" s="539" t="s">
        <v>1811</v>
      </c>
      <c r="F164" s="133" t="str">
        <f>Практики!C199</f>
        <v>T-PREPROD-VULN-1-2</v>
      </c>
      <c r="G164" s="133" t="str">
        <f>Практики!F199</f>
        <v>Не заполнено</v>
      </c>
      <c r="H164" s="143">
        <f>Практики!Q199</f>
        <v>0</v>
      </c>
      <c r="I164" s="539">
        <v>0</v>
      </c>
    </row>
    <row r="165" spans="2:9" x14ac:dyDescent="0.4">
      <c r="B165" s="539"/>
      <c r="C165" s="546"/>
      <c r="D165" s="548"/>
      <c r="E165" s="539"/>
      <c r="F165" s="133" t="str">
        <f>Практики!C270</f>
        <v>T-PROD-VULN-1-2</v>
      </c>
      <c r="G165" s="133" t="str">
        <f>Практики!F270</f>
        <v>Не заполнено</v>
      </c>
      <c r="H165" s="143">
        <f>Практики!Q270</f>
        <v>0</v>
      </c>
      <c r="I165" s="539"/>
    </row>
    <row r="166" spans="2:9" x14ac:dyDescent="0.4">
      <c r="B166" s="539"/>
      <c r="C166" s="546">
        <v>3</v>
      </c>
      <c r="D166" s="548" t="s">
        <v>2276</v>
      </c>
      <c r="E166" s="539" t="s">
        <v>1812</v>
      </c>
      <c r="F166" s="133" t="str">
        <f>Практики!C202</f>
        <v>T-PREPROD-VULN-2-3</v>
      </c>
      <c r="G166" s="133" t="str">
        <f>Практики!F202</f>
        <v>Не заполнено</v>
      </c>
      <c r="H166" s="143">
        <f>Практики!Q202</f>
        <v>0</v>
      </c>
      <c r="I166" s="539">
        <v>0</v>
      </c>
    </row>
    <row r="167" spans="2:9" ht="17.399999999999999" thickBot="1" x14ac:dyDescent="0.45">
      <c r="B167" s="540"/>
      <c r="C167" s="554"/>
      <c r="D167" s="555"/>
      <c r="E167" s="540"/>
      <c r="F167" s="186" t="str">
        <f>Практики!C273</f>
        <v>T-PROD-VULN-2-3</v>
      </c>
      <c r="G167" s="186" t="str">
        <f>Практики!F273</f>
        <v>Не заполнено</v>
      </c>
      <c r="H167" s="187">
        <f>Практики!Q273</f>
        <v>0</v>
      </c>
      <c r="I167" s="539"/>
    </row>
    <row r="168" spans="2:9" ht="17.399999999999999" thickBot="1" x14ac:dyDescent="0.45">
      <c r="B168" s="542" t="s">
        <v>2277</v>
      </c>
      <c r="C168" s="543"/>
      <c r="D168" s="543"/>
      <c r="E168" s="543"/>
      <c r="F168" s="543"/>
      <c r="G168" s="543"/>
      <c r="H168" s="544"/>
      <c r="I168" s="182"/>
    </row>
    <row r="169" spans="2:9" x14ac:dyDescent="0.4">
      <c r="B169" s="541" t="s">
        <v>2278</v>
      </c>
      <c r="C169" s="176">
        <v>1</v>
      </c>
      <c r="D169" s="177" t="s">
        <v>2279</v>
      </c>
      <c r="E169" s="178" t="s">
        <v>2419</v>
      </c>
      <c r="F169" s="189"/>
      <c r="G169" s="189"/>
      <c r="H169" s="180"/>
      <c r="I169" s="182"/>
    </row>
    <row r="170" spans="2:9" x14ac:dyDescent="0.4">
      <c r="B170" s="539"/>
      <c r="C170" s="181">
        <v>2</v>
      </c>
      <c r="D170" s="134" t="s">
        <v>2280</v>
      </c>
      <c r="E170" s="182" t="s">
        <v>2418</v>
      </c>
      <c r="F170" s="190"/>
      <c r="G170" s="190"/>
      <c r="H170" s="143"/>
      <c r="I170" s="182"/>
    </row>
    <row r="171" spans="2:9" ht="17.399999999999999" thickBot="1" x14ac:dyDescent="0.45">
      <c r="B171" s="540"/>
      <c r="C171" s="183">
        <v>3</v>
      </c>
      <c r="D171" s="184" t="s">
        <v>2281</v>
      </c>
      <c r="E171" s="185" t="s">
        <v>2417</v>
      </c>
      <c r="F171" s="192"/>
      <c r="G171" s="192"/>
      <c r="H171" s="187"/>
      <c r="I171" s="182"/>
    </row>
    <row r="172" spans="2:9" x14ac:dyDescent="0.4">
      <c r="B172" s="568" t="s">
        <v>2282</v>
      </c>
      <c r="C172" s="545">
        <v>1</v>
      </c>
      <c r="D172" s="547" t="s">
        <v>2283</v>
      </c>
      <c r="E172" s="541" t="s">
        <v>1807</v>
      </c>
      <c r="F172" s="179" t="str">
        <f>Практики!C10</f>
        <v>T-ADI-DEP-2-2</v>
      </c>
      <c r="G172" s="179" t="str">
        <f>Практики!F10</f>
        <v>Не заполнено</v>
      </c>
      <c r="H172" s="180">
        <f>Практики!Q10</f>
        <v>0</v>
      </c>
      <c r="I172" s="539">
        <v>0</v>
      </c>
    </row>
    <row r="173" spans="2:9" x14ac:dyDescent="0.4">
      <c r="B173" s="569"/>
      <c r="C173" s="546"/>
      <c r="D173" s="548"/>
      <c r="E173" s="539"/>
      <c r="F173" s="133" t="str">
        <f>Практики!C65</f>
        <v>T-DEV-SCM-2-4</v>
      </c>
      <c r="G173" s="133" t="str">
        <f>Практики!F65</f>
        <v>Не заполнено</v>
      </c>
      <c r="H173" s="143">
        <f>Практики!Q65</f>
        <v>0</v>
      </c>
      <c r="I173" s="539"/>
    </row>
    <row r="174" spans="2:9" x14ac:dyDescent="0.4">
      <c r="B174" s="569"/>
      <c r="C174" s="546">
        <v>2</v>
      </c>
      <c r="D174" s="548" t="s">
        <v>2284</v>
      </c>
      <c r="E174" s="539" t="s">
        <v>1349</v>
      </c>
      <c r="F174" s="133" t="str">
        <f>Практики!C10</f>
        <v>T-ADI-DEP-2-2</v>
      </c>
      <c r="G174" s="133" t="str">
        <f>Практики!F10</f>
        <v>Не заполнено</v>
      </c>
      <c r="H174" s="143">
        <f>Практики!Q10</f>
        <v>0</v>
      </c>
      <c r="I174" s="539">
        <v>0</v>
      </c>
    </row>
    <row r="175" spans="2:9" x14ac:dyDescent="0.4">
      <c r="B175" s="569"/>
      <c r="C175" s="546"/>
      <c r="D175" s="548"/>
      <c r="E175" s="539"/>
      <c r="F175" s="133" t="str">
        <f>Практики!C142</f>
        <v>T-CODE-SC-3-4</v>
      </c>
      <c r="G175" s="133" t="str">
        <f>Практики!F142</f>
        <v>Не заполнено</v>
      </c>
      <c r="H175" s="143">
        <f>Практики!Q142</f>
        <v>0</v>
      </c>
      <c r="I175" s="539"/>
    </row>
    <row r="176" spans="2:9" x14ac:dyDescent="0.4">
      <c r="B176" s="569"/>
      <c r="C176" s="546">
        <v>3</v>
      </c>
      <c r="D176" s="548" t="s">
        <v>2285</v>
      </c>
      <c r="E176" s="539" t="s">
        <v>1813</v>
      </c>
      <c r="F176" s="133" t="str">
        <f>Практики!C208</f>
        <v>T-PREPROD-VULN-4-2</v>
      </c>
      <c r="G176" s="133" t="str">
        <f>Практики!F208</f>
        <v>Не заполнено</v>
      </c>
      <c r="H176" s="143">
        <f>Практики!Q208</f>
        <v>0</v>
      </c>
      <c r="I176" s="539">
        <v>0</v>
      </c>
    </row>
    <row r="177" spans="2:9" x14ac:dyDescent="0.4">
      <c r="B177" s="569"/>
      <c r="C177" s="546"/>
      <c r="D177" s="548"/>
      <c r="E177" s="539"/>
      <c r="F177" s="133" t="str">
        <f>Практики!C279</f>
        <v>T-PROD-VULN-4-2</v>
      </c>
      <c r="G177" s="133" t="str">
        <f>Практики!F279</f>
        <v>Не заполнено</v>
      </c>
      <c r="H177" s="143">
        <f>Практики!Q279</f>
        <v>0</v>
      </c>
      <c r="I177" s="539"/>
    </row>
    <row r="178" spans="2:9" ht="17.399999999999999" thickBot="1" x14ac:dyDescent="0.45">
      <c r="B178" s="570"/>
      <c r="C178" s="554"/>
      <c r="D178" s="555"/>
      <c r="E178" s="540"/>
      <c r="F178" s="186" t="str">
        <f>Практики!C248</f>
        <v>T-PROD-ACCESS-0-1</v>
      </c>
      <c r="G178" s="186" t="str">
        <f>Практики!F248</f>
        <v>Не заполнено</v>
      </c>
      <c r="H178" s="187">
        <f>Практики!Q248</f>
        <v>0</v>
      </c>
      <c r="I178" s="540"/>
    </row>
  </sheetData>
  <autoFilter ref="B1:I178" xr:uid="{00000000-0009-0000-0000-00000E000000}"/>
  <mergeCells count="182">
    <mergeCell ref="B2:H2"/>
    <mergeCell ref="C176:C178"/>
    <mergeCell ref="D174:D175"/>
    <mergeCell ref="D176:D178"/>
    <mergeCell ref="D172:D173"/>
    <mergeCell ref="E172:E173"/>
    <mergeCell ref="E174:E175"/>
    <mergeCell ref="E176:E178"/>
    <mergeCell ref="D161:D162"/>
    <mergeCell ref="E161:E162"/>
    <mergeCell ref="C164:C165"/>
    <mergeCell ref="C166:C167"/>
    <mergeCell ref="C172:C173"/>
    <mergeCell ref="C174:C175"/>
    <mergeCell ref="E164:E165"/>
    <mergeCell ref="D164:D165"/>
    <mergeCell ref="D166:D167"/>
    <mergeCell ref="E166:E167"/>
    <mergeCell ref="D118:D120"/>
    <mergeCell ref="E118:E120"/>
    <mergeCell ref="C123:C130"/>
    <mergeCell ref="C131:C135"/>
    <mergeCell ref="C136:C138"/>
    <mergeCell ref="D123:D130"/>
    <mergeCell ref="D131:D135"/>
    <mergeCell ref="D136:D138"/>
    <mergeCell ref="E123:E130"/>
    <mergeCell ref="D86:D89"/>
    <mergeCell ref="E86:E89"/>
    <mergeCell ref="E83:E85"/>
    <mergeCell ref="D71:D72"/>
    <mergeCell ref="D73:D76"/>
    <mergeCell ref="C73:C76"/>
    <mergeCell ref="C71:C72"/>
    <mergeCell ref="E73:E76"/>
    <mergeCell ref="D80:D81"/>
    <mergeCell ref="C80:C81"/>
    <mergeCell ref="E80:E81"/>
    <mergeCell ref="B163:B167"/>
    <mergeCell ref="B168:H168"/>
    <mergeCell ref="B169:B171"/>
    <mergeCell ref="D112:D113"/>
    <mergeCell ref="C115:C116"/>
    <mergeCell ref="D115:D116"/>
    <mergeCell ref="B92:B99"/>
    <mergeCell ref="B100:B102"/>
    <mergeCell ref="B103:H103"/>
    <mergeCell ref="B104:H104"/>
    <mergeCell ref="B105:B107"/>
    <mergeCell ref="B108:B110"/>
    <mergeCell ref="D93:D98"/>
    <mergeCell ref="C93:C98"/>
    <mergeCell ref="E93:E98"/>
    <mergeCell ref="E131:E135"/>
    <mergeCell ref="E136:E138"/>
    <mergeCell ref="C140:C144"/>
    <mergeCell ref="D140:D144"/>
    <mergeCell ref="E140:E144"/>
    <mergeCell ref="C149:C150"/>
    <mergeCell ref="D149:D150"/>
    <mergeCell ref="E149:E150"/>
    <mergeCell ref="C118:C120"/>
    <mergeCell ref="B172:B178"/>
    <mergeCell ref="C19:C20"/>
    <mergeCell ref="D19:D20"/>
    <mergeCell ref="D21:D23"/>
    <mergeCell ref="C21:C23"/>
    <mergeCell ref="C24:C25"/>
    <mergeCell ref="D24:D25"/>
    <mergeCell ref="B146:H146"/>
    <mergeCell ref="B147:H147"/>
    <mergeCell ref="B148:B151"/>
    <mergeCell ref="B152:B154"/>
    <mergeCell ref="B155:H155"/>
    <mergeCell ref="B156:B162"/>
    <mergeCell ref="E156:E159"/>
    <mergeCell ref="D156:D159"/>
    <mergeCell ref="C156:C159"/>
    <mergeCell ref="C161:C162"/>
    <mergeCell ref="B111:H111"/>
    <mergeCell ref="B112:B116"/>
    <mergeCell ref="B117:B121"/>
    <mergeCell ref="B122:H122"/>
    <mergeCell ref="B123:B138"/>
    <mergeCell ref="B139:B145"/>
    <mergeCell ref="C112:C113"/>
    <mergeCell ref="B83:B90"/>
    <mergeCell ref="B91:H91"/>
    <mergeCell ref="E61:E64"/>
    <mergeCell ref="E65:E66"/>
    <mergeCell ref="E67:E70"/>
    <mergeCell ref="E71:E72"/>
    <mergeCell ref="B49:B51"/>
    <mergeCell ref="B52:H52"/>
    <mergeCell ref="B53:B55"/>
    <mergeCell ref="B56:B58"/>
    <mergeCell ref="B59:H59"/>
    <mergeCell ref="B60:H60"/>
    <mergeCell ref="B61:B70"/>
    <mergeCell ref="B71:B77"/>
    <mergeCell ref="B78:H78"/>
    <mergeCell ref="C61:C64"/>
    <mergeCell ref="C65:C66"/>
    <mergeCell ref="C67:C70"/>
    <mergeCell ref="D67:D70"/>
    <mergeCell ref="D61:D64"/>
    <mergeCell ref="D65:D66"/>
    <mergeCell ref="D83:D85"/>
    <mergeCell ref="C83:C85"/>
    <mergeCell ref="C86:C89"/>
    <mergeCell ref="E115:E116"/>
    <mergeCell ref="B3:I3"/>
    <mergeCell ref="B4:B6"/>
    <mergeCell ref="B7:B10"/>
    <mergeCell ref="C9:C10"/>
    <mergeCell ref="D9:D10"/>
    <mergeCell ref="E9:E10"/>
    <mergeCell ref="B11:H11"/>
    <mergeCell ref="B12:B14"/>
    <mergeCell ref="B15:B17"/>
    <mergeCell ref="B18:H18"/>
    <mergeCell ref="B19:B25"/>
    <mergeCell ref="B26:B31"/>
    <mergeCell ref="C26:C28"/>
    <mergeCell ref="C30:C31"/>
    <mergeCell ref="D30:D31"/>
    <mergeCell ref="D26:D28"/>
    <mergeCell ref="E19:E20"/>
    <mergeCell ref="E21:E23"/>
    <mergeCell ref="E24:E25"/>
    <mergeCell ref="E26:E28"/>
    <mergeCell ref="E30:E31"/>
    <mergeCell ref="B32:H32"/>
    <mergeCell ref="I9:I10"/>
    <mergeCell ref="I19:I20"/>
    <mergeCell ref="I21:I23"/>
    <mergeCell ref="I24:I25"/>
    <mergeCell ref="I26:I28"/>
    <mergeCell ref="I30:I31"/>
    <mergeCell ref="I34:I35"/>
    <mergeCell ref="I39:I40"/>
    <mergeCell ref="E112:E113"/>
    <mergeCell ref="B33:H33"/>
    <mergeCell ref="B34:B37"/>
    <mergeCell ref="B38:B41"/>
    <mergeCell ref="B42:H42"/>
    <mergeCell ref="B43:B48"/>
    <mergeCell ref="C34:C35"/>
    <mergeCell ref="D34:D35"/>
    <mergeCell ref="C39:C40"/>
    <mergeCell ref="D39:D40"/>
    <mergeCell ref="E34:E35"/>
    <mergeCell ref="E44:E47"/>
    <mergeCell ref="D44:D47"/>
    <mergeCell ref="C44:C47"/>
    <mergeCell ref="E39:E40"/>
    <mergeCell ref="B79:B82"/>
    <mergeCell ref="I44:I47"/>
    <mergeCell ref="I61:I64"/>
    <mergeCell ref="I65:I66"/>
    <mergeCell ref="I67:I70"/>
    <mergeCell ref="I71:I72"/>
    <mergeCell ref="I73:I76"/>
    <mergeCell ref="I80:I81"/>
    <mergeCell ref="I83:I85"/>
    <mergeCell ref="I86:I89"/>
    <mergeCell ref="I156:I159"/>
    <mergeCell ref="I161:I162"/>
    <mergeCell ref="I164:I165"/>
    <mergeCell ref="I166:I167"/>
    <mergeCell ref="I172:I173"/>
    <mergeCell ref="I174:I175"/>
    <mergeCell ref="I176:I178"/>
    <mergeCell ref="I93:I98"/>
    <mergeCell ref="I112:I113"/>
    <mergeCell ref="I115:I116"/>
    <mergeCell ref="I118:I120"/>
    <mergeCell ref="I123:I130"/>
    <mergeCell ref="I131:I135"/>
    <mergeCell ref="I136:I138"/>
    <mergeCell ref="I140:I144"/>
    <mergeCell ref="I149:I150"/>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M256"/>
  <sheetViews>
    <sheetView zoomScale="85" zoomScaleNormal="85" workbookViewId="0">
      <pane xSplit="1" ySplit="1" topLeftCell="B2" activePane="bottomRight" state="frozen"/>
      <selection pane="topRight" activeCell="B1" sqref="B1"/>
      <selection pane="bottomLeft" activeCell="A2" sqref="A2"/>
      <selection pane="bottomRight" activeCell="H1" sqref="H1:J1048576"/>
    </sheetView>
  </sheetViews>
  <sheetFormatPr defaultColWidth="8.88671875" defaultRowHeight="16.8" x14ac:dyDescent="0.4"/>
  <cols>
    <col min="1" max="1" width="4.33203125" style="216" bestFit="1" customWidth="1"/>
    <col min="2" max="2" width="23.88671875" style="133" bestFit="1" customWidth="1"/>
    <col min="3" max="3" width="31" style="133" bestFit="1" customWidth="1"/>
    <col min="4" max="4" width="81.33203125" style="133" bestFit="1" customWidth="1"/>
    <col min="5" max="5" width="35.33203125" style="220" bestFit="1" customWidth="1"/>
    <col min="6" max="6" width="21.5546875" style="133" bestFit="1" customWidth="1"/>
    <col min="7" max="7" width="22.5546875" style="133" bestFit="1" customWidth="1"/>
    <col min="8" max="8" width="20.44140625" style="133" customWidth="1"/>
    <col min="9" max="9" width="18.33203125" style="133" hidden="1" customWidth="1"/>
    <col min="10" max="10" width="8.88671875" style="133"/>
    <col min="11" max="11" width="17.5546875" style="133" bestFit="1" customWidth="1"/>
    <col min="12" max="12" width="24.109375" style="133" bestFit="1" customWidth="1"/>
    <col min="13" max="13" width="20.44140625" style="133" bestFit="1" customWidth="1"/>
    <col min="14" max="16384" width="8.88671875" style="133"/>
  </cols>
  <sheetData>
    <row r="1" spans="1:13" ht="40.799999999999997" x14ac:dyDescent="0.4">
      <c r="A1" s="195" t="s">
        <v>2</v>
      </c>
      <c r="B1" s="196" t="s">
        <v>2432</v>
      </c>
      <c r="C1" s="197" t="s">
        <v>2433</v>
      </c>
      <c r="D1" s="198" t="s">
        <v>2434</v>
      </c>
      <c r="E1" s="196" t="s">
        <v>2435</v>
      </c>
      <c r="F1" s="197" t="s">
        <v>2828</v>
      </c>
      <c r="G1" s="197" t="s">
        <v>2829</v>
      </c>
      <c r="H1" s="199" t="s">
        <v>1427</v>
      </c>
      <c r="I1" s="131" t="s">
        <v>2287</v>
      </c>
      <c r="K1" s="173" t="s">
        <v>2124</v>
      </c>
      <c r="L1" s="173" t="s">
        <v>2123</v>
      </c>
      <c r="M1" s="173" t="s">
        <v>2125</v>
      </c>
    </row>
    <row r="2" spans="1:13" x14ac:dyDescent="0.4">
      <c r="A2" s="174">
        <v>1</v>
      </c>
      <c r="B2" s="200" t="s">
        <v>2436</v>
      </c>
      <c r="C2" s="200" t="s">
        <v>2437</v>
      </c>
      <c r="D2" s="200" t="s">
        <v>2438</v>
      </c>
      <c r="E2" s="201" t="s">
        <v>2439</v>
      </c>
      <c r="F2" s="202"/>
      <c r="G2" s="202"/>
      <c r="H2" s="202"/>
      <c r="I2" s="174"/>
      <c r="K2" s="217">
        <f>COUNTA(I2:I256)</f>
        <v>68</v>
      </c>
      <c r="L2" s="217">
        <f>COUNTA(A2:A256)</f>
        <v>185</v>
      </c>
      <c r="M2" s="218">
        <f>(K2/L2)*100</f>
        <v>36.756756756756758</v>
      </c>
    </row>
    <row r="3" spans="1:13" x14ac:dyDescent="0.4">
      <c r="A3" s="174">
        <v>2</v>
      </c>
      <c r="B3" s="200" t="s">
        <v>2436</v>
      </c>
      <c r="C3" s="200" t="s">
        <v>2437</v>
      </c>
      <c r="D3" s="200" t="s">
        <v>2440</v>
      </c>
      <c r="E3" s="201" t="s">
        <v>2441</v>
      </c>
      <c r="F3" s="202"/>
      <c r="G3" s="202"/>
      <c r="H3" s="202"/>
      <c r="I3" s="174"/>
    </row>
    <row r="4" spans="1:13" x14ac:dyDescent="0.4">
      <c r="A4" s="390">
        <v>3</v>
      </c>
      <c r="B4" s="577" t="s">
        <v>2436</v>
      </c>
      <c r="C4" s="577" t="s">
        <v>2437</v>
      </c>
      <c r="D4" s="577" t="s">
        <v>2442</v>
      </c>
      <c r="E4" s="579" t="s">
        <v>2443</v>
      </c>
      <c r="F4" s="203" t="str">
        <f>Практики!C50</f>
        <v>T-DEV-BLD-3-1</v>
      </c>
      <c r="G4" s="203" t="str">
        <f>Практики!F50</f>
        <v>Не заполнено</v>
      </c>
      <c r="H4" s="203">
        <f>Практики!Q50</f>
        <v>0</v>
      </c>
      <c r="I4" s="574">
        <v>0</v>
      </c>
    </row>
    <row r="5" spans="1:13" x14ac:dyDescent="0.4">
      <c r="A5" s="390"/>
      <c r="B5" s="577"/>
      <c r="C5" s="577"/>
      <c r="D5" s="577"/>
      <c r="E5" s="579"/>
      <c r="F5" s="203" t="str">
        <f>Практики!C53</f>
        <v>T-DEV-BLD-4-1</v>
      </c>
      <c r="G5" s="203" t="str">
        <f>Практики!F53</f>
        <v>Не заполнено</v>
      </c>
      <c r="H5" s="203">
        <f>Практики!Q53</f>
        <v>0</v>
      </c>
      <c r="I5" s="575"/>
    </row>
    <row r="6" spans="1:13" x14ac:dyDescent="0.4">
      <c r="A6" s="390">
        <v>4</v>
      </c>
      <c r="B6" s="577" t="s">
        <v>2436</v>
      </c>
      <c r="C6" s="577" t="s">
        <v>2437</v>
      </c>
      <c r="D6" s="577" t="s">
        <v>2444</v>
      </c>
      <c r="E6" s="578" t="s">
        <v>2445</v>
      </c>
      <c r="F6" s="203" t="str">
        <f>Практики!C3</f>
        <v>T-ADI-DEP-0-1</v>
      </c>
      <c r="G6" s="203" t="str">
        <f>Практики!F3</f>
        <v>Не заполнено</v>
      </c>
      <c r="H6" s="203">
        <f>Практики!Q3</f>
        <v>0</v>
      </c>
      <c r="I6" s="574">
        <v>0</v>
      </c>
    </row>
    <row r="7" spans="1:13" x14ac:dyDescent="0.4">
      <c r="A7" s="390"/>
      <c r="B7" s="577"/>
      <c r="C7" s="577"/>
      <c r="D7" s="577"/>
      <c r="E7" s="578"/>
      <c r="F7" s="203" t="str">
        <f>Практики!C24</f>
        <v>T-ADI-ART-3-1</v>
      </c>
      <c r="G7" s="203" t="str">
        <f>Практики!F24</f>
        <v>Не заполнено</v>
      </c>
      <c r="H7" s="203">
        <f>Практики!Q24</f>
        <v>0</v>
      </c>
      <c r="I7" s="575"/>
    </row>
    <row r="8" spans="1:13" x14ac:dyDescent="0.4">
      <c r="A8" s="174">
        <v>5</v>
      </c>
      <c r="B8" s="200" t="s">
        <v>2436</v>
      </c>
      <c r="C8" s="200" t="s">
        <v>2437</v>
      </c>
      <c r="D8" s="200" t="s">
        <v>2446</v>
      </c>
      <c r="E8" s="204" t="s">
        <v>2447</v>
      </c>
      <c r="F8" s="202"/>
      <c r="G8" s="202"/>
      <c r="H8" s="202"/>
      <c r="I8" s="174"/>
    </row>
    <row r="9" spans="1:13" x14ac:dyDescent="0.4">
      <c r="A9" s="174">
        <v>6</v>
      </c>
      <c r="B9" s="200" t="s">
        <v>2436</v>
      </c>
      <c r="C9" s="200" t="s">
        <v>2437</v>
      </c>
      <c r="D9" s="200" t="s">
        <v>2448</v>
      </c>
      <c r="E9" s="201" t="s">
        <v>2449</v>
      </c>
      <c r="F9" s="202"/>
      <c r="G9" s="202"/>
      <c r="H9" s="202"/>
      <c r="I9" s="174"/>
    </row>
    <row r="10" spans="1:13" x14ac:dyDescent="0.4">
      <c r="A10" s="390">
        <v>7</v>
      </c>
      <c r="B10" s="577" t="s">
        <v>2436</v>
      </c>
      <c r="C10" s="577" t="s">
        <v>2450</v>
      </c>
      <c r="D10" s="577" t="s">
        <v>2451</v>
      </c>
      <c r="E10" s="578" t="s">
        <v>2452</v>
      </c>
      <c r="F10" s="203" t="str">
        <f>Практики!C36</f>
        <v>T-DEV-SM-0-1</v>
      </c>
      <c r="G10" s="203" t="str">
        <f>Практики!F36</f>
        <v>Не заполнено</v>
      </c>
      <c r="H10" s="203">
        <f>Практики!Q36</f>
        <v>0</v>
      </c>
      <c r="I10" s="574">
        <v>0</v>
      </c>
    </row>
    <row r="11" spans="1:13" x14ac:dyDescent="0.4">
      <c r="A11" s="390"/>
      <c r="B11" s="577"/>
      <c r="C11" s="577"/>
      <c r="D11" s="577"/>
      <c r="E11" s="578"/>
      <c r="F11" s="203" t="str">
        <f>Практики!C37</f>
        <v>T-DEV-SM-1-1</v>
      </c>
      <c r="G11" s="203" t="str">
        <f>Практики!F37</f>
        <v>Не заполнено</v>
      </c>
      <c r="H11" s="203">
        <f>Практики!Q37</f>
        <v>0</v>
      </c>
      <c r="I11" s="576"/>
    </row>
    <row r="12" spans="1:13" x14ac:dyDescent="0.4">
      <c r="A12" s="390"/>
      <c r="B12" s="577"/>
      <c r="C12" s="577"/>
      <c r="D12" s="577"/>
      <c r="E12" s="578"/>
      <c r="F12" s="203" t="str">
        <f>Практики!C39</f>
        <v>T-DEV-SM-2-1</v>
      </c>
      <c r="G12" s="203" t="str">
        <f>Практики!F39</f>
        <v>Не заполнено</v>
      </c>
      <c r="H12" s="203">
        <f>Практики!Q39</f>
        <v>0</v>
      </c>
      <c r="I12" s="576"/>
    </row>
    <row r="13" spans="1:13" x14ac:dyDescent="0.4">
      <c r="A13" s="390"/>
      <c r="B13" s="577"/>
      <c r="C13" s="577"/>
      <c r="D13" s="577"/>
      <c r="E13" s="578"/>
      <c r="F13" s="203" t="str">
        <f>Практики!C215</f>
        <v>T-PROD-SM-1-1</v>
      </c>
      <c r="G13" s="203" t="str">
        <f>Практики!F215</f>
        <v>Не заполнено</v>
      </c>
      <c r="H13" s="203">
        <f>Практики!Q215</f>
        <v>0</v>
      </c>
      <c r="I13" s="576"/>
    </row>
    <row r="14" spans="1:13" x14ac:dyDescent="0.4">
      <c r="A14" s="390"/>
      <c r="B14" s="577"/>
      <c r="C14" s="577"/>
      <c r="D14" s="577"/>
      <c r="E14" s="578"/>
      <c r="F14" s="203" t="str">
        <f>Практики!C217</f>
        <v>T-PROD-SM-2-1</v>
      </c>
      <c r="G14" s="203" t="str">
        <f>Практики!F217</f>
        <v>Не заполнено</v>
      </c>
      <c r="H14" s="203">
        <f>Практики!Q217</f>
        <v>0</v>
      </c>
      <c r="I14" s="576"/>
    </row>
    <row r="15" spans="1:13" x14ac:dyDescent="0.4">
      <c r="A15" s="390"/>
      <c r="B15" s="577"/>
      <c r="C15" s="577"/>
      <c r="D15" s="577"/>
      <c r="E15" s="578"/>
      <c r="F15" s="203" t="str">
        <f>Практики!C41</f>
        <v>T-DEV-SM-3-1</v>
      </c>
      <c r="G15" s="203" t="str">
        <f>Практики!F41</f>
        <v>Не заполнено</v>
      </c>
      <c r="H15" s="203">
        <f>Практики!Q41</f>
        <v>0</v>
      </c>
      <c r="I15" s="575"/>
    </row>
    <row r="16" spans="1:13" x14ac:dyDescent="0.4">
      <c r="A16" s="174">
        <v>8</v>
      </c>
      <c r="B16" s="200" t="s">
        <v>2436</v>
      </c>
      <c r="C16" s="200" t="s">
        <v>2450</v>
      </c>
      <c r="D16" s="200" t="s">
        <v>2453</v>
      </c>
      <c r="E16" s="201" t="s">
        <v>2454</v>
      </c>
      <c r="F16" s="202"/>
      <c r="G16" s="202"/>
      <c r="H16" s="202"/>
      <c r="I16" s="174"/>
    </row>
    <row r="17" spans="1:9" x14ac:dyDescent="0.4">
      <c r="A17" s="390">
        <v>9</v>
      </c>
      <c r="B17" s="577" t="s">
        <v>2436</v>
      </c>
      <c r="C17" s="577" t="s">
        <v>2455</v>
      </c>
      <c r="D17" s="577" t="s">
        <v>2456</v>
      </c>
      <c r="E17" s="579" t="s">
        <v>2457</v>
      </c>
      <c r="F17" s="203" t="str">
        <f>Практики!C5</f>
        <v>T-ADI-DEP-1-2</v>
      </c>
      <c r="G17" s="203" t="str">
        <f>Практики!F5</f>
        <v>Не заполнено</v>
      </c>
      <c r="H17" s="203">
        <f>Практики!Q5</f>
        <v>0</v>
      </c>
      <c r="I17" s="574">
        <v>0</v>
      </c>
    </row>
    <row r="18" spans="1:9" x14ac:dyDescent="0.4">
      <c r="A18" s="390"/>
      <c r="B18" s="577"/>
      <c r="C18" s="577"/>
      <c r="D18" s="577"/>
      <c r="E18" s="579"/>
      <c r="F18" s="203" t="str">
        <f>Практики!C270</f>
        <v>T-PROD-VULN-1-2</v>
      </c>
      <c r="G18" s="203" t="str">
        <f>Практики!F270</f>
        <v>Не заполнено</v>
      </c>
      <c r="H18" s="203">
        <f>Практики!Q270</f>
        <v>0</v>
      </c>
      <c r="I18" s="576"/>
    </row>
    <row r="19" spans="1:9" x14ac:dyDescent="0.4">
      <c r="A19" s="390"/>
      <c r="B19" s="577"/>
      <c r="C19" s="577"/>
      <c r="D19" s="577"/>
      <c r="E19" s="579"/>
      <c r="F19" s="203" t="str">
        <f>Практики!C199</f>
        <v>T-PREPROD-VULN-1-2</v>
      </c>
      <c r="G19" s="203" t="str">
        <f>Практики!F199</f>
        <v>Не заполнено</v>
      </c>
      <c r="H19" s="203">
        <f>Практики!Q199</f>
        <v>0</v>
      </c>
      <c r="I19" s="575"/>
    </row>
    <row r="20" spans="1:9" x14ac:dyDescent="0.4">
      <c r="A20" s="174">
        <v>10</v>
      </c>
      <c r="B20" s="200" t="s">
        <v>2436</v>
      </c>
      <c r="C20" s="200" t="s">
        <v>2455</v>
      </c>
      <c r="D20" s="200" t="s">
        <v>2458</v>
      </c>
      <c r="E20" s="201" t="s">
        <v>2459</v>
      </c>
      <c r="F20" s="203" t="str">
        <f>Практики!C13</f>
        <v>T-ADI-DEP-3-3</v>
      </c>
      <c r="G20" s="203" t="str">
        <f>Практики!F13</f>
        <v>Не заполнено</v>
      </c>
      <c r="H20" s="203">
        <f>Практики!Q13</f>
        <v>0</v>
      </c>
      <c r="I20" s="174">
        <v>0</v>
      </c>
    </row>
    <row r="21" spans="1:9" x14ac:dyDescent="0.4">
      <c r="A21" s="174">
        <v>11</v>
      </c>
      <c r="B21" s="200" t="s">
        <v>2436</v>
      </c>
      <c r="C21" s="200" t="s">
        <v>2450</v>
      </c>
      <c r="D21" s="200" t="s">
        <v>2460</v>
      </c>
      <c r="E21" s="201" t="s">
        <v>2461</v>
      </c>
      <c r="F21" s="202"/>
      <c r="G21" s="202"/>
      <c r="H21" s="202"/>
      <c r="I21" s="174"/>
    </row>
    <row r="22" spans="1:9" x14ac:dyDescent="0.4">
      <c r="A22" s="174">
        <v>12</v>
      </c>
      <c r="B22" s="200" t="s">
        <v>2436</v>
      </c>
      <c r="C22" s="200" t="s">
        <v>2455</v>
      </c>
      <c r="D22" s="200" t="s">
        <v>2462</v>
      </c>
      <c r="E22" s="201" t="s">
        <v>2463</v>
      </c>
      <c r="F22" s="202"/>
      <c r="G22" s="202"/>
      <c r="H22" s="202"/>
      <c r="I22" s="174"/>
    </row>
    <row r="23" spans="1:9" x14ac:dyDescent="0.4">
      <c r="A23" s="174">
        <v>13</v>
      </c>
      <c r="B23" s="200" t="s">
        <v>2436</v>
      </c>
      <c r="C23" s="200" t="s">
        <v>2450</v>
      </c>
      <c r="D23" s="200" t="s">
        <v>2464</v>
      </c>
      <c r="E23" s="201" t="s">
        <v>2465</v>
      </c>
      <c r="F23" s="202"/>
      <c r="G23" s="202"/>
      <c r="H23" s="202"/>
      <c r="I23" s="174"/>
    </row>
    <row r="24" spans="1:9" x14ac:dyDescent="0.4">
      <c r="A24" s="174">
        <v>14</v>
      </c>
      <c r="B24" s="200" t="s">
        <v>2436</v>
      </c>
      <c r="C24" s="200" t="s">
        <v>2455</v>
      </c>
      <c r="D24" s="200" t="s">
        <v>2466</v>
      </c>
      <c r="E24" s="201" t="s">
        <v>2467</v>
      </c>
      <c r="F24" s="202"/>
      <c r="G24" s="202"/>
      <c r="H24" s="202"/>
      <c r="I24" s="174"/>
    </row>
    <row r="25" spans="1:9" x14ac:dyDescent="0.4">
      <c r="A25" s="174">
        <v>15</v>
      </c>
      <c r="B25" s="200" t="s">
        <v>2436</v>
      </c>
      <c r="C25" s="200" t="s">
        <v>2455</v>
      </c>
      <c r="D25" s="200" t="s">
        <v>2468</v>
      </c>
      <c r="E25" s="201" t="s">
        <v>2469</v>
      </c>
      <c r="F25" s="202"/>
      <c r="G25" s="202"/>
      <c r="H25" s="202"/>
      <c r="I25" s="174"/>
    </row>
    <row r="26" spans="1:9" x14ac:dyDescent="0.4">
      <c r="A26" s="174">
        <v>16</v>
      </c>
      <c r="B26" s="200" t="s">
        <v>2436</v>
      </c>
      <c r="C26" s="200" t="s">
        <v>2455</v>
      </c>
      <c r="D26" s="200" t="s">
        <v>2470</v>
      </c>
      <c r="E26" s="201" t="s">
        <v>2471</v>
      </c>
      <c r="F26" s="202"/>
      <c r="G26" s="202"/>
      <c r="H26" s="202"/>
      <c r="I26" s="174"/>
    </row>
    <row r="27" spans="1:9" x14ac:dyDescent="0.4">
      <c r="A27" s="174">
        <v>17</v>
      </c>
      <c r="B27" s="200" t="s">
        <v>2436</v>
      </c>
      <c r="C27" s="200" t="s">
        <v>2455</v>
      </c>
      <c r="D27" s="200" t="s">
        <v>2472</v>
      </c>
      <c r="E27" s="201" t="s">
        <v>2473</v>
      </c>
      <c r="F27" s="202"/>
      <c r="G27" s="202"/>
      <c r="H27" s="202"/>
      <c r="I27" s="174"/>
    </row>
    <row r="28" spans="1:9" x14ac:dyDescent="0.4">
      <c r="A28" s="174">
        <v>18</v>
      </c>
      <c r="B28" s="200" t="s">
        <v>2436</v>
      </c>
      <c r="C28" s="200" t="s">
        <v>2455</v>
      </c>
      <c r="D28" s="200" t="s">
        <v>2474</v>
      </c>
      <c r="E28" s="201" t="s">
        <v>2475</v>
      </c>
      <c r="F28" s="202"/>
      <c r="G28" s="202"/>
      <c r="H28" s="202"/>
      <c r="I28" s="174"/>
    </row>
    <row r="29" spans="1:9" x14ac:dyDescent="0.4">
      <c r="A29" s="174">
        <v>19</v>
      </c>
      <c r="B29" s="200" t="s">
        <v>2436</v>
      </c>
      <c r="C29" s="200" t="s">
        <v>2450</v>
      </c>
      <c r="D29" s="200" t="s">
        <v>2476</v>
      </c>
      <c r="E29" s="201" t="s">
        <v>2477</v>
      </c>
      <c r="F29" s="202"/>
      <c r="G29" s="202"/>
      <c r="H29" s="202"/>
      <c r="I29" s="174"/>
    </row>
    <row r="30" spans="1:9" x14ac:dyDescent="0.4">
      <c r="A30" s="174">
        <v>20</v>
      </c>
      <c r="B30" s="200" t="s">
        <v>2436</v>
      </c>
      <c r="C30" s="200" t="s">
        <v>2450</v>
      </c>
      <c r="D30" s="200" t="s">
        <v>2478</v>
      </c>
      <c r="E30" s="201" t="s">
        <v>2479</v>
      </c>
      <c r="F30" s="202"/>
      <c r="G30" s="202"/>
      <c r="H30" s="202"/>
      <c r="I30" s="174"/>
    </row>
    <row r="31" spans="1:9" x14ac:dyDescent="0.4">
      <c r="A31" s="174">
        <v>21</v>
      </c>
      <c r="B31" s="200" t="s">
        <v>2436</v>
      </c>
      <c r="C31" s="200" t="s">
        <v>2450</v>
      </c>
      <c r="D31" s="200" t="s">
        <v>2480</v>
      </c>
      <c r="E31" s="201" t="s">
        <v>2481</v>
      </c>
      <c r="F31" s="202"/>
      <c r="G31" s="202"/>
      <c r="H31" s="202"/>
      <c r="I31" s="174"/>
    </row>
    <row r="32" spans="1:9" x14ac:dyDescent="0.4">
      <c r="A32" s="174">
        <v>22</v>
      </c>
      <c r="B32" s="200" t="s">
        <v>2436</v>
      </c>
      <c r="C32" s="200" t="s">
        <v>2450</v>
      </c>
      <c r="D32" s="200" t="s">
        <v>2482</v>
      </c>
      <c r="E32" s="201" t="s">
        <v>2483</v>
      </c>
      <c r="F32" s="202"/>
      <c r="G32" s="202"/>
      <c r="H32" s="202"/>
      <c r="I32" s="174"/>
    </row>
    <row r="33" spans="1:9" x14ac:dyDescent="0.4">
      <c r="A33" s="174">
        <v>23</v>
      </c>
      <c r="B33" s="200" t="s">
        <v>2436</v>
      </c>
      <c r="C33" s="200" t="s">
        <v>2450</v>
      </c>
      <c r="D33" s="200" t="s">
        <v>2484</v>
      </c>
      <c r="E33" s="201" t="s">
        <v>2485</v>
      </c>
      <c r="F33" s="202"/>
      <c r="G33" s="202"/>
      <c r="H33" s="202"/>
      <c r="I33" s="174"/>
    </row>
    <row r="34" spans="1:9" x14ac:dyDescent="0.4">
      <c r="A34" s="174">
        <v>24</v>
      </c>
      <c r="B34" s="200" t="s">
        <v>2436</v>
      </c>
      <c r="C34" s="200" t="s">
        <v>2450</v>
      </c>
      <c r="D34" s="200" t="s">
        <v>2486</v>
      </c>
      <c r="E34" s="201" t="s">
        <v>2487</v>
      </c>
      <c r="F34" s="202"/>
      <c r="G34" s="202"/>
      <c r="H34" s="202"/>
      <c r="I34" s="174"/>
    </row>
    <row r="35" spans="1:9" x14ac:dyDescent="0.4">
      <c r="A35" s="174">
        <v>25</v>
      </c>
      <c r="B35" s="200" t="s">
        <v>2436</v>
      </c>
      <c r="C35" s="200" t="s">
        <v>2450</v>
      </c>
      <c r="D35" s="200" t="s">
        <v>2488</v>
      </c>
      <c r="E35" s="201" t="s">
        <v>2489</v>
      </c>
      <c r="F35" s="202"/>
      <c r="G35" s="202"/>
      <c r="H35" s="202"/>
      <c r="I35" s="174"/>
    </row>
    <row r="36" spans="1:9" x14ac:dyDescent="0.4">
      <c r="A36" s="174">
        <v>26</v>
      </c>
      <c r="B36" s="200" t="s">
        <v>2436</v>
      </c>
      <c r="C36" s="200" t="s">
        <v>2450</v>
      </c>
      <c r="D36" s="200" t="s">
        <v>2490</v>
      </c>
      <c r="E36" s="205" t="s">
        <v>2491</v>
      </c>
      <c r="F36" s="202"/>
      <c r="G36" s="202"/>
      <c r="H36" s="202"/>
      <c r="I36" s="174"/>
    </row>
    <row r="37" spans="1:9" x14ac:dyDescent="0.4">
      <c r="A37" s="174">
        <v>27</v>
      </c>
      <c r="B37" s="200" t="s">
        <v>2492</v>
      </c>
      <c r="C37" s="200" t="s">
        <v>1312</v>
      </c>
      <c r="D37" s="200" t="s">
        <v>2493</v>
      </c>
      <c r="E37" s="201" t="s">
        <v>2494</v>
      </c>
      <c r="F37" s="203" t="str">
        <f>Практики!C306</f>
        <v>P-REQ-TM-0-1</v>
      </c>
      <c r="G37" s="203" t="str">
        <f>Практики!F306</f>
        <v>Не заполнено</v>
      </c>
      <c r="H37" s="203">
        <f>Практики!Q306</f>
        <v>0</v>
      </c>
      <c r="I37" s="174">
        <v>0</v>
      </c>
    </row>
    <row r="38" spans="1:9" x14ac:dyDescent="0.4">
      <c r="A38" s="174">
        <v>28</v>
      </c>
      <c r="B38" s="200" t="s">
        <v>2492</v>
      </c>
      <c r="C38" s="200" t="s">
        <v>1312</v>
      </c>
      <c r="D38" s="200" t="s">
        <v>2495</v>
      </c>
      <c r="E38" s="201" t="s">
        <v>2496</v>
      </c>
      <c r="F38" s="203" t="str">
        <f>Практики!C316</f>
        <v>P-REQ-TM-4-1</v>
      </c>
      <c r="G38" s="203" t="str">
        <f>Практики!F316</f>
        <v>Не заполнено</v>
      </c>
      <c r="H38" s="203">
        <f>Практики!Q316</f>
        <v>0</v>
      </c>
      <c r="I38" s="174">
        <v>0</v>
      </c>
    </row>
    <row r="39" spans="1:9" x14ac:dyDescent="0.4">
      <c r="A39" s="174">
        <v>29</v>
      </c>
      <c r="B39" s="200" t="s">
        <v>2492</v>
      </c>
      <c r="C39" s="200" t="s">
        <v>1312</v>
      </c>
      <c r="D39" s="200" t="s">
        <v>2497</v>
      </c>
      <c r="E39" s="201" t="s">
        <v>2498</v>
      </c>
      <c r="F39" s="203" t="str">
        <f>Практики!C316</f>
        <v>P-REQ-TM-4-1</v>
      </c>
      <c r="G39" s="203" t="str">
        <f>Практики!F316</f>
        <v>Не заполнено</v>
      </c>
      <c r="H39" s="203">
        <f>Практики!Q316</f>
        <v>0</v>
      </c>
      <c r="I39" s="174">
        <v>0</v>
      </c>
    </row>
    <row r="40" spans="1:9" x14ac:dyDescent="0.4">
      <c r="A40" s="390">
        <v>30</v>
      </c>
      <c r="B40" s="577" t="s">
        <v>2492</v>
      </c>
      <c r="C40" s="577" t="s">
        <v>1312</v>
      </c>
      <c r="D40" s="577" t="s">
        <v>2499</v>
      </c>
      <c r="E40" s="579" t="s">
        <v>2500</v>
      </c>
      <c r="F40" s="203" t="str">
        <f>Практики!C306</f>
        <v>P-REQ-TM-0-1</v>
      </c>
      <c r="G40" s="203" t="str">
        <f>Практики!F306</f>
        <v>Не заполнено</v>
      </c>
      <c r="H40" s="203">
        <f>Практики!Q306</f>
        <v>0</v>
      </c>
      <c r="I40" s="574">
        <v>0</v>
      </c>
    </row>
    <row r="41" spans="1:9" x14ac:dyDescent="0.4">
      <c r="A41" s="390"/>
      <c r="B41" s="577"/>
      <c r="C41" s="577"/>
      <c r="D41" s="577"/>
      <c r="E41" s="579"/>
      <c r="F41" s="203" t="str">
        <f>Практики!C314</f>
        <v>P-REQ-TM-3-2</v>
      </c>
      <c r="G41" s="203" t="str">
        <f>Практики!F314</f>
        <v>Не заполнено</v>
      </c>
      <c r="H41" s="203">
        <f>Практики!Q314</f>
        <v>0</v>
      </c>
      <c r="I41" s="575"/>
    </row>
    <row r="42" spans="1:9" x14ac:dyDescent="0.4">
      <c r="A42" s="174">
        <v>31</v>
      </c>
      <c r="B42" s="200" t="s">
        <v>2492</v>
      </c>
      <c r="C42" s="200" t="s">
        <v>2501</v>
      </c>
      <c r="D42" s="200" t="s">
        <v>2502</v>
      </c>
      <c r="E42" s="201" t="s">
        <v>2503</v>
      </c>
      <c r="F42" s="202"/>
      <c r="G42" s="202"/>
      <c r="H42" s="202"/>
      <c r="I42" s="174"/>
    </row>
    <row r="43" spans="1:9" x14ac:dyDescent="0.4">
      <c r="A43" s="174">
        <v>32</v>
      </c>
      <c r="B43" s="200" t="s">
        <v>2492</v>
      </c>
      <c r="C43" s="200" t="s">
        <v>2501</v>
      </c>
      <c r="D43" s="200" t="s">
        <v>2504</v>
      </c>
      <c r="E43" s="201" t="s">
        <v>2505</v>
      </c>
      <c r="F43" s="202"/>
      <c r="G43" s="202"/>
      <c r="H43" s="202"/>
      <c r="I43" s="174"/>
    </row>
    <row r="44" spans="1:9" x14ac:dyDescent="0.4">
      <c r="A44" s="174">
        <v>33</v>
      </c>
      <c r="B44" s="200" t="s">
        <v>2492</v>
      </c>
      <c r="C44" s="200" t="s">
        <v>2501</v>
      </c>
      <c r="D44" s="200" t="s">
        <v>2506</v>
      </c>
      <c r="E44" s="201" t="s">
        <v>2507</v>
      </c>
      <c r="F44" s="203" t="str">
        <f>Практики!C285</f>
        <v>P-EDU-AWR-0-1</v>
      </c>
      <c r="G44" s="203" t="str">
        <f>Практики!F285</f>
        <v>Не заполнено</v>
      </c>
      <c r="H44" s="203">
        <f>Практики!Q285</f>
        <v>0</v>
      </c>
      <c r="I44" s="174">
        <v>0</v>
      </c>
    </row>
    <row r="45" spans="1:9" x14ac:dyDescent="0.4">
      <c r="A45" s="174">
        <v>34</v>
      </c>
      <c r="B45" s="200" t="s">
        <v>2492</v>
      </c>
      <c r="C45" s="200" t="s">
        <v>2501</v>
      </c>
      <c r="D45" s="200" t="s">
        <v>2508</v>
      </c>
      <c r="E45" s="201" t="s">
        <v>2509</v>
      </c>
      <c r="F45" s="202"/>
      <c r="G45" s="202"/>
      <c r="H45" s="202"/>
      <c r="I45" s="174"/>
    </row>
    <row r="46" spans="1:9" x14ac:dyDescent="0.4">
      <c r="A46" s="174">
        <v>35</v>
      </c>
      <c r="B46" s="200" t="s">
        <v>2492</v>
      </c>
      <c r="C46" s="200" t="s">
        <v>2501</v>
      </c>
      <c r="D46" s="200" t="s">
        <v>2510</v>
      </c>
      <c r="E46" s="201" t="s">
        <v>2511</v>
      </c>
      <c r="F46" s="202"/>
      <c r="G46" s="202"/>
      <c r="H46" s="202"/>
      <c r="I46" s="174"/>
    </row>
    <row r="47" spans="1:9" x14ac:dyDescent="0.4">
      <c r="A47" s="390">
        <v>36</v>
      </c>
      <c r="B47" s="577" t="s">
        <v>2492</v>
      </c>
      <c r="C47" s="577" t="s">
        <v>2501</v>
      </c>
      <c r="D47" s="577" t="s">
        <v>2512</v>
      </c>
      <c r="E47" s="579" t="s">
        <v>2513</v>
      </c>
      <c r="F47" s="203" t="str">
        <f>Практики!C286</f>
        <v>P-EDU-AWR-1-1</v>
      </c>
      <c r="G47" s="203" t="str">
        <f>Практики!F286</f>
        <v>Не заполнено</v>
      </c>
      <c r="H47" s="203">
        <f>Практики!Q286</f>
        <v>0</v>
      </c>
      <c r="I47" s="574">
        <v>0</v>
      </c>
    </row>
    <row r="48" spans="1:9" x14ac:dyDescent="0.4">
      <c r="A48" s="390"/>
      <c r="B48" s="577"/>
      <c r="C48" s="577"/>
      <c r="D48" s="577"/>
      <c r="E48" s="579"/>
      <c r="F48" s="203" t="str">
        <f>Практики!C289</f>
        <v>P-EDU-AWR-2-2</v>
      </c>
      <c r="G48" s="203" t="str">
        <f>Практики!F289</f>
        <v>Не заполнено</v>
      </c>
      <c r="H48" s="203">
        <f>Практики!Q289</f>
        <v>0</v>
      </c>
      <c r="I48" s="575"/>
    </row>
    <row r="49" spans="1:9" x14ac:dyDescent="0.4">
      <c r="A49" s="174">
        <v>37</v>
      </c>
      <c r="B49" s="200" t="s">
        <v>2492</v>
      </c>
      <c r="C49" s="200" t="s">
        <v>2501</v>
      </c>
      <c r="D49" s="200" t="s">
        <v>2514</v>
      </c>
      <c r="E49" s="201" t="s">
        <v>2515</v>
      </c>
      <c r="F49" s="202"/>
      <c r="G49" s="202"/>
      <c r="H49" s="202"/>
      <c r="I49" s="174"/>
    </row>
    <row r="50" spans="1:9" x14ac:dyDescent="0.4">
      <c r="A50" s="174">
        <v>38</v>
      </c>
      <c r="B50" s="200" t="s">
        <v>2492</v>
      </c>
      <c r="C50" s="200" t="s">
        <v>1312</v>
      </c>
      <c r="D50" s="200" t="s">
        <v>2516</v>
      </c>
      <c r="E50" s="201" t="s">
        <v>2517</v>
      </c>
      <c r="F50" s="202"/>
      <c r="G50" s="202"/>
      <c r="H50" s="202"/>
      <c r="I50" s="174"/>
    </row>
    <row r="51" spans="1:9" x14ac:dyDescent="0.4">
      <c r="A51" s="174">
        <v>39</v>
      </c>
      <c r="B51" s="200" t="s">
        <v>2492</v>
      </c>
      <c r="C51" s="200" t="s">
        <v>2501</v>
      </c>
      <c r="D51" s="200" t="s">
        <v>2518</v>
      </c>
      <c r="E51" s="201" t="s">
        <v>2519</v>
      </c>
      <c r="F51" s="202"/>
      <c r="G51" s="202"/>
      <c r="H51" s="202"/>
      <c r="I51" s="174"/>
    </row>
    <row r="52" spans="1:9" x14ac:dyDescent="0.4">
      <c r="A52" s="390">
        <v>40</v>
      </c>
      <c r="B52" s="577" t="s">
        <v>2492</v>
      </c>
      <c r="C52" s="577" t="s">
        <v>1312</v>
      </c>
      <c r="D52" s="577" t="s">
        <v>2520</v>
      </c>
      <c r="E52" s="579" t="s">
        <v>2521</v>
      </c>
      <c r="F52" s="203" t="str">
        <f>Практики!C306</f>
        <v>P-REQ-TM-0-1</v>
      </c>
      <c r="G52" s="203" t="str">
        <f>Практики!F306</f>
        <v>Не заполнено</v>
      </c>
      <c r="H52" s="203">
        <f>Практики!Q306</f>
        <v>0</v>
      </c>
      <c r="I52" s="574">
        <v>0</v>
      </c>
    </row>
    <row r="53" spans="1:9" x14ac:dyDescent="0.4">
      <c r="A53" s="390"/>
      <c r="B53" s="577"/>
      <c r="C53" s="577"/>
      <c r="D53" s="577"/>
      <c r="E53" s="579"/>
      <c r="F53" s="203" t="str">
        <f>Практики!C313</f>
        <v>P-REQ-TM-3-1</v>
      </c>
      <c r="G53" s="203" t="str">
        <f>Практики!F313</f>
        <v>Не заполнено</v>
      </c>
      <c r="H53" s="203">
        <f>Практики!Q313</f>
        <v>0</v>
      </c>
      <c r="I53" s="575"/>
    </row>
    <row r="54" spans="1:9" x14ac:dyDescent="0.4">
      <c r="A54" s="390">
        <v>41</v>
      </c>
      <c r="B54" s="577" t="s">
        <v>2492</v>
      </c>
      <c r="C54" s="577" t="s">
        <v>1312</v>
      </c>
      <c r="D54" s="577" t="s">
        <v>2522</v>
      </c>
      <c r="E54" s="578" t="s">
        <v>2523</v>
      </c>
      <c r="F54" s="203" t="str">
        <f>Практики!C310</f>
        <v>P-REQ-TM-2-1</v>
      </c>
      <c r="G54" s="203" t="str">
        <f>Практики!F310</f>
        <v>Не заполнено</v>
      </c>
      <c r="H54" s="203">
        <f>Практики!Q310</f>
        <v>0</v>
      </c>
      <c r="I54" s="574">
        <v>0</v>
      </c>
    </row>
    <row r="55" spans="1:9" x14ac:dyDescent="0.4">
      <c r="A55" s="390"/>
      <c r="B55" s="577"/>
      <c r="C55" s="577"/>
      <c r="D55" s="577"/>
      <c r="E55" s="578"/>
      <c r="F55" s="203" t="str">
        <f>Практики!C315</f>
        <v>P-REQ-TM-3-3</v>
      </c>
      <c r="G55" s="203" t="str">
        <f>Практики!F315</f>
        <v>Не заполнено</v>
      </c>
      <c r="H55" s="203">
        <f>Практики!Q315</f>
        <v>0</v>
      </c>
      <c r="I55" s="575"/>
    </row>
    <row r="56" spans="1:9" x14ac:dyDescent="0.4">
      <c r="A56" s="174">
        <v>42</v>
      </c>
      <c r="B56" s="200" t="s">
        <v>2492</v>
      </c>
      <c r="C56" s="200" t="s">
        <v>2501</v>
      </c>
      <c r="D56" s="200" t="s">
        <v>2524</v>
      </c>
      <c r="E56" s="201" t="s">
        <v>2525</v>
      </c>
      <c r="F56" s="202"/>
      <c r="G56" s="202"/>
      <c r="H56" s="202"/>
      <c r="I56" s="174"/>
    </row>
    <row r="57" spans="1:9" x14ac:dyDescent="0.4">
      <c r="A57" s="174">
        <v>43</v>
      </c>
      <c r="B57" s="200" t="s">
        <v>2492</v>
      </c>
      <c r="C57" s="200" t="s">
        <v>2501</v>
      </c>
      <c r="D57" s="200" t="s">
        <v>2526</v>
      </c>
      <c r="E57" s="201" t="s">
        <v>2527</v>
      </c>
      <c r="F57" s="203" t="str">
        <f>Практики!C385</f>
        <v>P-ROLE-SC-2-2</v>
      </c>
      <c r="G57" s="203" t="str">
        <f>Практики!F385</f>
        <v>Не заполнено</v>
      </c>
      <c r="H57" s="203">
        <f>Практики!Q385</f>
        <v>0</v>
      </c>
      <c r="I57" s="174">
        <v>0</v>
      </c>
    </row>
    <row r="58" spans="1:9" x14ac:dyDescent="0.4">
      <c r="A58" s="174">
        <v>44</v>
      </c>
      <c r="B58" s="200" t="s">
        <v>2492</v>
      </c>
      <c r="C58" s="200" t="s">
        <v>2528</v>
      </c>
      <c r="D58" s="200" t="s">
        <v>2529</v>
      </c>
      <c r="E58" s="201" t="s">
        <v>2530</v>
      </c>
      <c r="F58" s="202"/>
      <c r="G58" s="202"/>
      <c r="H58" s="202"/>
      <c r="I58" s="174"/>
    </row>
    <row r="59" spans="1:9" x14ac:dyDescent="0.4">
      <c r="A59" s="174">
        <v>45</v>
      </c>
      <c r="B59" s="200" t="s">
        <v>2492</v>
      </c>
      <c r="C59" s="200" t="s">
        <v>2501</v>
      </c>
      <c r="D59" s="200" t="s">
        <v>2531</v>
      </c>
      <c r="E59" s="201" t="s">
        <v>2532</v>
      </c>
      <c r="F59" s="202"/>
      <c r="G59" s="202"/>
      <c r="H59" s="202"/>
      <c r="I59" s="174"/>
    </row>
    <row r="60" spans="1:9" x14ac:dyDescent="0.4">
      <c r="A60" s="174">
        <v>46</v>
      </c>
      <c r="B60" s="200" t="s">
        <v>2492</v>
      </c>
      <c r="C60" s="200" t="s">
        <v>2528</v>
      </c>
      <c r="D60" s="200" t="s">
        <v>2533</v>
      </c>
      <c r="E60" s="201" t="s">
        <v>2534</v>
      </c>
      <c r="F60" s="202"/>
      <c r="G60" s="202"/>
      <c r="H60" s="202"/>
      <c r="I60" s="174"/>
    </row>
    <row r="61" spans="1:9" x14ac:dyDescent="0.4">
      <c r="A61" s="174">
        <v>47</v>
      </c>
      <c r="B61" s="200" t="s">
        <v>2492</v>
      </c>
      <c r="C61" s="200" t="s">
        <v>2501</v>
      </c>
      <c r="D61" s="200" t="s">
        <v>2535</v>
      </c>
      <c r="E61" s="201" t="s">
        <v>2536</v>
      </c>
      <c r="F61" s="202"/>
      <c r="G61" s="202"/>
      <c r="H61" s="202"/>
      <c r="I61" s="174"/>
    </row>
    <row r="62" spans="1:9" x14ac:dyDescent="0.4">
      <c r="A62" s="174">
        <v>48</v>
      </c>
      <c r="B62" s="200" t="s">
        <v>2492</v>
      </c>
      <c r="C62" s="200" t="s">
        <v>2501</v>
      </c>
      <c r="D62" s="200" t="s">
        <v>2537</v>
      </c>
      <c r="E62" s="201" t="s">
        <v>2538</v>
      </c>
      <c r="F62" s="202"/>
      <c r="G62" s="202"/>
      <c r="H62" s="202"/>
      <c r="I62" s="174"/>
    </row>
    <row r="63" spans="1:9" x14ac:dyDescent="0.4">
      <c r="A63" s="174">
        <v>49</v>
      </c>
      <c r="B63" s="200" t="s">
        <v>2492</v>
      </c>
      <c r="C63" s="200" t="s">
        <v>2501</v>
      </c>
      <c r="D63" s="200" t="s">
        <v>2539</v>
      </c>
      <c r="E63" s="201" t="s">
        <v>2540</v>
      </c>
      <c r="F63" s="203" t="str">
        <f>Практики!C292</f>
        <v>P-EDU-AWR-3-1</v>
      </c>
      <c r="G63" s="203" t="str">
        <f>Практики!F292</f>
        <v>Не заполнено</v>
      </c>
      <c r="H63" s="203">
        <f>Практики!Q292</f>
        <v>0</v>
      </c>
      <c r="I63" s="174">
        <v>0</v>
      </c>
    </row>
    <row r="64" spans="1:9" x14ac:dyDescent="0.4">
      <c r="A64" s="390">
        <v>50</v>
      </c>
      <c r="B64" s="577" t="s">
        <v>2492</v>
      </c>
      <c r="C64" s="577" t="s">
        <v>2501</v>
      </c>
      <c r="D64" s="577" t="s">
        <v>2541</v>
      </c>
      <c r="E64" s="578" t="s">
        <v>2542</v>
      </c>
      <c r="F64" s="203" t="str">
        <f>Практики!C382</f>
        <v>P-ROLE-SC-0-1</v>
      </c>
      <c r="G64" s="203" t="str">
        <f>Практики!F382</f>
        <v>Не заполнено</v>
      </c>
      <c r="H64" s="203">
        <f>Практики!Q382</f>
        <v>0</v>
      </c>
      <c r="I64" s="574">
        <v>0</v>
      </c>
    </row>
    <row r="65" spans="1:9" x14ac:dyDescent="0.4">
      <c r="A65" s="390"/>
      <c r="B65" s="577"/>
      <c r="C65" s="577"/>
      <c r="D65" s="577"/>
      <c r="E65" s="578"/>
      <c r="F65" s="203" t="str">
        <f>Практики!C384</f>
        <v>P-ROLE-SC-2-1</v>
      </c>
      <c r="G65" s="203" t="str">
        <f>Практики!F384</f>
        <v>Не заполнено</v>
      </c>
      <c r="H65" s="203">
        <f>Практики!Q384</f>
        <v>0</v>
      </c>
      <c r="I65" s="575"/>
    </row>
    <row r="66" spans="1:9" x14ac:dyDescent="0.4">
      <c r="A66" s="174">
        <v>51</v>
      </c>
      <c r="B66" s="200" t="s">
        <v>2492</v>
      </c>
      <c r="C66" s="200" t="s">
        <v>2501</v>
      </c>
      <c r="D66" s="200" t="s">
        <v>2543</v>
      </c>
      <c r="E66" s="201" t="s">
        <v>2544</v>
      </c>
      <c r="F66" s="203" t="str">
        <f>Практики!C290</f>
        <v>P-EDU-AWR-2-3</v>
      </c>
      <c r="G66" s="203" t="str">
        <f>Практики!F290</f>
        <v>Не заполнено</v>
      </c>
      <c r="H66" s="203">
        <f>Практики!Q290</f>
        <v>0</v>
      </c>
      <c r="I66" s="174">
        <v>0</v>
      </c>
    </row>
    <row r="67" spans="1:9" x14ac:dyDescent="0.4">
      <c r="A67" s="174">
        <v>52</v>
      </c>
      <c r="B67" s="200" t="s">
        <v>2492</v>
      </c>
      <c r="C67" s="200" t="s">
        <v>2528</v>
      </c>
      <c r="D67" s="200" t="s">
        <v>2545</v>
      </c>
      <c r="E67" s="201" t="s">
        <v>2546</v>
      </c>
      <c r="F67" s="202"/>
      <c r="G67" s="202"/>
      <c r="H67" s="202"/>
      <c r="I67" s="174"/>
    </row>
    <row r="68" spans="1:9" x14ac:dyDescent="0.4">
      <c r="A68" s="174">
        <v>53</v>
      </c>
      <c r="B68" s="200" t="s">
        <v>2492</v>
      </c>
      <c r="C68" s="200" t="s">
        <v>2501</v>
      </c>
      <c r="D68" s="200" t="s">
        <v>2547</v>
      </c>
      <c r="E68" s="201" t="s">
        <v>2548</v>
      </c>
      <c r="F68" s="203" t="str">
        <f>Практики!C287</f>
        <v>P-EDU-AWR-1-2</v>
      </c>
      <c r="G68" s="203" t="str">
        <f>Практики!F287</f>
        <v>Не заполнено</v>
      </c>
      <c r="H68" s="203">
        <f>Практики!Q287</f>
        <v>0</v>
      </c>
      <c r="I68" s="174">
        <v>0</v>
      </c>
    </row>
    <row r="69" spans="1:9" x14ac:dyDescent="0.4">
      <c r="A69" s="174">
        <v>54</v>
      </c>
      <c r="B69" s="200" t="s">
        <v>1313</v>
      </c>
      <c r="C69" s="200" t="s">
        <v>2549</v>
      </c>
      <c r="D69" s="200" t="s">
        <v>2550</v>
      </c>
      <c r="E69" s="201" t="s">
        <v>2551</v>
      </c>
      <c r="F69" s="202"/>
      <c r="G69" s="202"/>
      <c r="H69" s="202"/>
      <c r="I69" s="174"/>
    </row>
    <row r="70" spans="1:9" x14ac:dyDescent="0.4">
      <c r="A70" s="174">
        <v>55</v>
      </c>
      <c r="B70" s="200" t="s">
        <v>1313</v>
      </c>
      <c r="C70" s="200" t="s">
        <v>2549</v>
      </c>
      <c r="D70" s="200" t="s">
        <v>2552</v>
      </c>
      <c r="E70" s="201" t="s">
        <v>2553</v>
      </c>
      <c r="F70" s="202"/>
      <c r="G70" s="202"/>
      <c r="H70" s="202"/>
      <c r="I70" s="174"/>
    </row>
    <row r="71" spans="1:9" x14ac:dyDescent="0.4">
      <c r="A71" s="390">
        <v>56</v>
      </c>
      <c r="B71" s="577" t="s">
        <v>1313</v>
      </c>
      <c r="C71" s="577" t="s">
        <v>2549</v>
      </c>
      <c r="D71" s="577" t="s">
        <v>2554</v>
      </c>
      <c r="E71" s="578" t="s">
        <v>2555</v>
      </c>
      <c r="F71" s="203" t="str">
        <f>Практики!C7</f>
        <v>T-ADI-DEP-1-4</v>
      </c>
      <c r="G71" s="203" t="str">
        <f>Практики!F7</f>
        <v>Не заполнено</v>
      </c>
      <c r="H71" s="203">
        <f>Практики!Q7</f>
        <v>0</v>
      </c>
      <c r="I71" s="574">
        <v>0</v>
      </c>
    </row>
    <row r="72" spans="1:9" x14ac:dyDescent="0.4">
      <c r="A72" s="390"/>
      <c r="B72" s="577"/>
      <c r="C72" s="577"/>
      <c r="D72" s="577"/>
      <c r="E72" s="578"/>
      <c r="F72" s="203" t="str">
        <f>Практики!C51</f>
        <v>T-DEV-BLD-3-2</v>
      </c>
      <c r="G72" s="203" t="str">
        <f>Практики!F51</f>
        <v>Не заполнено</v>
      </c>
      <c r="H72" s="203">
        <f>Практики!Q51</f>
        <v>0</v>
      </c>
      <c r="I72" s="576"/>
    </row>
    <row r="73" spans="1:9" x14ac:dyDescent="0.4">
      <c r="A73" s="390"/>
      <c r="B73" s="577"/>
      <c r="C73" s="577"/>
      <c r="D73" s="577"/>
      <c r="E73" s="578"/>
      <c r="F73" s="203" t="str">
        <f>Практики!C44</f>
        <v>T-DEV-BLD-0-1</v>
      </c>
      <c r="G73" s="203" t="str">
        <f>Практики!F44</f>
        <v>Не заполнено</v>
      </c>
      <c r="H73" s="203">
        <f>Практики!Q44</f>
        <v>0</v>
      </c>
      <c r="I73" s="576"/>
    </row>
    <row r="74" spans="1:9" x14ac:dyDescent="0.4">
      <c r="A74" s="390"/>
      <c r="B74" s="577"/>
      <c r="C74" s="577"/>
      <c r="D74" s="577"/>
      <c r="E74" s="578"/>
      <c r="F74" s="203" t="str">
        <f>Практики!C94</f>
        <v>T-DEV-CICD-0-1</v>
      </c>
      <c r="G74" s="203" t="str">
        <f>Практики!F94</f>
        <v>Не заполнено</v>
      </c>
      <c r="H74" s="203">
        <f>Практики!Q94</f>
        <v>0</v>
      </c>
      <c r="I74" s="575"/>
    </row>
    <row r="75" spans="1:9" x14ac:dyDescent="0.4">
      <c r="A75" s="390">
        <v>57</v>
      </c>
      <c r="B75" s="577" t="s">
        <v>1313</v>
      </c>
      <c r="C75" s="577" t="s">
        <v>2549</v>
      </c>
      <c r="D75" s="577" t="s">
        <v>2556</v>
      </c>
      <c r="E75" s="578" t="s">
        <v>2557</v>
      </c>
      <c r="F75" s="203" t="str">
        <f>Практики!C18</f>
        <v>T-ADI-ART-1-2</v>
      </c>
      <c r="G75" s="203" t="str">
        <f>Практики!F18</f>
        <v>Не заполнено</v>
      </c>
      <c r="H75" s="203">
        <f>Практики!Q18</f>
        <v>0</v>
      </c>
      <c r="I75" s="574">
        <v>0</v>
      </c>
    </row>
    <row r="76" spans="1:9" x14ac:dyDescent="0.4">
      <c r="A76" s="390"/>
      <c r="B76" s="577"/>
      <c r="C76" s="577"/>
      <c r="D76" s="577"/>
      <c r="E76" s="578"/>
      <c r="F76" s="203" t="str">
        <f>Практики!C54</f>
        <v>T-DEV-SCM-0-1</v>
      </c>
      <c r="G76" s="203" t="str">
        <f>Практики!F54</f>
        <v>Не заполнено</v>
      </c>
      <c r="H76" s="203">
        <f>Практики!Q54</f>
        <v>0</v>
      </c>
      <c r="I76" s="576"/>
    </row>
    <row r="77" spans="1:9" x14ac:dyDescent="0.4">
      <c r="A77" s="390"/>
      <c r="B77" s="577"/>
      <c r="C77" s="577"/>
      <c r="D77" s="577"/>
      <c r="E77" s="578"/>
      <c r="F77" s="203" t="str">
        <f>Практики!C55</f>
        <v>T-DEV-SCM-1-1</v>
      </c>
      <c r="G77" s="203" t="str">
        <f>Практики!F55</f>
        <v>Не заполнено</v>
      </c>
      <c r="H77" s="203">
        <f>Практики!Q55</f>
        <v>0</v>
      </c>
      <c r="I77" s="576"/>
    </row>
    <row r="78" spans="1:9" x14ac:dyDescent="0.4">
      <c r="A78" s="390"/>
      <c r="B78" s="577"/>
      <c r="C78" s="577"/>
      <c r="D78" s="577"/>
      <c r="E78" s="578"/>
      <c r="F78" s="203" t="str">
        <f>Практики!C45</f>
        <v>T-DEV-BLD-1-1</v>
      </c>
      <c r="G78" s="203" t="str">
        <f>Практики!F45</f>
        <v>Не заполнено</v>
      </c>
      <c r="H78" s="203">
        <f>Практики!Q45</f>
        <v>0</v>
      </c>
      <c r="I78" s="575"/>
    </row>
    <row r="79" spans="1:9" x14ac:dyDescent="0.4">
      <c r="A79" s="390">
        <v>58</v>
      </c>
      <c r="B79" s="577" t="s">
        <v>1313</v>
      </c>
      <c r="C79" s="577" t="s">
        <v>2549</v>
      </c>
      <c r="D79" s="577" t="s">
        <v>2558</v>
      </c>
      <c r="E79" s="578" t="s">
        <v>2559</v>
      </c>
      <c r="F79" s="203" t="str">
        <f>Практики!C18</f>
        <v>T-ADI-ART-1-2</v>
      </c>
      <c r="G79" s="203" t="str">
        <f>Практики!F18</f>
        <v>Не заполнено</v>
      </c>
      <c r="H79" s="203">
        <f>Практики!Q18</f>
        <v>0</v>
      </c>
      <c r="I79" s="574">
        <v>0</v>
      </c>
    </row>
    <row r="80" spans="1:9" x14ac:dyDescent="0.4">
      <c r="A80" s="390"/>
      <c r="B80" s="577"/>
      <c r="C80" s="577"/>
      <c r="D80" s="577"/>
      <c r="E80" s="578"/>
      <c r="F80" s="203" t="str">
        <f>Практики!C45</f>
        <v>T-DEV-BLD-1-1</v>
      </c>
      <c r="G80" s="203" t="str">
        <f>Практики!F45</f>
        <v>Не заполнено</v>
      </c>
      <c r="H80" s="203">
        <f>Практики!Q45</f>
        <v>0</v>
      </c>
      <c r="I80" s="575"/>
    </row>
    <row r="81" spans="1:9" x14ac:dyDescent="0.4">
      <c r="A81" s="390">
        <v>59</v>
      </c>
      <c r="B81" s="577" t="s">
        <v>1313</v>
      </c>
      <c r="C81" s="577" t="s">
        <v>2549</v>
      </c>
      <c r="D81" s="577" t="s">
        <v>2560</v>
      </c>
      <c r="E81" s="578" t="s">
        <v>2561</v>
      </c>
      <c r="F81" s="203" t="str">
        <f>Практики!C19</f>
        <v>T-ADI-ART-1-3</v>
      </c>
      <c r="G81" s="203" t="str">
        <f>Практики!F19</f>
        <v>Не заполнено</v>
      </c>
      <c r="H81" s="203">
        <f>Практики!Q19</f>
        <v>0</v>
      </c>
      <c r="I81" s="574">
        <v>0</v>
      </c>
    </row>
    <row r="82" spans="1:9" x14ac:dyDescent="0.4">
      <c r="A82" s="390"/>
      <c r="B82" s="577"/>
      <c r="C82" s="577"/>
      <c r="D82" s="577"/>
      <c r="E82" s="578"/>
      <c r="F82" s="203" t="str">
        <f>Практики!C70</f>
        <v>T-DEV-SCM-3-3</v>
      </c>
      <c r="G82" s="203" t="str">
        <f>Практики!F70</f>
        <v>Не заполнено</v>
      </c>
      <c r="H82" s="203">
        <f>Практики!Q70</f>
        <v>0</v>
      </c>
      <c r="I82" s="576"/>
    </row>
    <row r="83" spans="1:9" x14ac:dyDescent="0.4">
      <c r="A83" s="390"/>
      <c r="B83" s="577"/>
      <c r="C83" s="577"/>
      <c r="D83" s="577"/>
      <c r="E83" s="578"/>
      <c r="F83" s="203" t="str">
        <f>Практики!C25</f>
        <v>T-ADI-ART-3-2</v>
      </c>
      <c r="G83" s="203" t="str">
        <f>Практики!F25</f>
        <v>Не заполнено</v>
      </c>
      <c r="H83" s="203">
        <f>Практики!Q25</f>
        <v>0</v>
      </c>
      <c r="I83" s="575"/>
    </row>
    <row r="84" spans="1:9" x14ac:dyDescent="0.4">
      <c r="A84" s="390">
        <v>60</v>
      </c>
      <c r="B84" s="577" t="s">
        <v>1313</v>
      </c>
      <c r="C84" s="577" t="s">
        <v>2549</v>
      </c>
      <c r="D84" s="577" t="s">
        <v>2562</v>
      </c>
      <c r="E84" s="578" t="s">
        <v>2563</v>
      </c>
      <c r="F84" s="203" t="str">
        <f>Практики!C18</f>
        <v>T-ADI-ART-1-2</v>
      </c>
      <c r="G84" s="203" t="str">
        <f>Практики!F18</f>
        <v>Не заполнено</v>
      </c>
      <c r="H84" s="203">
        <f>Практики!Q18</f>
        <v>0</v>
      </c>
      <c r="I84" s="574">
        <v>0</v>
      </c>
    </row>
    <row r="85" spans="1:9" x14ac:dyDescent="0.4">
      <c r="A85" s="390"/>
      <c r="B85" s="577"/>
      <c r="C85" s="577"/>
      <c r="D85" s="577"/>
      <c r="E85" s="578"/>
      <c r="F85" s="203" t="str">
        <f>Практики!C70</f>
        <v>T-DEV-SCM-3-3</v>
      </c>
      <c r="G85" s="203" t="str">
        <f>Практики!F70</f>
        <v>Не заполнено</v>
      </c>
      <c r="H85" s="203">
        <f>Практики!Q70</f>
        <v>0</v>
      </c>
      <c r="I85" s="576"/>
    </row>
    <row r="86" spans="1:9" x14ac:dyDescent="0.4">
      <c r="A86" s="390"/>
      <c r="B86" s="577"/>
      <c r="C86" s="577"/>
      <c r="D86" s="577"/>
      <c r="E86" s="578"/>
      <c r="F86" s="203" t="str">
        <f>Практики!C25</f>
        <v>T-ADI-ART-3-2</v>
      </c>
      <c r="G86" s="203" t="str">
        <f>Практики!F25</f>
        <v>Не заполнено</v>
      </c>
      <c r="H86" s="203">
        <f>Практики!Q25</f>
        <v>0</v>
      </c>
      <c r="I86" s="576"/>
    </row>
    <row r="87" spans="1:9" x14ac:dyDescent="0.4">
      <c r="A87" s="390"/>
      <c r="B87" s="577"/>
      <c r="C87" s="577"/>
      <c r="D87" s="577"/>
      <c r="E87" s="578"/>
      <c r="F87" s="203" t="str">
        <f>Практики!C19</f>
        <v>T-ADI-ART-1-3</v>
      </c>
      <c r="G87" s="203" t="str">
        <f>Практики!F19</f>
        <v>Не заполнено</v>
      </c>
      <c r="H87" s="203">
        <f>Практики!Q19</f>
        <v>0</v>
      </c>
      <c r="I87" s="575"/>
    </row>
    <row r="88" spans="1:9" x14ac:dyDescent="0.4">
      <c r="A88" s="174">
        <v>61</v>
      </c>
      <c r="B88" s="200" t="s">
        <v>1313</v>
      </c>
      <c r="C88" s="200" t="s">
        <v>2564</v>
      </c>
      <c r="D88" s="200" t="s">
        <v>2565</v>
      </c>
      <c r="E88" s="201" t="s">
        <v>2566</v>
      </c>
      <c r="F88" s="202"/>
      <c r="G88" s="202"/>
      <c r="H88" s="202"/>
      <c r="I88" s="174"/>
    </row>
    <row r="89" spans="1:9" x14ac:dyDescent="0.4">
      <c r="A89" s="174">
        <v>62</v>
      </c>
      <c r="B89" s="200" t="s">
        <v>1313</v>
      </c>
      <c r="C89" s="200" t="s">
        <v>2549</v>
      </c>
      <c r="D89" s="200" t="s">
        <v>2567</v>
      </c>
      <c r="E89" s="201" t="s">
        <v>2568</v>
      </c>
      <c r="F89" s="202"/>
      <c r="G89" s="202"/>
      <c r="H89" s="202"/>
      <c r="I89" s="174"/>
    </row>
    <row r="90" spans="1:9" x14ac:dyDescent="0.4">
      <c r="A90" s="174">
        <v>63</v>
      </c>
      <c r="B90" s="200" t="s">
        <v>1313</v>
      </c>
      <c r="C90" s="200" t="s">
        <v>2564</v>
      </c>
      <c r="D90" s="200" t="s">
        <v>2569</v>
      </c>
      <c r="E90" s="201" t="s">
        <v>2570</v>
      </c>
      <c r="F90" s="203" t="str">
        <f>Практики!C93</f>
        <v>T-DEV-SRC-4-1</v>
      </c>
      <c r="G90" s="203" t="str">
        <f>Практики!F93</f>
        <v>Не заполнено</v>
      </c>
      <c r="H90" s="203">
        <f>Практики!Q93</f>
        <v>0</v>
      </c>
      <c r="I90" s="174">
        <v>0</v>
      </c>
    </row>
    <row r="91" spans="1:9" x14ac:dyDescent="0.4">
      <c r="A91" s="174">
        <v>64</v>
      </c>
      <c r="B91" s="200" t="s">
        <v>1313</v>
      </c>
      <c r="C91" s="200" t="s">
        <v>2564</v>
      </c>
      <c r="D91" s="200" t="s">
        <v>2571</v>
      </c>
      <c r="E91" s="201" t="s">
        <v>2572</v>
      </c>
      <c r="F91" s="202"/>
      <c r="G91" s="202"/>
      <c r="H91" s="202"/>
      <c r="I91" s="174"/>
    </row>
    <row r="92" spans="1:9" x14ac:dyDescent="0.4">
      <c r="A92" s="174">
        <v>65</v>
      </c>
      <c r="B92" s="200" t="s">
        <v>1313</v>
      </c>
      <c r="C92" s="200" t="s">
        <v>2564</v>
      </c>
      <c r="D92" s="200" t="s">
        <v>2573</v>
      </c>
      <c r="E92" s="201" t="s">
        <v>2574</v>
      </c>
      <c r="F92" s="203" t="str">
        <f>Практики!C86</f>
        <v>T-DEV-SRC-2-6</v>
      </c>
      <c r="G92" s="203" t="str">
        <f>Практики!F86</f>
        <v>Не заполнено</v>
      </c>
      <c r="H92" s="203">
        <f>Практики!Q86</f>
        <v>0</v>
      </c>
      <c r="I92" s="174">
        <v>0</v>
      </c>
    </row>
    <row r="93" spans="1:9" x14ac:dyDescent="0.4">
      <c r="A93" s="174">
        <v>66</v>
      </c>
      <c r="B93" s="200" t="s">
        <v>1313</v>
      </c>
      <c r="C93" s="200" t="s">
        <v>2549</v>
      </c>
      <c r="D93" s="200" t="s">
        <v>2575</v>
      </c>
      <c r="E93" s="201" t="s">
        <v>2576</v>
      </c>
      <c r="F93" s="202"/>
      <c r="G93" s="202"/>
      <c r="H93" s="202"/>
      <c r="I93" s="174"/>
    </row>
    <row r="94" spans="1:9" x14ac:dyDescent="0.4">
      <c r="A94" s="174">
        <v>67</v>
      </c>
      <c r="B94" s="200" t="s">
        <v>1313</v>
      </c>
      <c r="C94" s="200" t="s">
        <v>2564</v>
      </c>
      <c r="D94" s="200" t="s">
        <v>2577</v>
      </c>
      <c r="E94" s="201" t="s">
        <v>2578</v>
      </c>
      <c r="F94" s="202"/>
      <c r="G94" s="202"/>
      <c r="H94" s="202"/>
      <c r="I94" s="174"/>
    </row>
    <row r="95" spans="1:9" x14ac:dyDescent="0.4">
      <c r="A95" s="390">
        <v>68</v>
      </c>
      <c r="B95" s="577" t="s">
        <v>1313</v>
      </c>
      <c r="C95" s="577" t="s">
        <v>2564</v>
      </c>
      <c r="D95" s="577" t="s">
        <v>2579</v>
      </c>
      <c r="E95" s="578" t="s">
        <v>2580</v>
      </c>
      <c r="F95" s="203" t="str">
        <f>Практики!C82</f>
        <v>T-DEV-SRC-2-2</v>
      </c>
      <c r="G95" s="203" t="str">
        <f>Практики!F82</f>
        <v>Не заполнено</v>
      </c>
      <c r="H95" s="203">
        <f>Практики!Q82</f>
        <v>0</v>
      </c>
      <c r="I95" s="174">
        <v>0</v>
      </c>
    </row>
    <row r="96" spans="1:9" x14ac:dyDescent="0.4">
      <c r="A96" s="390"/>
      <c r="B96" s="577"/>
      <c r="C96" s="577"/>
      <c r="D96" s="577"/>
      <c r="E96" s="578"/>
      <c r="F96" s="203" t="str">
        <f>Практики!C92</f>
        <v>T-DEV-SRC-3-6</v>
      </c>
      <c r="G96" s="203" t="str">
        <f>Практики!F92</f>
        <v>Не заполнено</v>
      </c>
      <c r="H96" s="203">
        <f>Практики!Q92</f>
        <v>0</v>
      </c>
      <c r="I96" s="174">
        <v>0</v>
      </c>
    </row>
    <row r="97" spans="1:9" x14ac:dyDescent="0.4">
      <c r="A97" s="174">
        <v>69</v>
      </c>
      <c r="B97" s="200" t="s">
        <v>1313</v>
      </c>
      <c r="C97" s="200" t="s">
        <v>2581</v>
      </c>
      <c r="D97" s="200" t="s">
        <v>2582</v>
      </c>
      <c r="E97" s="201" t="s">
        <v>2583</v>
      </c>
      <c r="F97" s="202"/>
      <c r="G97" s="202"/>
      <c r="H97" s="202"/>
      <c r="I97" s="174"/>
    </row>
    <row r="98" spans="1:9" x14ac:dyDescent="0.4">
      <c r="A98" s="174">
        <v>70</v>
      </c>
      <c r="B98" s="200" t="s">
        <v>1313</v>
      </c>
      <c r="C98" s="200" t="s">
        <v>2581</v>
      </c>
      <c r="D98" s="200" t="s">
        <v>2584</v>
      </c>
      <c r="E98" s="201" t="s">
        <v>2585</v>
      </c>
      <c r="F98" s="202"/>
      <c r="G98" s="202"/>
      <c r="H98" s="202"/>
      <c r="I98" s="174"/>
    </row>
    <row r="99" spans="1:9" x14ac:dyDescent="0.4">
      <c r="A99" s="174">
        <v>71</v>
      </c>
      <c r="B99" s="200" t="s">
        <v>1313</v>
      </c>
      <c r="C99" s="200" t="s">
        <v>2581</v>
      </c>
      <c r="D99" s="200" t="s">
        <v>2586</v>
      </c>
      <c r="E99" s="201" t="s">
        <v>2587</v>
      </c>
      <c r="F99" s="202"/>
      <c r="G99" s="202"/>
      <c r="H99" s="202"/>
      <c r="I99" s="174"/>
    </row>
    <row r="100" spans="1:9" x14ac:dyDescent="0.4">
      <c r="A100" s="174">
        <v>72</v>
      </c>
      <c r="B100" s="200" t="s">
        <v>1313</v>
      </c>
      <c r="C100" s="200" t="s">
        <v>2581</v>
      </c>
      <c r="D100" s="200" t="s">
        <v>2588</v>
      </c>
      <c r="E100" s="201" t="s">
        <v>2589</v>
      </c>
      <c r="F100" s="202"/>
      <c r="G100" s="202"/>
      <c r="H100" s="202"/>
      <c r="I100" s="174"/>
    </row>
    <row r="101" spans="1:9" x14ac:dyDescent="0.4">
      <c r="A101" s="174">
        <v>73</v>
      </c>
      <c r="B101" s="200" t="s">
        <v>1313</v>
      </c>
      <c r="C101" s="200" t="s">
        <v>2581</v>
      </c>
      <c r="D101" s="200" t="s">
        <v>2590</v>
      </c>
      <c r="E101" s="201" t="s">
        <v>2591</v>
      </c>
      <c r="F101" s="202"/>
      <c r="G101" s="202"/>
      <c r="H101" s="202"/>
      <c r="I101" s="174"/>
    </row>
    <row r="102" spans="1:9" x14ac:dyDescent="0.4">
      <c r="A102" s="174">
        <v>74</v>
      </c>
      <c r="B102" s="200" t="s">
        <v>1313</v>
      </c>
      <c r="C102" s="200" t="s">
        <v>2581</v>
      </c>
      <c r="D102" s="200" t="s">
        <v>2592</v>
      </c>
      <c r="E102" s="201" t="s">
        <v>2593</v>
      </c>
      <c r="F102" s="202"/>
      <c r="G102" s="202"/>
      <c r="H102" s="202"/>
      <c r="I102" s="174"/>
    </row>
    <row r="103" spans="1:9" x14ac:dyDescent="0.4">
      <c r="A103" s="174">
        <v>75</v>
      </c>
      <c r="B103" s="200" t="s">
        <v>1313</v>
      </c>
      <c r="C103" s="200" t="s">
        <v>2581</v>
      </c>
      <c r="D103" s="200" t="s">
        <v>2594</v>
      </c>
      <c r="E103" s="201" t="s">
        <v>2595</v>
      </c>
      <c r="F103" s="202"/>
      <c r="G103" s="202"/>
      <c r="H103" s="202"/>
      <c r="I103" s="174"/>
    </row>
    <row r="104" spans="1:9" x14ac:dyDescent="0.4">
      <c r="A104" s="174">
        <v>76</v>
      </c>
      <c r="B104" s="200" t="s">
        <v>1313</v>
      </c>
      <c r="C104" s="200" t="s">
        <v>2581</v>
      </c>
      <c r="D104" s="200" t="s">
        <v>2596</v>
      </c>
      <c r="E104" s="201" t="s">
        <v>2597</v>
      </c>
      <c r="F104" s="202"/>
      <c r="G104" s="202"/>
      <c r="H104" s="202"/>
      <c r="I104" s="174"/>
    </row>
    <row r="105" spans="1:9" x14ac:dyDescent="0.4">
      <c r="A105" s="174">
        <v>77</v>
      </c>
      <c r="B105" s="200" t="s">
        <v>1313</v>
      </c>
      <c r="C105" s="200" t="s">
        <v>2581</v>
      </c>
      <c r="D105" s="200" t="s">
        <v>2598</v>
      </c>
      <c r="E105" s="201" t="s">
        <v>2599</v>
      </c>
      <c r="F105" s="202"/>
      <c r="G105" s="202"/>
      <c r="H105" s="202"/>
      <c r="I105" s="174"/>
    </row>
    <row r="106" spans="1:9" x14ac:dyDescent="0.4">
      <c r="A106" s="174">
        <v>78</v>
      </c>
      <c r="B106" s="200" t="s">
        <v>1313</v>
      </c>
      <c r="C106" s="200" t="s">
        <v>2549</v>
      </c>
      <c r="D106" s="200" t="s">
        <v>2600</v>
      </c>
      <c r="E106" s="201" t="s">
        <v>2601</v>
      </c>
      <c r="F106" s="202"/>
      <c r="G106" s="202"/>
      <c r="H106" s="202"/>
      <c r="I106" s="174"/>
    </row>
    <row r="107" spans="1:9" x14ac:dyDescent="0.4">
      <c r="A107" s="174">
        <v>79</v>
      </c>
      <c r="B107" s="200" t="s">
        <v>1313</v>
      </c>
      <c r="C107" s="200" t="s">
        <v>2564</v>
      </c>
      <c r="D107" s="200" t="s">
        <v>2602</v>
      </c>
      <c r="E107" s="201" t="s">
        <v>2603</v>
      </c>
      <c r="F107" s="203" t="str">
        <f>Практики!C75</f>
        <v>T-DEV-SRC-0-1</v>
      </c>
      <c r="G107" s="203" t="str">
        <f>Практики!F75</f>
        <v>Не заполнено</v>
      </c>
      <c r="H107" s="203">
        <f>Практики!Q75</f>
        <v>0</v>
      </c>
      <c r="I107" s="174">
        <v>0</v>
      </c>
    </row>
    <row r="108" spans="1:9" x14ac:dyDescent="0.4">
      <c r="A108" s="174">
        <v>80</v>
      </c>
      <c r="B108" s="200" t="s">
        <v>1313</v>
      </c>
      <c r="C108" s="200" t="s">
        <v>2549</v>
      </c>
      <c r="D108" s="200" t="s">
        <v>2604</v>
      </c>
      <c r="E108" s="201" t="s">
        <v>2605</v>
      </c>
      <c r="F108" s="202"/>
      <c r="G108" s="202"/>
      <c r="H108" s="202"/>
      <c r="I108" s="174"/>
    </row>
    <row r="109" spans="1:9" x14ac:dyDescent="0.4">
      <c r="A109" s="174">
        <v>81</v>
      </c>
      <c r="B109" s="200" t="s">
        <v>1313</v>
      </c>
      <c r="C109" s="200" t="s">
        <v>2549</v>
      </c>
      <c r="D109" s="200" t="s">
        <v>2606</v>
      </c>
      <c r="E109" s="201" t="s">
        <v>2607</v>
      </c>
      <c r="F109" s="202"/>
      <c r="G109" s="202"/>
      <c r="H109" s="202"/>
      <c r="I109" s="174"/>
    </row>
    <row r="110" spans="1:9" x14ac:dyDescent="0.4">
      <c r="A110" s="174">
        <v>82</v>
      </c>
      <c r="B110" s="200" t="s">
        <v>1313</v>
      </c>
      <c r="C110" s="200" t="s">
        <v>2549</v>
      </c>
      <c r="D110" s="200" t="s">
        <v>2608</v>
      </c>
      <c r="E110" s="201" t="s">
        <v>2609</v>
      </c>
      <c r="F110" s="202"/>
      <c r="G110" s="202"/>
      <c r="H110" s="202"/>
      <c r="I110" s="174"/>
    </row>
    <row r="111" spans="1:9" x14ac:dyDescent="0.4">
      <c r="A111" s="390">
        <v>83</v>
      </c>
      <c r="B111" s="577" t="s">
        <v>1313</v>
      </c>
      <c r="C111" s="577" t="s">
        <v>2549</v>
      </c>
      <c r="D111" s="577" t="s">
        <v>2610</v>
      </c>
      <c r="E111" s="578" t="s">
        <v>2611</v>
      </c>
      <c r="F111" s="203" t="str">
        <f>Практики!C7</f>
        <v>T-ADI-DEP-1-4</v>
      </c>
      <c r="G111" s="203" t="str">
        <f>Практики!F7</f>
        <v>Не заполнено</v>
      </c>
      <c r="H111" s="203">
        <f>Практики!Q7</f>
        <v>0</v>
      </c>
      <c r="I111" s="574">
        <v>0</v>
      </c>
    </row>
    <row r="112" spans="1:9" x14ac:dyDescent="0.4">
      <c r="A112" s="390"/>
      <c r="B112" s="577"/>
      <c r="C112" s="577"/>
      <c r="D112" s="577"/>
      <c r="E112" s="578"/>
      <c r="F112" s="203" t="str">
        <f>Практики!C51</f>
        <v>T-DEV-BLD-3-2</v>
      </c>
      <c r="G112" s="203" t="str">
        <f>Практики!F51</f>
        <v>Не заполнено</v>
      </c>
      <c r="H112" s="203">
        <f>Практики!Q51</f>
        <v>0</v>
      </c>
      <c r="I112" s="576"/>
    </row>
    <row r="113" spans="1:9" x14ac:dyDescent="0.4">
      <c r="A113" s="390"/>
      <c r="B113" s="577"/>
      <c r="C113" s="577"/>
      <c r="D113" s="577"/>
      <c r="E113" s="578"/>
      <c r="F113" s="203" t="str">
        <f>Практики!C44</f>
        <v>T-DEV-BLD-0-1</v>
      </c>
      <c r="G113" s="203" t="str">
        <f>Практики!F44</f>
        <v>Не заполнено</v>
      </c>
      <c r="H113" s="203">
        <f>Практики!Q44</f>
        <v>0</v>
      </c>
      <c r="I113" s="576"/>
    </row>
    <row r="114" spans="1:9" x14ac:dyDescent="0.4">
      <c r="A114" s="390"/>
      <c r="B114" s="577"/>
      <c r="C114" s="577"/>
      <c r="D114" s="577"/>
      <c r="E114" s="578"/>
      <c r="F114" s="203" t="str">
        <f>Практики!C94</f>
        <v>T-DEV-CICD-0-1</v>
      </c>
      <c r="G114" s="203" t="str">
        <f>Практики!F94</f>
        <v>Не заполнено</v>
      </c>
      <c r="H114" s="203">
        <f>Практики!Q94</f>
        <v>0</v>
      </c>
      <c r="I114" s="575"/>
    </row>
    <row r="115" spans="1:9" x14ac:dyDescent="0.4">
      <c r="A115" s="174">
        <v>84</v>
      </c>
      <c r="B115" s="200" t="s">
        <v>1313</v>
      </c>
      <c r="C115" s="200" t="s">
        <v>2549</v>
      </c>
      <c r="D115" s="200" t="s">
        <v>2612</v>
      </c>
      <c r="E115" s="201" t="s">
        <v>2613</v>
      </c>
      <c r="F115" s="202"/>
      <c r="G115" s="202"/>
      <c r="H115" s="202"/>
      <c r="I115" s="174"/>
    </row>
    <row r="116" spans="1:9" x14ac:dyDescent="0.4">
      <c r="A116" s="174">
        <v>85</v>
      </c>
      <c r="B116" s="200" t="s">
        <v>1313</v>
      </c>
      <c r="C116" s="200" t="s">
        <v>2549</v>
      </c>
      <c r="D116" s="200" t="s">
        <v>2614</v>
      </c>
      <c r="E116" s="201" t="s">
        <v>2615</v>
      </c>
      <c r="F116" s="202"/>
      <c r="G116" s="202"/>
      <c r="H116" s="202"/>
      <c r="I116" s="174"/>
    </row>
    <row r="117" spans="1:9" x14ac:dyDescent="0.4">
      <c r="A117" s="390">
        <v>86</v>
      </c>
      <c r="B117" s="577" t="s">
        <v>1313</v>
      </c>
      <c r="C117" s="577" t="s">
        <v>2549</v>
      </c>
      <c r="D117" s="577" t="s">
        <v>2616</v>
      </c>
      <c r="E117" s="578" t="s">
        <v>2617</v>
      </c>
      <c r="F117" s="203" t="str">
        <f>Практики!C248</f>
        <v>T-PROD-ACCESS-0-1</v>
      </c>
      <c r="G117" s="203" t="str">
        <f>Практики!F248</f>
        <v>Не заполнено</v>
      </c>
      <c r="H117" s="203">
        <f>Практики!Q248</f>
        <v>0</v>
      </c>
      <c r="I117" s="174">
        <v>0</v>
      </c>
    </row>
    <row r="118" spans="1:9" x14ac:dyDescent="0.4">
      <c r="A118" s="390"/>
      <c r="B118" s="577"/>
      <c r="C118" s="577"/>
      <c r="D118" s="577"/>
      <c r="E118" s="578"/>
      <c r="F118" s="203" t="str">
        <f>Практики!C250</f>
        <v>T-PROD-ACCESS-1-2</v>
      </c>
      <c r="G118" s="203" t="str">
        <f>Практики!F250</f>
        <v>Не заполнено</v>
      </c>
      <c r="H118" s="203">
        <f>Практики!Q250</f>
        <v>0</v>
      </c>
      <c r="I118" s="174">
        <v>0</v>
      </c>
    </row>
    <row r="119" spans="1:9" x14ac:dyDescent="0.4">
      <c r="A119" s="174">
        <v>87</v>
      </c>
      <c r="B119" s="200" t="s">
        <v>1313</v>
      </c>
      <c r="C119" s="200" t="s">
        <v>2549</v>
      </c>
      <c r="D119" s="200" t="s">
        <v>2618</v>
      </c>
      <c r="E119" s="201" t="s">
        <v>2619</v>
      </c>
      <c r="F119" s="202"/>
      <c r="G119" s="202"/>
      <c r="H119" s="202"/>
      <c r="I119" s="174"/>
    </row>
    <row r="120" spans="1:9" x14ac:dyDescent="0.4">
      <c r="A120" s="174">
        <v>88</v>
      </c>
      <c r="B120" s="200" t="s">
        <v>1313</v>
      </c>
      <c r="C120" s="200" t="s">
        <v>2549</v>
      </c>
      <c r="D120" s="200" t="s">
        <v>2620</v>
      </c>
      <c r="E120" s="201" t="s">
        <v>2621</v>
      </c>
      <c r="F120" s="202"/>
      <c r="G120" s="202"/>
      <c r="H120" s="202"/>
      <c r="I120" s="174"/>
    </row>
    <row r="121" spans="1:9" x14ac:dyDescent="0.4">
      <c r="A121" s="174">
        <v>89</v>
      </c>
      <c r="B121" s="200" t="s">
        <v>1313</v>
      </c>
      <c r="C121" s="200" t="s">
        <v>2549</v>
      </c>
      <c r="D121" s="200" t="s">
        <v>2622</v>
      </c>
      <c r="E121" s="201" t="s">
        <v>2623</v>
      </c>
      <c r="F121" s="202"/>
      <c r="G121" s="202"/>
      <c r="H121" s="202"/>
      <c r="I121" s="174"/>
    </row>
    <row r="122" spans="1:9" x14ac:dyDescent="0.4">
      <c r="A122" s="174">
        <v>90</v>
      </c>
      <c r="B122" s="200" t="s">
        <v>1313</v>
      </c>
      <c r="C122" s="200" t="s">
        <v>2549</v>
      </c>
      <c r="D122" s="200" t="s">
        <v>2624</v>
      </c>
      <c r="E122" s="201" t="s">
        <v>2625</v>
      </c>
      <c r="F122" s="202"/>
      <c r="G122" s="202"/>
      <c r="H122" s="202"/>
      <c r="I122" s="174"/>
    </row>
    <row r="123" spans="1:9" x14ac:dyDescent="0.4">
      <c r="A123" s="174">
        <v>91</v>
      </c>
      <c r="B123" s="200" t="s">
        <v>1313</v>
      </c>
      <c r="C123" s="200" t="s">
        <v>2549</v>
      </c>
      <c r="D123" s="200" t="s">
        <v>2626</v>
      </c>
      <c r="E123" s="201" t="s">
        <v>2627</v>
      </c>
      <c r="F123" s="203" t="str">
        <f>Практики!C7</f>
        <v>T-ADI-DEP-1-4</v>
      </c>
      <c r="G123" s="203" t="str">
        <f>Практики!F7</f>
        <v>Не заполнено</v>
      </c>
      <c r="H123" s="203">
        <f>Практики!Q7</f>
        <v>0</v>
      </c>
      <c r="I123" s="174">
        <v>0</v>
      </c>
    </row>
    <row r="124" spans="1:9" x14ac:dyDescent="0.4">
      <c r="A124" s="174">
        <v>92</v>
      </c>
      <c r="B124" s="200" t="s">
        <v>1313</v>
      </c>
      <c r="C124" s="200" t="s">
        <v>2549</v>
      </c>
      <c r="D124" s="200" t="s">
        <v>2628</v>
      </c>
      <c r="E124" s="201" t="s">
        <v>2629</v>
      </c>
      <c r="F124" s="202"/>
      <c r="G124" s="202"/>
      <c r="H124" s="202"/>
      <c r="I124" s="174"/>
    </row>
    <row r="125" spans="1:9" x14ac:dyDescent="0.4">
      <c r="A125" s="174">
        <v>93</v>
      </c>
      <c r="B125" s="200" t="s">
        <v>1313</v>
      </c>
      <c r="C125" s="200" t="s">
        <v>2549</v>
      </c>
      <c r="D125" s="200" t="s">
        <v>2630</v>
      </c>
      <c r="E125" s="201" t="s">
        <v>2631</v>
      </c>
      <c r="F125" s="202"/>
      <c r="G125" s="202"/>
      <c r="H125" s="202"/>
      <c r="I125" s="174"/>
    </row>
    <row r="126" spans="1:9" x14ac:dyDescent="0.4">
      <c r="A126" s="174">
        <v>94</v>
      </c>
      <c r="B126" s="200" t="s">
        <v>1313</v>
      </c>
      <c r="C126" s="200" t="s">
        <v>2549</v>
      </c>
      <c r="D126" s="200" t="s">
        <v>2632</v>
      </c>
      <c r="E126" s="201" t="s">
        <v>2633</v>
      </c>
      <c r="F126" s="202"/>
      <c r="G126" s="202"/>
      <c r="H126" s="202"/>
      <c r="I126" s="174"/>
    </row>
    <row r="127" spans="1:9" x14ac:dyDescent="0.4">
      <c r="A127" s="174">
        <v>95</v>
      </c>
      <c r="B127" s="200" t="s">
        <v>1313</v>
      </c>
      <c r="C127" s="200" t="s">
        <v>2549</v>
      </c>
      <c r="D127" s="200" t="s">
        <v>2634</v>
      </c>
      <c r="E127" s="201" t="s">
        <v>2635</v>
      </c>
      <c r="F127" s="202"/>
      <c r="G127" s="202"/>
      <c r="H127" s="202"/>
      <c r="I127" s="174"/>
    </row>
    <row r="128" spans="1:9" x14ac:dyDescent="0.4">
      <c r="A128" s="174">
        <v>96</v>
      </c>
      <c r="B128" s="200" t="s">
        <v>2636</v>
      </c>
      <c r="C128" s="200" t="s">
        <v>2637</v>
      </c>
      <c r="D128" s="200" t="s">
        <v>2638</v>
      </c>
      <c r="E128" s="201" t="s">
        <v>2639</v>
      </c>
      <c r="F128" s="202"/>
      <c r="G128" s="202"/>
      <c r="H128" s="202"/>
      <c r="I128" s="174"/>
    </row>
    <row r="129" spans="1:9" x14ac:dyDescent="0.4">
      <c r="A129" s="174">
        <v>97</v>
      </c>
      <c r="B129" s="200" t="s">
        <v>2636</v>
      </c>
      <c r="C129" s="200" t="s">
        <v>2637</v>
      </c>
      <c r="D129" s="200" t="s">
        <v>2640</v>
      </c>
      <c r="E129" s="201" t="s">
        <v>2641</v>
      </c>
      <c r="F129" s="202"/>
      <c r="G129" s="202"/>
      <c r="H129" s="202"/>
      <c r="I129" s="174"/>
    </row>
    <row r="130" spans="1:9" x14ac:dyDescent="0.4">
      <c r="A130" s="174">
        <v>98</v>
      </c>
      <c r="B130" s="200" t="s">
        <v>2636</v>
      </c>
      <c r="C130" s="200" t="s">
        <v>2637</v>
      </c>
      <c r="D130" s="200" t="s">
        <v>2642</v>
      </c>
      <c r="E130" s="201" t="s">
        <v>2643</v>
      </c>
      <c r="F130" s="202"/>
      <c r="G130" s="202"/>
      <c r="H130" s="202"/>
      <c r="I130" s="174"/>
    </row>
    <row r="131" spans="1:9" x14ac:dyDescent="0.4">
      <c r="A131" s="174">
        <v>99</v>
      </c>
      <c r="B131" s="200" t="s">
        <v>2636</v>
      </c>
      <c r="C131" s="200" t="s">
        <v>2644</v>
      </c>
      <c r="D131" s="200" t="s">
        <v>2645</v>
      </c>
      <c r="E131" s="201" t="s">
        <v>2646</v>
      </c>
      <c r="F131" s="202"/>
      <c r="G131" s="202"/>
      <c r="H131" s="202"/>
      <c r="I131" s="174"/>
    </row>
    <row r="132" spans="1:9" x14ac:dyDescent="0.4">
      <c r="A132" s="174">
        <v>100</v>
      </c>
      <c r="B132" s="200" t="s">
        <v>2636</v>
      </c>
      <c r="C132" s="200" t="s">
        <v>2637</v>
      </c>
      <c r="D132" s="200" t="s">
        <v>2647</v>
      </c>
      <c r="E132" s="201" t="s">
        <v>2648</v>
      </c>
      <c r="F132" s="202"/>
      <c r="G132" s="202"/>
      <c r="H132" s="202"/>
      <c r="I132" s="174"/>
    </row>
    <row r="133" spans="1:9" x14ac:dyDescent="0.4">
      <c r="A133" s="390">
        <v>101</v>
      </c>
      <c r="B133" s="577" t="s">
        <v>2636</v>
      </c>
      <c r="C133" s="577" t="s">
        <v>2637</v>
      </c>
      <c r="D133" s="577" t="s">
        <v>2649</v>
      </c>
      <c r="E133" s="578" t="s">
        <v>2650</v>
      </c>
      <c r="F133" s="203" t="str">
        <f>Практики!C21</f>
        <v>T-ADI-ART-1-5</v>
      </c>
      <c r="G133" s="203" t="str">
        <f>Практики!F21</f>
        <v>Не заполнено</v>
      </c>
      <c r="H133" s="203">
        <f>Практики!Q21</f>
        <v>0</v>
      </c>
      <c r="I133" s="574">
        <v>0</v>
      </c>
    </row>
    <row r="134" spans="1:9" x14ac:dyDescent="0.4">
      <c r="A134" s="390"/>
      <c r="B134" s="577"/>
      <c r="C134" s="577"/>
      <c r="D134" s="577"/>
      <c r="E134" s="578"/>
      <c r="F134" s="203" t="str">
        <f>Практики!C255</f>
        <v>T-PROD-ACCESS-2-2</v>
      </c>
      <c r="G134" s="203" t="str">
        <f>Практики!F255</f>
        <v>Не заполнено</v>
      </c>
      <c r="H134" s="203">
        <f>Практики!Q255</f>
        <v>0</v>
      </c>
      <c r="I134" s="576"/>
    </row>
    <row r="135" spans="1:9" x14ac:dyDescent="0.4">
      <c r="A135" s="390"/>
      <c r="B135" s="577"/>
      <c r="C135" s="577"/>
      <c r="D135" s="577"/>
      <c r="E135" s="578"/>
      <c r="F135" s="203" t="str">
        <f>Практики!C280</f>
        <v>T-PROD-EVENTS-0-1</v>
      </c>
      <c r="G135" s="203" t="str">
        <f>Практики!F280</f>
        <v>Не заполнено</v>
      </c>
      <c r="H135" s="203">
        <f>Практики!Q280</f>
        <v>0</v>
      </c>
      <c r="I135" s="575"/>
    </row>
    <row r="136" spans="1:9" x14ac:dyDescent="0.4">
      <c r="A136" s="174">
        <v>102</v>
      </c>
      <c r="B136" s="200" t="s">
        <v>2636</v>
      </c>
      <c r="C136" s="200" t="s">
        <v>2637</v>
      </c>
      <c r="D136" s="200" t="s">
        <v>2651</v>
      </c>
      <c r="E136" s="201" t="s">
        <v>2652</v>
      </c>
      <c r="F136" s="202"/>
      <c r="G136" s="202"/>
      <c r="H136" s="202"/>
      <c r="I136" s="174"/>
    </row>
    <row r="137" spans="1:9" x14ac:dyDescent="0.4">
      <c r="A137" s="174">
        <v>103</v>
      </c>
      <c r="B137" s="200" t="s">
        <v>2636</v>
      </c>
      <c r="C137" s="200" t="s">
        <v>2637</v>
      </c>
      <c r="D137" s="200" t="s">
        <v>2653</v>
      </c>
      <c r="E137" s="201" t="s">
        <v>2654</v>
      </c>
      <c r="F137" s="202"/>
      <c r="G137" s="202"/>
      <c r="H137" s="202"/>
      <c r="I137" s="174"/>
    </row>
    <row r="138" spans="1:9" x14ac:dyDescent="0.4">
      <c r="A138" s="174">
        <v>104</v>
      </c>
      <c r="B138" s="200" t="s">
        <v>2636</v>
      </c>
      <c r="C138" s="200" t="s">
        <v>2644</v>
      </c>
      <c r="D138" s="200" t="s">
        <v>2655</v>
      </c>
      <c r="E138" s="201" t="s">
        <v>2656</v>
      </c>
      <c r="F138" s="202"/>
      <c r="G138" s="202"/>
      <c r="H138" s="202"/>
      <c r="I138" s="174"/>
    </row>
    <row r="139" spans="1:9" x14ac:dyDescent="0.4">
      <c r="A139" s="174">
        <v>105</v>
      </c>
      <c r="B139" s="200" t="s">
        <v>2636</v>
      </c>
      <c r="C139" s="200" t="s">
        <v>2657</v>
      </c>
      <c r="D139" s="200" t="s">
        <v>2658</v>
      </c>
      <c r="E139" s="201" t="s">
        <v>2659</v>
      </c>
      <c r="F139" s="202"/>
      <c r="G139" s="202"/>
      <c r="H139" s="202"/>
      <c r="I139" s="174"/>
    </row>
    <row r="140" spans="1:9" x14ac:dyDescent="0.4">
      <c r="A140" s="390">
        <v>106</v>
      </c>
      <c r="B140" s="577" t="s">
        <v>2636</v>
      </c>
      <c r="C140" s="577" t="s">
        <v>2657</v>
      </c>
      <c r="D140" s="577" t="s">
        <v>2660</v>
      </c>
      <c r="E140" s="578" t="s">
        <v>2661</v>
      </c>
      <c r="F140" s="203" t="str">
        <f>Практики!C21</f>
        <v>T-ADI-ART-1-5</v>
      </c>
      <c r="G140" s="203" t="str">
        <f>Практики!F21</f>
        <v>Не заполнено</v>
      </c>
      <c r="H140" s="203">
        <f>Практики!Q21</f>
        <v>0</v>
      </c>
      <c r="I140" s="574">
        <v>0</v>
      </c>
    </row>
    <row r="141" spans="1:9" x14ac:dyDescent="0.4">
      <c r="A141" s="390"/>
      <c r="B141" s="577"/>
      <c r="C141" s="577"/>
      <c r="D141" s="577"/>
      <c r="E141" s="578"/>
      <c r="F141" s="203" t="str">
        <f>Практики!C255</f>
        <v>T-PROD-ACCESS-2-2</v>
      </c>
      <c r="G141" s="203" t="str">
        <f>Практики!F255</f>
        <v>Не заполнено</v>
      </c>
      <c r="H141" s="203">
        <f>Практики!Q255</f>
        <v>0</v>
      </c>
      <c r="I141" s="576"/>
    </row>
    <row r="142" spans="1:9" x14ac:dyDescent="0.4">
      <c r="A142" s="390"/>
      <c r="B142" s="577"/>
      <c r="C142" s="577"/>
      <c r="D142" s="577"/>
      <c r="E142" s="578"/>
      <c r="F142" s="203" t="str">
        <f>Практики!C282</f>
        <v>T-PROD-EVENTS-3-1</v>
      </c>
      <c r="G142" s="203" t="str">
        <f>Практики!F282</f>
        <v>Не заполнено</v>
      </c>
      <c r="H142" s="203">
        <f>Практики!Q282</f>
        <v>0</v>
      </c>
      <c r="I142" s="575"/>
    </row>
    <row r="143" spans="1:9" x14ac:dyDescent="0.4">
      <c r="A143" s="174">
        <v>107</v>
      </c>
      <c r="B143" s="200" t="s">
        <v>2636</v>
      </c>
      <c r="C143" s="200" t="s">
        <v>2657</v>
      </c>
      <c r="D143" s="200" t="s">
        <v>2662</v>
      </c>
      <c r="E143" s="201" t="s">
        <v>2663</v>
      </c>
      <c r="F143" s="202"/>
      <c r="G143" s="202"/>
      <c r="H143" s="202"/>
      <c r="I143" s="174"/>
    </row>
    <row r="144" spans="1:9" x14ac:dyDescent="0.4">
      <c r="A144" s="390">
        <v>108</v>
      </c>
      <c r="B144" s="577" t="s">
        <v>2636</v>
      </c>
      <c r="C144" s="577" t="s">
        <v>2657</v>
      </c>
      <c r="D144" s="577" t="s">
        <v>2664</v>
      </c>
      <c r="E144" s="578" t="s">
        <v>2665</v>
      </c>
      <c r="F144" s="203" t="str">
        <f>Практики!C21</f>
        <v>T-ADI-ART-1-5</v>
      </c>
      <c r="G144" s="203" t="str">
        <f>Практики!F21</f>
        <v>Не заполнено</v>
      </c>
      <c r="H144" s="203">
        <f>Практики!Q21</f>
        <v>0</v>
      </c>
      <c r="I144" s="574">
        <v>0</v>
      </c>
    </row>
    <row r="145" spans="1:9" x14ac:dyDescent="0.4">
      <c r="A145" s="390"/>
      <c r="B145" s="577"/>
      <c r="C145" s="577"/>
      <c r="D145" s="577"/>
      <c r="E145" s="578"/>
      <c r="F145" s="203" t="str">
        <f>Практики!C280</f>
        <v>T-PROD-EVENTS-0-1</v>
      </c>
      <c r="G145" s="203" t="str">
        <f>Практики!F280</f>
        <v>Не заполнено</v>
      </c>
      <c r="H145" s="203">
        <f>Практики!Q280</f>
        <v>0</v>
      </c>
      <c r="I145" s="576"/>
    </row>
    <row r="146" spans="1:9" x14ac:dyDescent="0.4">
      <c r="A146" s="390"/>
      <c r="B146" s="577"/>
      <c r="C146" s="577"/>
      <c r="D146" s="577"/>
      <c r="E146" s="578"/>
      <c r="F146" s="203" t="str">
        <f>Практики!C255</f>
        <v>T-PROD-ACCESS-2-2</v>
      </c>
      <c r="G146" s="203" t="str">
        <f>Практики!F255</f>
        <v>Не заполнено</v>
      </c>
      <c r="H146" s="203">
        <f>Практики!Q255</f>
        <v>0</v>
      </c>
      <c r="I146" s="576"/>
    </row>
    <row r="147" spans="1:9" x14ac:dyDescent="0.4">
      <c r="A147" s="390"/>
      <c r="B147" s="577"/>
      <c r="C147" s="577"/>
      <c r="D147" s="577"/>
      <c r="E147" s="578"/>
      <c r="F147" s="203" t="str">
        <f>Практики!C281</f>
        <v>T-PROD-EVENTS-2-1</v>
      </c>
      <c r="G147" s="203" t="str">
        <f>Практики!F281</f>
        <v>Не заполнено</v>
      </c>
      <c r="H147" s="203">
        <f>Практики!Q281</f>
        <v>0</v>
      </c>
      <c r="I147" s="575"/>
    </row>
    <row r="148" spans="1:9" x14ac:dyDescent="0.4">
      <c r="A148" s="174">
        <v>109</v>
      </c>
      <c r="B148" s="200" t="s">
        <v>2636</v>
      </c>
      <c r="C148" s="200" t="s">
        <v>2657</v>
      </c>
      <c r="D148" s="200" t="s">
        <v>2666</v>
      </c>
      <c r="E148" s="201" t="s">
        <v>2667</v>
      </c>
      <c r="F148" s="202"/>
      <c r="G148" s="202"/>
      <c r="H148" s="202"/>
      <c r="I148" s="174"/>
    </row>
    <row r="149" spans="1:9" x14ac:dyDescent="0.4">
      <c r="A149" s="174">
        <v>110</v>
      </c>
      <c r="B149" s="200" t="s">
        <v>2636</v>
      </c>
      <c r="C149" s="200" t="s">
        <v>2657</v>
      </c>
      <c r="D149" s="200" t="s">
        <v>2668</v>
      </c>
      <c r="E149" s="201" t="s">
        <v>2669</v>
      </c>
      <c r="F149" s="202"/>
      <c r="G149" s="202"/>
      <c r="H149" s="202"/>
      <c r="I149" s="174"/>
    </row>
    <row r="150" spans="1:9" x14ac:dyDescent="0.4">
      <c r="A150" s="174">
        <v>111</v>
      </c>
      <c r="B150" s="200" t="s">
        <v>2636</v>
      </c>
      <c r="C150" s="200" t="s">
        <v>2637</v>
      </c>
      <c r="D150" s="200" t="s">
        <v>2670</v>
      </c>
      <c r="E150" s="201" t="s">
        <v>2671</v>
      </c>
      <c r="F150" s="202"/>
      <c r="G150" s="202"/>
      <c r="H150" s="202"/>
      <c r="I150" s="174"/>
    </row>
    <row r="151" spans="1:9" x14ac:dyDescent="0.4">
      <c r="A151" s="174">
        <v>112</v>
      </c>
      <c r="B151" s="200" t="s">
        <v>2636</v>
      </c>
      <c r="C151" s="200" t="s">
        <v>2637</v>
      </c>
      <c r="D151" s="200" t="s">
        <v>2672</v>
      </c>
      <c r="E151" s="201" t="s">
        <v>2673</v>
      </c>
      <c r="F151" s="202"/>
      <c r="G151" s="202"/>
      <c r="H151" s="202"/>
      <c r="I151" s="174"/>
    </row>
    <row r="152" spans="1:9" x14ac:dyDescent="0.4">
      <c r="A152" s="174">
        <v>113</v>
      </c>
      <c r="B152" s="200" t="s">
        <v>2636</v>
      </c>
      <c r="C152" s="200" t="s">
        <v>2637</v>
      </c>
      <c r="D152" s="200" t="s">
        <v>2674</v>
      </c>
      <c r="E152" s="201" t="s">
        <v>2675</v>
      </c>
      <c r="F152" s="202"/>
      <c r="G152" s="202"/>
      <c r="H152" s="202"/>
      <c r="I152" s="174"/>
    </row>
    <row r="153" spans="1:9" x14ac:dyDescent="0.4">
      <c r="A153" s="174">
        <v>114</v>
      </c>
      <c r="B153" s="200" t="s">
        <v>2636</v>
      </c>
      <c r="C153" s="200" t="s">
        <v>2637</v>
      </c>
      <c r="D153" s="200" t="s">
        <v>2676</v>
      </c>
      <c r="E153" s="201" t="s">
        <v>2677</v>
      </c>
      <c r="F153" s="202"/>
      <c r="G153" s="202"/>
      <c r="H153" s="202"/>
      <c r="I153" s="174"/>
    </row>
    <row r="154" spans="1:9" x14ac:dyDescent="0.4">
      <c r="A154" s="174">
        <v>115</v>
      </c>
      <c r="B154" s="200" t="s">
        <v>2636</v>
      </c>
      <c r="C154" s="200" t="s">
        <v>2637</v>
      </c>
      <c r="D154" s="200" t="s">
        <v>2678</v>
      </c>
      <c r="E154" s="201" t="s">
        <v>2679</v>
      </c>
      <c r="F154" s="202"/>
      <c r="G154" s="202"/>
      <c r="H154" s="202"/>
      <c r="I154" s="174"/>
    </row>
    <row r="155" spans="1:9" x14ac:dyDescent="0.4">
      <c r="A155" s="174">
        <v>116</v>
      </c>
      <c r="B155" s="200" t="s">
        <v>2636</v>
      </c>
      <c r="C155" s="200" t="s">
        <v>2637</v>
      </c>
      <c r="D155" s="200" t="s">
        <v>2680</v>
      </c>
      <c r="E155" s="201" t="s">
        <v>2681</v>
      </c>
      <c r="F155" s="202"/>
      <c r="G155" s="202"/>
      <c r="H155" s="202"/>
      <c r="I155" s="174"/>
    </row>
    <row r="156" spans="1:9" x14ac:dyDescent="0.4">
      <c r="A156" s="174">
        <v>117</v>
      </c>
      <c r="B156" s="200" t="s">
        <v>2636</v>
      </c>
      <c r="C156" s="200" t="s">
        <v>2637</v>
      </c>
      <c r="D156" s="200" t="s">
        <v>2682</v>
      </c>
      <c r="E156" s="201" t="s">
        <v>2683</v>
      </c>
      <c r="F156" s="202"/>
      <c r="G156" s="202"/>
      <c r="H156" s="202"/>
      <c r="I156" s="174"/>
    </row>
    <row r="157" spans="1:9" x14ac:dyDescent="0.4">
      <c r="A157" s="174">
        <v>118</v>
      </c>
      <c r="B157" s="200" t="s">
        <v>2636</v>
      </c>
      <c r="C157" s="200" t="s">
        <v>2637</v>
      </c>
      <c r="D157" s="200" t="s">
        <v>2684</v>
      </c>
      <c r="E157" s="201" t="s">
        <v>2685</v>
      </c>
      <c r="F157" s="202"/>
      <c r="G157" s="202"/>
      <c r="H157" s="202"/>
      <c r="I157" s="174"/>
    </row>
    <row r="158" spans="1:9" x14ac:dyDescent="0.4">
      <c r="A158" s="174">
        <v>119</v>
      </c>
      <c r="B158" s="200" t="s">
        <v>2636</v>
      </c>
      <c r="C158" s="200" t="s">
        <v>2637</v>
      </c>
      <c r="D158" s="200" t="s">
        <v>2686</v>
      </c>
      <c r="E158" s="201" t="s">
        <v>2687</v>
      </c>
      <c r="F158" s="202"/>
      <c r="G158" s="202"/>
      <c r="H158" s="202"/>
      <c r="I158" s="174"/>
    </row>
    <row r="159" spans="1:9" x14ac:dyDescent="0.4">
      <c r="A159" s="174">
        <v>120</v>
      </c>
      <c r="B159" s="203" t="s">
        <v>2636</v>
      </c>
      <c r="C159" s="203" t="s">
        <v>2644</v>
      </c>
      <c r="D159" s="203" t="s">
        <v>2688</v>
      </c>
      <c r="E159" s="201" t="s">
        <v>2689</v>
      </c>
      <c r="F159" s="202"/>
      <c r="G159" s="202"/>
      <c r="H159" s="202"/>
      <c r="I159" s="174"/>
    </row>
    <row r="160" spans="1:9" x14ac:dyDescent="0.4">
      <c r="A160" s="174">
        <v>121</v>
      </c>
      <c r="B160" s="203" t="s">
        <v>2636</v>
      </c>
      <c r="C160" s="203" t="s">
        <v>2644</v>
      </c>
      <c r="D160" s="203" t="s">
        <v>2690</v>
      </c>
      <c r="E160" s="201" t="s">
        <v>2691</v>
      </c>
      <c r="F160" s="202"/>
      <c r="G160" s="202"/>
      <c r="H160" s="202"/>
      <c r="I160" s="174"/>
    </row>
    <row r="161" spans="1:9" x14ac:dyDescent="0.4">
      <c r="A161" s="390">
        <v>122</v>
      </c>
      <c r="B161" s="577" t="s">
        <v>2692</v>
      </c>
      <c r="C161" s="577" t="s">
        <v>2693</v>
      </c>
      <c r="D161" s="577" t="s">
        <v>2694</v>
      </c>
      <c r="E161" s="578" t="s">
        <v>2695</v>
      </c>
      <c r="F161" s="203" t="str">
        <f>Практики!C176</f>
        <v>T-PREPROD-DAST-2-2</v>
      </c>
      <c r="G161" s="203" t="str">
        <f>Практики!F176</f>
        <v>Не заполнено</v>
      </c>
      <c r="H161" s="203">
        <f>Практики!Q176</f>
        <v>0</v>
      </c>
      <c r="I161" s="574">
        <v>0</v>
      </c>
    </row>
    <row r="162" spans="1:9" x14ac:dyDescent="0.4">
      <c r="A162" s="390"/>
      <c r="B162" s="577"/>
      <c r="C162" s="577"/>
      <c r="D162" s="577"/>
      <c r="E162" s="578"/>
      <c r="F162" s="203" t="str">
        <f>Практики!C181</f>
        <v>T-PREPROD-DAST-3-3</v>
      </c>
      <c r="G162" s="203" t="str">
        <f>Практики!F181</f>
        <v>Не заполнено</v>
      </c>
      <c r="H162" s="203">
        <f>Практики!Q181</f>
        <v>0</v>
      </c>
      <c r="I162" s="576"/>
    </row>
    <row r="163" spans="1:9" x14ac:dyDescent="0.4">
      <c r="A163" s="390"/>
      <c r="B163" s="577"/>
      <c r="C163" s="577"/>
      <c r="D163" s="577"/>
      <c r="E163" s="578"/>
      <c r="F163" s="203" t="str">
        <f>Практики!C243</f>
        <v>T-PROD-DAST-3-3</v>
      </c>
      <c r="G163" s="203" t="str">
        <f>Практики!F243</f>
        <v>Не заполнено</v>
      </c>
      <c r="H163" s="203">
        <f>Практики!Q243</f>
        <v>0</v>
      </c>
      <c r="I163" s="576"/>
    </row>
    <row r="164" spans="1:9" x14ac:dyDescent="0.4">
      <c r="A164" s="390"/>
      <c r="B164" s="577"/>
      <c r="C164" s="577"/>
      <c r="D164" s="577"/>
      <c r="E164" s="578"/>
      <c r="F164" s="203" t="str">
        <f>Практики!C238</f>
        <v>T-PROD-DAST-2-2</v>
      </c>
      <c r="G164" s="203" t="str">
        <f>Практики!F238</f>
        <v>Не заполнено</v>
      </c>
      <c r="H164" s="203">
        <f>Практики!Q238</f>
        <v>0</v>
      </c>
      <c r="I164" s="575"/>
    </row>
    <row r="165" spans="1:9" x14ac:dyDescent="0.4">
      <c r="A165" s="390">
        <v>123</v>
      </c>
      <c r="B165" s="577" t="s">
        <v>2692</v>
      </c>
      <c r="C165" s="577" t="s">
        <v>2693</v>
      </c>
      <c r="D165" s="577" t="s">
        <v>2696</v>
      </c>
      <c r="E165" s="578" t="s">
        <v>2697</v>
      </c>
      <c r="F165" s="203" t="str">
        <f>Практики!C176</f>
        <v>T-PREPROD-DAST-2-2</v>
      </c>
      <c r="G165" s="203" t="str">
        <f>Практики!F176</f>
        <v>Не заполнено</v>
      </c>
      <c r="H165" s="203">
        <f>Практики!Q176</f>
        <v>0</v>
      </c>
      <c r="I165" s="574">
        <v>0</v>
      </c>
    </row>
    <row r="166" spans="1:9" x14ac:dyDescent="0.4">
      <c r="A166" s="390"/>
      <c r="B166" s="577"/>
      <c r="C166" s="577"/>
      <c r="D166" s="577"/>
      <c r="E166" s="578"/>
      <c r="F166" s="203" t="str">
        <f>Практики!C183</f>
        <v>T-PREPROD-DAST-4-1</v>
      </c>
      <c r="G166" s="203" t="str">
        <f>Практики!F183</f>
        <v>Не заполнено</v>
      </c>
      <c r="H166" s="203">
        <f>Практики!Q183</f>
        <v>0</v>
      </c>
      <c r="I166" s="576"/>
    </row>
    <row r="167" spans="1:9" x14ac:dyDescent="0.4">
      <c r="A167" s="390"/>
      <c r="B167" s="577"/>
      <c r="C167" s="577"/>
      <c r="D167" s="577"/>
      <c r="E167" s="578"/>
      <c r="F167" s="203" t="str">
        <f>Практики!C238</f>
        <v>T-PROD-DAST-2-2</v>
      </c>
      <c r="G167" s="203" t="str">
        <f>Практики!F238</f>
        <v>Не заполнено</v>
      </c>
      <c r="H167" s="203">
        <f>Практики!Q238</f>
        <v>0</v>
      </c>
      <c r="I167" s="576"/>
    </row>
    <row r="168" spans="1:9" x14ac:dyDescent="0.4">
      <c r="A168" s="390"/>
      <c r="B168" s="577"/>
      <c r="C168" s="577"/>
      <c r="D168" s="577"/>
      <c r="E168" s="578"/>
      <c r="F168" s="203" t="str">
        <f>Практики!C241</f>
        <v>T-PROD-DAST-3-1</v>
      </c>
      <c r="G168" s="203" t="str">
        <f>Практики!F241</f>
        <v>Не заполнено</v>
      </c>
      <c r="H168" s="203">
        <f>Практики!Q241</f>
        <v>0</v>
      </c>
      <c r="I168" s="576"/>
    </row>
    <row r="169" spans="1:9" x14ac:dyDescent="0.4">
      <c r="A169" s="390"/>
      <c r="B169" s="577"/>
      <c r="C169" s="577"/>
      <c r="D169" s="577"/>
      <c r="E169" s="578"/>
      <c r="F169" s="203" t="str">
        <f>Практики!C245</f>
        <v>T-PROD-DAST-4-1</v>
      </c>
      <c r="G169" s="203" t="str">
        <f>Практики!F245</f>
        <v>Не заполнено</v>
      </c>
      <c r="H169" s="203">
        <f>Практики!Q245</f>
        <v>0</v>
      </c>
      <c r="I169" s="576"/>
    </row>
    <row r="170" spans="1:9" x14ac:dyDescent="0.4">
      <c r="A170" s="390"/>
      <c r="B170" s="577"/>
      <c r="C170" s="577"/>
      <c r="D170" s="577"/>
      <c r="E170" s="578"/>
      <c r="F170" s="203" t="str">
        <f>Практики!C179</f>
        <v>T-PREPROD-DAST-3-1</v>
      </c>
      <c r="G170" s="203" t="str">
        <f>Практики!F179</f>
        <v>Не заполнено</v>
      </c>
      <c r="H170" s="203">
        <f>Практики!Q179</f>
        <v>0</v>
      </c>
      <c r="I170" s="575"/>
    </row>
    <row r="171" spans="1:9" x14ac:dyDescent="0.4">
      <c r="A171" s="390">
        <v>124</v>
      </c>
      <c r="B171" s="577" t="s">
        <v>2692</v>
      </c>
      <c r="C171" s="577" t="s">
        <v>2693</v>
      </c>
      <c r="D171" s="577" t="s">
        <v>2698</v>
      </c>
      <c r="E171" s="578" t="s">
        <v>2699</v>
      </c>
      <c r="F171" s="203" t="str">
        <f>Практики!C180</f>
        <v>T-PREPROD-DAST-3-2</v>
      </c>
      <c r="G171" s="203" t="str">
        <f>Практики!F180</f>
        <v>Не заполнено</v>
      </c>
      <c r="H171" s="203">
        <f>Практики!Q180</f>
        <v>0</v>
      </c>
      <c r="I171" s="574">
        <v>0</v>
      </c>
    </row>
    <row r="172" spans="1:9" x14ac:dyDescent="0.4">
      <c r="A172" s="390"/>
      <c r="B172" s="577"/>
      <c r="C172" s="577"/>
      <c r="D172" s="577"/>
      <c r="E172" s="578"/>
      <c r="F172" s="203" t="str">
        <f>Практики!C242</f>
        <v>T-PROD-DAST-3-2</v>
      </c>
      <c r="G172" s="203" t="str">
        <f>Практики!F242</f>
        <v>Не заполнено</v>
      </c>
      <c r="H172" s="203">
        <f>Практики!Q242</f>
        <v>0</v>
      </c>
      <c r="I172" s="576"/>
    </row>
    <row r="173" spans="1:9" x14ac:dyDescent="0.4">
      <c r="A173" s="390"/>
      <c r="B173" s="577"/>
      <c r="C173" s="577"/>
      <c r="D173" s="577"/>
      <c r="E173" s="578"/>
      <c r="F173" s="203" t="str">
        <f>Практики!C245</f>
        <v>T-PROD-DAST-4-1</v>
      </c>
      <c r="G173" s="203" t="str">
        <f>Практики!F245</f>
        <v>Не заполнено</v>
      </c>
      <c r="H173" s="203">
        <f>Практики!Q245</f>
        <v>0</v>
      </c>
      <c r="I173" s="576"/>
    </row>
    <row r="174" spans="1:9" x14ac:dyDescent="0.4">
      <c r="A174" s="390"/>
      <c r="B174" s="577"/>
      <c r="C174" s="577"/>
      <c r="D174" s="577"/>
      <c r="E174" s="578"/>
      <c r="F174" s="203" t="str">
        <f>Практики!C183</f>
        <v>T-PREPROD-DAST-4-1</v>
      </c>
      <c r="G174" s="203" t="str">
        <f>Практики!F183</f>
        <v>Не заполнено</v>
      </c>
      <c r="H174" s="203">
        <f>Практики!Q183</f>
        <v>0</v>
      </c>
      <c r="I174" s="575"/>
    </row>
    <row r="175" spans="1:9" x14ac:dyDescent="0.4">
      <c r="A175" s="174">
        <v>125</v>
      </c>
      <c r="B175" s="200" t="s">
        <v>2692</v>
      </c>
      <c r="C175" s="200" t="s">
        <v>2700</v>
      </c>
      <c r="D175" s="200" t="s">
        <v>2701</v>
      </c>
      <c r="E175" s="201" t="s">
        <v>2702</v>
      </c>
      <c r="F175" s="202"/>
      <c r="G175" s="202"/>
      <c r="H175" s="202"/>
      <c r="I175" s="174"/>
    </row>
    <row r="176" spans="1:9" x14ac:dyDescent="0.4">
      <c r="A176" s="174">
        <v>126</v>
      </c>
      <c r="B176" s="200" t="s">
        <v>2692</v>
      </c>
      <c r="C176" s="200" t="s">
        <v>2700</v>
      </c>
      <c r="D176" s="200" t="s">
        <v>2703</v>
      </c>
      <c r="E176" s="201" t="s">
        <v>2704</v>
      </c>
      <c r="F176" s="202"/>
      <c r="G176" s="202"/>
      <c r="H176" s="202"/>
      <c r="I176" s="174"/>
    </row>
    <row r="177" spans="1:9" x14ac:dyDescent="0.4">
      <c r="A177" s="174">
        <v>127</v>
      </c>
      <c r="B177" s="200" t="s">
        <v>2692</v>
      </c>
      <c r="C177" s="200" t="s">
        <v>2705</v>
      </c>
      <c r="D177" s="200" t="s">
        <v>2706</v>
      </c>
      <c r="E177" s="201" t="s">
        <v>2707</v>
      </c>
      <c r="F177" s="203" t="str">
        <f>Практики!C192</f>
        <v>T-PREPROD-SECTEST-0-1</v>
      </c>
      <c r="G177" s="203" t="str">
        <f>Практики!F192</f>
        <v>Не заполнено</v>
      </c>
      <c r="H177" s="203">
        <f>Практики!Q192</f>
        <v>0</v>
      </c>
      <c r="I177" s="174">
        <v>0</v>
      </c>
    </row>
    <row r="178" spans="1:9" x14ac:dyDescent="0.4">
      <c r="A178" s="174">
        <v>128</v>
      </c>
      <c r="B178" s="200" t="s">
        <v>2692</v>
      </c>
      <c r="C178" s="200" t="s">
        <v>2708</v>
      </c>
      <c r="D178" s="200" t="s">
        <v>2709</v>
      </c>
      <c r="E178" s="201" t="s">
        <v>2710</v>
      </c>
      <c r="F178" s="202"/>
      <c r="G178" s="202"/>
      <c r="H178" s="202"/>
      <c r="I178" s="174"/>
    </row>
    <row r="179" spans="1:9" x14ac:dyDescent="0.4">
      <c r="A179" s="174">
        <v>129</v>
      </c>
      <c r="B179" s="200" t="s">
        <v>2692</v>
      </c>
      <c r="C179" s="200" t="s">
        <v>2693</v>
      </c>
      <c r="D179" s="200" t="s">
        <v>2711</v>
      </c>
      <c r="E179" s="201" t="s">
        <v>2712</v>
      </c>
      <c r="F179" s="202"/>
      <c r="G179" s="202"/>
      <c r="H179" s="202"/>
      <c r="I179" s="174"/>
    </row>
    <row r="180" spans="1:9" x14ac:dyDescent="0.4">
      <c r="A180" s="174">
        <v>130</v>
      </c>
      <c r="B180" s="200" t="s">
        <v>2692</v>
      </c>
      <c r="C180" s="200" t="s">
        <v>2693</v>
      </c>
      <c r="D180" s="200" t="s">
        <v>2713</v>
      </c>
      <c r="E180" s="201" t="s">
        <v>2714</v>
      </c>
      <c r="F180" s="202"/>
      <c r="G180" s="202"/>
      <c r="H180" s="202"/>
      <c r="I180" s="174"/>
    </row>
    <row r="181" spans="1:9" x14ac:dyDescent="0.4">
      <c r="A181" s="390">
        <v>131</v>
      </c>
      <c r="B181" s="577" t="s">
        <v>2692</v>
      </c>
      <c r="C181" s="577" t="s">
        <v>2700</v>
      </c>
      <c r="D181" s="577" t="s">
        <v>2715</v>
      </c>
      <c r="E181" s="578" t="s">
        <v>2716</v>
      </c>
      <c r="F181" s="203" t="str">
        <f>Практики!C154</f>
        <v>T-CODE-SECDN-0-1</v>
      </c>
      <c r="G181" s="203" t="str">
        <f>Практики!F154</f>
        <v>Не заполнено</v>
      </c>
      <c r="H181" s="203">
        <f>Практики!Q154</f>
        <v>0</v>
      </c>
      <c r="I181" s="574">
        <v>0</v>
      </c>
    </row>
    <row r="182" spans="1:9" x14ac:dyDescent="0.4">
      <c r="A182" s="390"/>
      <c r="B182" s="577"/>
      <c r="C182" s="577"/>
      <c r="D182" s="577"/>
      <c r="E182" s="578"/>
      <c r="F182" s="203" t="str">
        <f>Практики!C155</f>
        <v>T-CODE-SECDN-1-1</v>
      </c>
      <c r="G182" s="203" t="str">
        <f>Практики!F155</f>
        <v>Не заполнено</v>
      </c>
      <c r="H182" s="203">
        <f>Практики!Q155</f>
        <v>0</v>
      </c>
      <c r="I182" s="576"/>
    </row>
    <row r="183" spans="1:9" x14ac:dyDescent="0.4">
      <c r="A183" s="390"/>
      <c r="B183" s="577"/>
      <c r="C183" s="577"/>
      <c r="D183" s="577"/>
      <c r="E183" s="578"/>
      <c r="F183" s="203" t="str">
        <f>Практики!C159</f>
        <v>T-CODE-SECDN-2-1</v>
      </c>
      <c r="G183" s="203" t="str">
        <f>Практики!F159</f>
        <v>Не заполнено</v>
      </c>
      <c r="H183" s="203">
        <f>Практики!Q159</f>
        <v>0</v>
      </c>
      <c r="I183" s="575"/>
    </row>
    <row r="184" spans="1:9" x14ac:dyDescent="0.4">
      <c r="A184" s="174">
        <v>132</v>
      </c>
      <c r="B184" s="200" t="s">
        <v>2692</v>
      </c>
      <c r="C184" s="200" t="s">
        <v>2717</v>
      </c>
      <c r="D184" s="200" t="s">
        <v>2718</v>
      </c>
      <c r="E184" s="201" t="s">
        <v>2719</v>
      </c>
      <c r="F184" s="202"/>
      <c r="G184" s="202"/>
      <c r="H184" s="202"/>
      <c r="I184" s="174"/>
    </row>
    <row r="185" spans="1:9" x14ac:dyDescent="0.4">
      <c r="A185" s="174">
        <v>133</v>
      </c>
      <c r="B185" s="200" t="s">
        <v>2692</v>
      </c>
      <c r="C185" s="200" t="s">
        <v>2717</v>
      </c>
      <c r="D185" s="200" t="s">
        <v>2720</v>
      </c>
      <c r="E185" s="201" t="s">
        <v>2721</v>
      </c>
      <c r="F185" s="203" t="str">
        <f>Практики!C350</f>
        <v>P-DEFECT-MNG-0-1</v>
      </c>
      <c r="G185" s="203" t="str">
        <f>Практики!F350</f>
        <v>Не заполнено</v>
      </c>
      <c r="H185" s="203">
        <f>Практики!Q350</f>
        <v>0</v>
      </c>
      <c r="I185" s="174">
        <v>0</v>
      </c>
    </row>
    <row r="186" spans="1:9" x14ac:dyDescent="0.4">
      <c r="A186" s="174">
        <v>134</v>
      </c>
      <c r="B186" s="200" t="s">
        <v>2692</v>
      </c>
      <c r="C186" s="200" t="s">
        <v>2717</v>
      </c>
      <c r="D186" s="200" t="s">
        <v>2722</v>
      </c>
      <c r="E186" s="201" t="s">
        <v>2723</v>
      </c>
      <c r="F186" s="203" t="str">
        <f>Практики!C353</f>
        <v>P-DEFECT-MNG-2-2</v>
      </c>
      <c r="G186" s="203" t="str">
        <f>Практики!F353</f>
        <v>Не заполнено</v>
      </c>
      <c r="H186" s="203">
        <f>Практики!Q353</f>
        <v>0</v>
      </c>
      <c r="I186" s="174">
        <v>0</v>
      </c>
    </row>
    <row r="187" spans="1:9" x14ac:dyDescent="0.4">
      <c r="A187" s="390">
        <v>135</v>
      </c>
      <c r="B187" s="577" t="s">
        <v>2692</v>
      </c>
      <c r="C187" s="577" t="s">
        <v>2717</v>
      </c>
      <c r="D187" s="577" t="s">
        <v>2724</v>
      </c>
      <c r="E187" s="578" t="s">
        <v>2725</v>
      </c>
      <c r="F187" s="203" t="str">
        <f>Практики!C350</f>
        <v>P-DEFECT-MNG-0-1</v>
      </c>
      <c r="G187" s="203" t="str">
        <f>Практики!F350</f>
        <v>Не заполнено</v>
      </c>
      <c r="H187" s="203">
        <f>Практики!Q350</f>
        <v>0</v>
      </c>
      <c r="I187" s="574">
        <v>0</v>
      </c>
    </row>
    <row r="188" spans="1:9" x14ac:dyDescent="0.4">
      <c r="A188" s="390"/>
      <c r="B188" s="577"/>
      <c r="C188" s="577"/>
      <c r="D188" s="577"/>
      <c r="E188" s="578"/>
      <c r="F188" s="203" t="str">
        <f>Практики!C351</f>
        <v>P-DEFECT-MNG-1-1</v>
      </c>
      <c r="G188" s="203" t="str">
        <f>Практики!F351</f>
        <v>Не заполнено</v>
      </c>
      <c r="H188" s="203">
        <f>Практики!Q351</f>
        <v>0</v>
      </c>
      <c r="I188" s="575"/>
    </row>
    <row r="189" spans="1:9" x14ac:dyDescent="0.4">
      <c r="A189" s="390">
        <v>136</v>
      </c>
      <c r="B189" s="577" t="s">
        <v>2692</v>
      </c>
      <c r="C189" s="577" t="s">
        <v>2693</v>
      </c>
      <c r="D189" s="577" t="s">
        <v>2726</v>
      </c>
      <c r="E189" s="578" t="s">
        <v>2727</v>
      </c>
      <c r="F189" s="203" t="str">
        <f>Практики!C185</f>
        <v>T-PREPROD-DAST-4-3</v>
      </c>
      <c r="G189" s="203" t="str">
        <f>Практики!F185</f>
        <v>Не заполнено</v>
      </c>
      <c r="H189" s="203">
        <f>Практики!Q185</f>
        <v>0</v>
      </c>
      <c r="I189" s="574">
        <v>0</v>
      </c>
    </row>
    <row r="190" spans="1:9" x14ac:dyDescent="0.4">
      <c r="A190" s="390"/>
      <c r="B190" s="577"/>
      <c r="C190" s="577"/>
      <c r="D190" s="577"/>
      <c r="E190" s="578"/>
      <c r="F190" s="203" t="str">
        <f>Практики!C247</f>
        <v>T-PROD-DAST-4-3</v>
      </c>
      <c r="G190" s="203" t="str">
        <f>Практики!F247</f>
        <v>Не заполнено</v>
      </c>
      <c r="H190" s="203">
        <f>Практики!Q247</f>
        <v>0</v>
      </c>
      <c r="I190" s="575"/>
    </row>
    <row r="191" spans="1:9" x14ac:dyDescent="0.4">
      <c r="A191" s="390">
        <v>137</v>
      </c>
      <c r="B191" s="577" t="s">
        <v>2692</v>
      </c>
      <c r="C191" s="577" t="s">
        <v>2693</v>
      </c>
      <c r="D191" s="577" t="s">
        <v>2728</v>
      </c>
      <c r="E191" s="578" t="s">
        <v>2729</v>
      </c>
      <c r="F191" s="203" t="str">
        <f>Практики!C184</f>
        <v>T-PREPROD-DAST-4-2</v>
      </c>
      <c r="G191" s="203" t="str">
        <f>Практики!F184</f>
        <v>Не заполнено</v>
      </c>
      <c r="H191" s="203">
        <f>Практики!Q184</f>
        <v>0</v>
      </c>
      <c r="I191" s="574">
        <v>0</v>
      </c>
    </row>
    <row r="192" spans="1:9" x14ac:dyDescent="0.4">
      <c r="A192" s="390"/>
      <c r="B192" s="577"/>
      <c r="C192" s="577"/>
      <c r="D192" s="577"/>
      <c r="E192" s="578"/>
      <c r="F192" s="203" t="str">
        <f>Практики!C246</f>
        <v>T-PROD-DAST-4-2</v>
      </c>
      <c r="G192" s="203" t="str">
        <f>Практики!F246</f>
        <v>Не заполнено</v>
      </c>
      <c r="H192" s="203">
        <f>Практики!Q246</f>
        <v>0</v>
      </c>
      <c r="I192" s="575"/>
    </row>
    <row r="193" spans="1:9" x14ac:dyDescent="0.4">
      <c r="A193" s="174">
        <v>138</v>
      </c>
      <c r="B193" s="200" t="s">
        <v>2692</v>
      </c>
      <c r="C193" s="200" t="s">
        <v>2717</v>
      </c>
      <c r="D193" s="200" t="s">
        <v>2730</v>
      </c>
      <c r="E193" s="201" t="s">
        <v>2731</v>
      </c>
      <c r="F193" s="202"/>
      <c r="G193" s="202"/>
      <c r="H193" s="202"/>
      <c r="I193" s="174"/>
    </row>
    <row r="194" spans="1:9" x14ac:dyDescent="0.4">
      <c r="A194" s="174">
        <v>139</v>
      </c>
      <c r="B194" s="200" t="s">
        <v>2692</v>
      </c>
      <c r="C194" s="200" t="s">
        <v>2717</v>
      </c>
      <c r="D194" s="200" t="s">
        <v>2732</v>
      </c>
      <c r="E194" s="201" t="s">
        <v>2733</v>
      </c>
      <c r="F194" s="202"/>
      <c r="G194" s="202"/>
      <c r="H194" s="202"/>
      <c r="I194" s="174"/>
    </row>
    <row r="195" spans="1:9" x14ac:dyDescent="0.4">
      <c r="A195" s="390">
        <v>140</v>
      </c>
      <c r="B195" s="577" t="s">
        <v>2692</v>
      </c>
      <c r="C195" s="577" t="s">
        <v>2717</v>
      </c>
      <c r="D195" s="577" t="s">
        <v>2734</v>
      </c>
      <c r="E195" s="578" t="s">
        <v>2735</v>
      </c>
      <c r="F195" s="203" t="str">
        <f>Практики!C358</f>
        <v>P-DEFECT-CNS-0-1</v>
      </c>
      <c r="G195" s="203" t="str">
        <f>Практики!F358</f>
        <v>Не заполнено</v>
      </c>
      <c r="H195" s="203">
        <f>Практики!Q358</f>
        <v>0</v>
      </c>
      <c r="I195" s="574">
        <v>0</v>
      </c>
    </row>
    <row r="196" spans="1:9" x14ac:dyDescent="0.4">
      <c r="A196" s="390"/>
      <c r="B196" s="577"/>
      <c r="C196" s="577"/>
      <c r="D196" s="577"/>
      <c r="E196" s="578"/>
      <c r="F196" s="203" t="str">
        <f>Практики!C359</f>
        <v>P-DEFECT-CNS-1-1</v>
      </c>
      <c r="G196" s="203" t="str">
        <f>Практики!F359</f>
        <v>Не заполнено</v>
      </c>
      <c r="H196" s="203">
        <f>Практики!Q359</f>
        <v>0</v>
      </c>
      <c r="I196" s="576"/>
    </row>
    <row r="197" spans="1:9" x14ac:dyDescent="0.4">
      <c r="A197" s="390"/>
      <c r="B197" s="577"/>
      <c r="C197" s="577"/>
      <c r="D197" s="577"/>
      <c r="E197" s="578"/>
      <c r="F197" s="203" t="str">
        <f>Практики!C361</f>
        <v>P-DEFECT-CNS-2-1</v>
      </c>
      <c r="G197" s="203" t="str">
        <f>Практики!F361</f>
        <v>Не заполнено</v>
      </c>
      <c r="H197" s="203">
        <f>Практики!Q361</f>
        <v>0</v>
      </c>
      <c r="I197" s="575"/>
    </row>
    <row r="198" spans="1:9" x14ac:dyDescent="0.4">
      <c r="A198" s="174">
        <v>141</v>
      </c>
      <c r="B198" s="200" t="s">
        <v>2692</v>
      </c>
      <c r="C198" s="200" t="s">
        <v>2693</v>
      </c>
      <c r="D198" s="200" t="s">
        <v>2736</v>
      </c>
      <c r="E198" s="201" t="s">
        <v>2737</v>
      </c>
      <c r="F198" s="202"/>
      <c r="G198" s="202"/>
      <c r="H198" s="202"/>
      <c r="I198" s="174"/>
    </row>
    <row r="199" spans="1:9" x14ac:dyDescent="0.4">
      <c r="A199" s="390">
        <v>142</v>
      </c>
      <c r="B199" s="577" t="s">
        <v>2692</v>
      </c>
      <c r="C199" s="577" t="s">
        <v>2708</v>
      </c>
      <c r="D199" s="577" t="s">
        <v>2738</v>
      </c>
      <c r="E199" s="578" t="s">
        <v>2739</v>
      </c>
      <c r="F199" s="203" t="str">
        <f>Практики!C197</f>
        <v>T-PREPROD-VULN-0-1</v>
      </c>
      <c r="G199" s="203" t="str">
        <f>Практики!F197</f>
        <v>Не заполнено</v>
      </c>
      <c r="H199" s="203">
        <f>Практики!Q197</f>
        <v>0</v>
      </c>
      <c r="I199" s="574">
        <v>0</v>
      </c>
    </row>
    <row r="200" spans="1:9" x14ac:dyDescent="0.4">
      <c r="A200" s="390"/>
      <c r="B200" s="577"/>
      <c r="C200" s="577"/>
      <c r="D200" s="577"/>
      <c r="E200" s="578"/>
      <c r="F200" s="203" t="str">
        <f>Практики!C268</f>
        <v>T-PROD-VULN-0-1</v>
      </c>
      <c r="G200" s="203" t="str">
        <f>Практики!F268</f>
        <v>Не заполнено</v>
      </c>
      <c r="H200" s="203">
        <f>Практики!Q268</f>
        <v>0</v>
      </c>
      <c r="I200" s="575"/>
    </row>
    <row r="201" spans="1:9" x14ac:dyDescent="0.4">
      <c r="A201" s="174">
        <v>143</v>
      </c>
      <c r="B201" s="200" t="s">
        <v>2692</v>
      </c>
      <c r="C201" s="200" t="s">
        <v>2700</v>
      </c>
      <c r="D201" s="200" t="s">
        <v>2740</v>
      </c>
      <c r="E201" s="201" t="s">
        <v>2741</v>
      </c>
      <c r="F201" s="202"/>
      <c r="G201" s="202"/>
      <c r="H201" s="202"/>
      <c r="I201" s="174"/>
    </row>
    <row r="202" spans="1:9" x14ac:dyDescent="0.4">
      <c r="A202" s="174">
        <v>144</v>
      </c>
      <c r="B202" s="200" t="s">
        <v>2692</v>
      </c>
      <c r="C202" s="200" t="s">
        <v>2742</v>
      </c>
      <c r="D202" s="200" t="s">
        <v>2743</v>
      </c>
      <c r="E202" s="201" t="s">
        <v>2744</v>
      </c>
      <c r="F202" s="202"/>
      <c r="G202" s="202"/>
      <c r="H202" s="202"/>
      <c r="I202" s="174"/>
    </row>
    <row r="203" spans="1:9" x14ac:dyDescent="0.4">
      <c r="A203" s="174">
        <v>145</v>
      </c>
      <c r="B203" s="200" t="s">
        <v>2692</v>
      </c>
      <c r="C203" s="200" t="s">
        <v>2705</v>
      </c>
      <c r="D203" s="200" t="s">
        <v>2745</v>
      </c>
      <c r="E203" s="201" t="s">
        <v>2746</v>
      </c>
      <c r="F203" s="202"/>
      <c r="G203" s="202"/>
      <c r="H203" s="202"/>
      <c r="I203" s="174"/>
    </row>
    <row r="204" spans="1:9" x14ac:dyDescent="0.4">
      <c r="A204" s="174">
        <v>146</v>
      </c>
      <c r="B204" s="200" t="s">
        <v>2692</v>
      </c>
      <c r="C204" s="200" t="s">
        <v>2705</v>
      </c>
      <c r="D204" s="200" t="s">
        <v>2747</v>
      </c>
      <c r="E204" s="201" t="s">
        <v>2748</v>
      </c>
      <c r="F204" s="202"/>
      <c r="G204" s="202"/>
      <c r="H204" s="202"/>
      <c r="I204" s="174"/>
    </row>
    <row r="205" spans="1:9" x14ac:dyDescent="0.4">
      <c r="A205" s="174">
        <v>147</v>
      </c>
      <c r="B205" s="200" t="s">
        <v>2692</v>
      </c>
      <c r="C205" s="200" t="s">
        <v>2705</v>
      </c>
      <c r="D205" s="200" t="s">
        <v>2749</v>
      </c>
      <c r="E205" s="201" t="s">
        <v>2750</v>
      </c>
      <c r="F205" s="202"/>
      <c r="G205" s="202"/>
      <c r="H205" s="202"/>
      <c r="I205" s="174"/>
    </row>
    <row r="206" spans="1:9" x14ac:dyDescent="0.4">
      <c r="A206" s="174">
        <v>148</v>
      </c>
      <c r="B206" s="200" t="s">
        <v>2692</v>
      </c>
      <c r="C206" s="200" t="s">
        <v>2751</v>
      </c>
      <c r="D206" s="200" t="s">
        <v>2752</v>
      </c>
      <c r="E206" s="201" t="s">
        <v>2753</v>
      </c>
      <c r="F206" s="203" t="str">
        <f>Практики!C329</f>
        <v>P-REQ-CR-2-1</v>
      </c>
      <c r="G206" s="203" t="str">
        <f>Практики!F329</f>
        <v>Не заполнено</v>
      </c>
      <c r="H206" s="203">
        <f>Практики!Q329</f>
        <v>0</v>
      </c>
      <c r="I206" s="174">
        <v>0</v>
      </c>
    </row>
    <row r="207" spans="1:9" x14ac:dyDescent="0.4">
      <c r="A207" s="390">
        <v>149</v>
      </c>
      <c r="B207" s="577" t="s">
        <v>2692</v>
      </c>
      <c r="C207" s="577" t="s">
        <v>2751</v>
      </c>
      <c r="D207" s="577" t="s">
        <v>2754</v>
      </c>
      <c r="E207" s="578" t="s">
        <v>2755</v>
      </c>
      <c r="F207" s="203" t="str">
        <f>Практики!C192</f>
        <v>T-PREPROD-SECTEST-0-1</v>
      </c>
      <c r="G207" s="203" t="str">
        <f>Практики!F192</f>
        <v>Не заполнено</v>
      </c>
      <c r="H207" s="203">
        <f>Практики!Q192</f>
        <v>0</v>
      </c>
      <c r="I207" s="574">
        <v>0</v>
      </c>
    </row>
    <row r="208" spans="1:9" x14ac:dyDescent="0.4">
      <c r="A208" s="390"/>
      <c r="B208" s="577"/>
      <c r="C208" s="577"/>
      <c r="D208" s="577"/>
      <c r="E208" s="578"/>
      <c r="F208" s="203" t="str">
        <f>Практики!C327</f>
        <v>P-REQ-CR-0-1</v>
      </c>
      <c r="G208" s="203" t="str">
        <f>Практики!F327</f>
        <v>Не заполнено</v>
      </c>
      <c r="H208" s="203">
        <f>Практики!Q327</f>
        <v>0</v>
      </c>
      <c r="I208" s="575"/>
    </row>
    <row r="209" spans="1:9" x14ac:dyDescent="0.4">
      <c r="A209" s="390">
        <v>150</v>
      </c>
      <c r="B209" s="577" t="s">
        <v>2692</v>
      </c>
      <c r="C209" s="577" t="s">
        <v>2751</v>
      </c>
      <c r="D209" s="577" t="s">
        <v>2756</v>
      </c>
      <c r="E209" s="578" t="s">
        <v>2757</v>
      </c>
      <c r="F209" s="203" t="str">
        <f>Практики!C192</f>
        <v>T-PREPROD-SECTEST-0-1</v>
      </c>
      <c r="G209" s="203" t="str">
        <f>Практики!F192</f>
        <v>Не заполнено</v>
      </c>
      <c r="H209" s="203">
        <f>Практики!Q192</f>
        <v>0</v>
      </c>
      <c r="I209" s="574">
        <v>0</v>
      </c>
    </row>
    <row r="210" spans="1:9" x14ac:dyDescent="0.4">
      <c r="A210" s="390"/>
      <c r="B210" s="577"/>
      <c r="C210" s="577"/>
      <c r="D210" s="577"/>
      <c r="E210" s="578"/>
      <c r="F210" s="203" t="str">
        <f>Практики!C327</f>
        <v>P-REQ-CR-0-1</v>
      </c>
      <c r="G210" s="203" t="str">
        <f>Практики!F327</f>
        <v>Не заполнено</v>
      </c>
      <c r="H210" s="203">
        <f>Практики!Q327</f>
        <v>0</v>
      </c>
      <c r="I210" s="575"/>
    </row>
    <row r="211" spans="1:9" x14ac:dyDescent="0.4">
      <c r="A211" s="174">
        <v>151</v>
      </c>
      <c r="B211" s="200" t="s">
        <v>2692</v>
      </c>
      <c r="C211" s="200" t="s">
        <v>2751</v>
      </c>
      <c r="D211" s="200" t="s">
        <v>2758</v>
      </c>
      <c r="E211" s="201" t="s">
        <v>2759</v>
      </c>
      <c r="F211" s="203" t="str">
        <f>Практики!C328</f>
        <v>P-REQ-CR-1-1</v>
      </c>
      <c r="G211" s="203" t="str">
        <f>Практики!F328</f>
        <v>Не заполнено</v>
      </c>
      <c r="H211" s="203">
        <f>Практики!Q328</f>
        <v>0</v>
      </c>
      <c r="I211" s="174">
        <v>0</v>
      </c>
    </row>
    <row r="212" spans="1:9" x14ac:dyDescent="0.4">
      <c r="A212" s="390">
        <v>152</v>
      </c>
      <c r="B212" s="577" t="s">
        <v>2692</v>
      </c>
      <c r="C212" s="577" t="s">
        <v>2693</v>
      </c>
      <c r="D212" s="577" t="s">
        <v>2760</v>
      </c>
      <c r="E212" s="578" t="s">
        <v>2761</v>
      </c>
      <c r="F212" s="203" t="str">
        <f>Практики!C172</f>
        <v>T-PREPROD-DAST-0-1</v>
      </c>
      <c r="G212" s="203" t="str">
        <f>Практики!F172</f>
        <v>Не заполнено</v>
      </c>
      <c r="H212" s="203">
        <f>Практики!Q172</f>
        <v>0</v>
      </c>
      <c r="I212" s="574">
        <v>0</v>
      </c>
    </row>
    <row r="213" spans="1:9" x14ac:dyDescent="0.4">
      <c r="A213" s="390"/>
      <c r="B213" s="577"/>
      <c r="C213" s="577"/>
      <c r="D213" s="577"/>
      <c r="E213" s="578"/>
      <c r="F213" s="203" t="str">
        <f>Практики!C173</f>
        <v>T-PREPROD-DAST-1-1</v>
      </c>
      <c r="G213" s="203" t="str">
        <f>Практики!F173</f>
        <v>Не заполнено</v>
      </c>
      <c r="H213" s="203">
        <f>Практики!Q173</f>
        <v>0</v>
      </c>
      <c r="I213" s="576"/>
    </row>
    <row r="214" spans="1:9" x14ac:dyDescent="0.4">
      <c r="A214" s="390"/>
      <c r="B214" s="577"/>
      <c r="C214" s="577"/>
      <c r="D214" s="577"/>
      <c r="E214" s="578"/>
      <c r="F214" s="203" t="str">
        <f>Практики!C233</f>
        <v>T-PROD-DAST-0-1</v>
      </c>
      <c r="G214" s="203" t="str">
        <f>Практики!F233</f>
        <v>Не заполнено</v>
      </c>
      <c r="H214" s="203">
        <f>Практики!Q233</f>
        <v>0</v>
      </c>
      <c r="I214" s="576"/>
    </row>
    <row r="215" spans="1:9" x14ac:dyDescent="0.4">
      <c r="A215" s="390"/>
      <c r="B215" s="577"/>
      <c r="C215" s="577"/>
      <c r="D215" s="577"/>
      <c r="E215" s="578"/>
      <c r="F215" s="203" t="str">
        <f>Практики!C234</f>
        <v>T-PROD-DAST-1-1</v>
      </c>
      <c r="G215" s="203" t="str">
        <f>Практики!F234</f>
        <v>Не заполнено</v>
      </c>
      <c r="H215" s="203">
        <f>Практики!Q234</f>
        <v>0</v>
      </c>
      <c r="I215" s="575"/>
    </row>
    <row r="216" spans="1:9" x14ac:dyDescent="0.4">
      <c r="A216" s="174">
        <v>153</v>
      </c>
      <c r="B216" s="200" t="s">
        <v>2692</v>
      </c>
      <c r="C216" s="200" t="s">
        <v>2708</v>
      </c>
      <c r="D216" s="200" t="s">
        <v>2762</v>
      </c>
      <c r="E216" s="201" t="s">
        <v>2763</v>
      </c>
      <c r="F216" s="202"/>
      <c r="G216" s="202"/>
      <c r="H216" s="202"/>
      <c r="I216" s="174"/>
    </row>
    <row r="217" spans="1:9" x14ac:dyDescent="0.4">
      <c r="A217" s="390">
        <v>154</v>
      </c>
      <c r="B217" s="577" t="s">
        <v>2692</v>
      </c>
      <c r="C217" s="577" t="s">
        <v>2708</v>
      </c>
      <c r="D217" s="577" t="s">
        <v>2764</v>
      </c>
      <c r="E217" s="578" t="s">
        <v>2765</v>
      </c>
      <c r="F217" s="203" t="str">
        <f>Практики!C197</f>
        <v>T-PREPROD-VULN-0-1</v>
      </c>
      <c r="G217" s="203" t="str">
        <f>Практики!F197</f>
        <v>Не заполнено</v>
      </c>
      <c r="H217" s="203">
        <f>Практики!Q197</f>
        <v>0</v>
      </c>
      <c r="I217" s="574">
        <v>0</v>
      </c>
    </row>
    <row r="218" spans="1:9" x14ac:dyDescent="0.4">
      <c r="A218" s="390"/>
      <c r="B218" s="577"/>
      <c r="C218" s="577"/>
      <c r="D218" s="577"/>
      <c r="E218" s="578"/>
      <c r="F218" s="203" t="str">
        <f>Практики!C268</f>
        <v>T-PROD-VULN-0-1</v>
      </c>
      <c r="G218" s="203" t="str">
        <f>Практики!F268</f>
        <v>Не заполнено</v>
      </c>
      <c r="H218" s="203">
        <f>Практики!Q268</f>
        <v>0</v>
      </c>
      <c r="I218" s="575"/>
    </row>
    <row r="219" spans="1:9" x14ac:dyDescent="0.4">
      <c r="A219" s="174">
        <v>155</v>
      </c>
      <c r="B219" s="200" t="s">
        <v>2692</v>
      </c>
      <c r="C219" s="200" t="s">
        <v>2708</v>
      </c>
      <c r="D219" s="200" t="s">
        <v>2766</v>
      </c>
      <c r="E219" s="201" t="s">
        <v>2767</v>
      </c>
      <c r="F219" s="202"/>
      <c r="G219" s="202"/>
      <c r="H219" s="202"/>
      <c r="I219" s="174"/>
    </row>
    <row r="220" spans="1:9" x14ac:dyDescent="0.4">
      <c r="A220" s="390">
        <v>156</v>
      </c>
      <c r="B220" s="577" t="s">
        <v>2692</v>
      </c>
      <c r="C220" s="577" t="s">
        <v>2708</v>
      </c>
      <c r="D220" s="577" t="s">
        <v>2768</v>
      </c>
      <c r="E220" s="578" t="s">
        <v>2769</v>
      </c>
      <c r="F220" s="203" t="str">
        <f>Практики!C258</f>
        <v>T-PROD-NETWORK-0-1</v>
      </c>
      <c r="G220" s="203" t="str">
        <f>Практики!F258</f>
        <v>Не заполнено</v>
      </c>
      <c r="H220" s="203">
        <f>Практики!Q258</f>
        <v>0</v>
      </c>
      <c r="I220" s="574">
        <v>0</v>
      </c>
    </row>
    <row r="221" spans="1:9" x14ac:dyDescent="0.4">
      <c r="A221" s="390"/>
      <c r="B221" s="577"/>
      <c r="C221" s="577"/>
      <c r="D221" s="577"/>
      <c r="E221" s="578"/>
      <c r="F221" s="203" t="str">
        <f>Практики!C260</f>
        <v>T-PROD-NETWORK-1-2</v>
      </c>
      <c r="G221" s="203" t="str">
        <f>Практики!F260</f>
        <v>Не заполнено</v>
      </c>
      <c r="H221" s="203">
        <f>Практики!Q260</f>
        <v>0</v>
      </c>
      <c r="I221" s="576"/>
    </row>
    <row r="222" spans="1:9" x14ac:dyDescent="0.4">
      <c r="A222" s="390"/>
      <c r="B222" s="577"/>
      <c r="C222" s="577"/>
      <c r="D222" s="577"/>
      <c r="E222" s="578"/>
      <c r="F222" s="203" t="str">
        <f>Практики!C261</f>
        <v>T-PROD-NETWORK-2-1</v>
      </c>
      <c r="G222" s="203" t="str">
        <f>Практики!F261</f>
        <v>Не заполнено</v>
      </c>
      <c r="H222" s="203">
        <f>Практики!Q261</f>
        <v>0</v>
      </c>
      <c r="I222" s="575"/>
    </row>
    <row r="223" spans="1:9" x14ac:dyDescent="0.4">
      <c r="A223" s="174">
        <v>157</v>
      </c>
      <c r="B223" s="200" t="s">
        <v>2692</v>
      </c>
      <c r="C223" s="200" t="s">
        <v>2700</v>
      </c>
      <c r="D223" s="200" t="s">
        <v>2770</v>
      </c>
      <c r="E223" s="201" t="s">
        <v>2771</v>
      </c>
      <c r="F223" s="202"/>
      <c r="G223" s="202"/>
      <c r="H223" s="202"/>
      <c r="I223" s="174"/>
    </row>
    <row r="224" spans="1:9" x14ac:dyDescent="0.4">
      <c r="A224" s="174">
        <v>158</v>
      </c>
      <c r="B224" s="200" t="s">
        <v>2692</v>
      </c>
      <c r="C224" s="200" t="s">
        <v>2705</v>
      </c>
      <c r="D224" s="200" t="s">
        <v>2772</v>
      </c>
      <c r="E224" s="201" t="s">
        <v>2773</v>
      </c>
      <c r="F224" s="202"/>
      <c r="G224" s="202"/>
      <c r="H224" s="202"/>
      <c r="I224" s="174"/>
    </row>
    <row r="225" spans="1:9" x14ac:dyDescent="0.4">
      <c r="A225" s="174">
        <v>159</v>
      </c>
      <c r="B225" s="200" t="s">
        <v>2692</v>
      </c>
      <c r="C225" s="200" t="s">
        <v>2705</v>
      </c>
      <c r="D225" s="200" t="s">
        <v>2774</v>
      </c>
      <c r="E225" s="201" t="s">
        <v>2775</v>
      </c>
      <c r="F225" s="202"/>
      <c r="G225" s="202"/>
      <c r="H225" s="202"/>
      <c r="I225" s="174"/>
    </row>
    <row r="226" spans="1:9" x14ac:dyDescent="0.4">
      <c r="A226" s="174">
        <v>160</v>
      </c>
      <c r="B226" s="200" t="s">
        <v>2692</v>
      </c>
      <c r="C226" s="200" t="s">
        <v>2705</v>
      </c>
      <c r="D226" s="200" t="s">
        <v>2776</v>
      </c>
      <c r="E226" s="201" t="s">
        <v>2777</v>
      </c>
      <c r="F226" s="202"/>
      <c r="G226" s="202"/>
      <c r="H226" s="202"/>
      <c r="I226" s="174"/>
    </row>
    <row r="227" spans="1:9" x14ac:dyDescent="0.4">
      <c r="A227" s="390">
        <v>161</v>
      </c>
      <c r="B227" s="577" t="s">
        <v>2692</v>
      </c>
      <c r="C227" s="577" t="s">
        <v>2705</v>
      </c>
      <c r="D227" s="577" t="s">
        <v>2778</v>
      </c>
      <c r="E227" s="578" t="s">
        <v>2779</v>
      </c>
      <c r="F227" s="203" t="str">
        <f>Практики!C119</f>
        <v>T-CODE-SST-0-1</v>
      </c>
      <c r="G227" s="203" t="str">
        <f>Практики!F119</f>
        <v>Не заполнено</v>
      </c>
      <c r="H227" s="203">
        <f>Практики!Q119</f>
        <v>0</v>
      </c>
      <c r="I227" s="574">
        <v>0</v>
      </c>
    </row>
    <row r="228" spans="1:9" x14ac:dyDescent="0.4">
      <c r="A228" s="390"/>
      <c r="B228" s="577"/>
      <c r="C228" s="577"/>
      <c r="D228" s="577"/>
      <c r="E228" s="578"/>
      <c r="F228" s="203" t="str">
        <f>Практики!C140</f>
        <v>T-CODE-SC-3-2</v>
      </c>
      <c r="G228" s="203" t="str">
        <f>Практики!F140</f>
        <v>Не заполнено</v>
      </c>
      <c r="H228" s="203">
        <f>Практики!Q140</f>
        <v>0</v>
      </c>
      <c r="I228" s="575"/>
    </row>
    <row r="229" spans="1:9" x14ac:dyDescent="0.4">
      <c r="A229" s="174">
        <v>162</v>
      </c>
      <c r="B229" s="200" t="s">
        <v>2692</v>
      </c>
      <c r="C229" s="200" t="s">
        <v>2700</v>
      </c>
      <c r="D229" s="200" t="s">
        <v>2780</v>
      </c>
      <c r="E229" s="201" t="s">
        <v>2781</v>
      </c>
      <c r="F229" s="202"/>
      <c r="G229" s="202"/>
      <c r="H229" s="202"/>
      <c r="I229" s="174"/>
    </row>
    <row r="230" spans="1:9" x14ac:dyDescent="0.4">
      <c r="A230" s="174">
        <v>163</v>
      </c>
      <c r="B230" s="200" t="s">
        <v>2692</v>
      </c>
      <c r="C230" s="200" t="s">
        <v>2742</v>
      </c>
      <c r="D230" s="200" t="s">
        <v>2782</v>
      </c>
      <c r="E230" s="201" t="s">
        <v>2783</v>
      </c>
      <c r="F230" s="202"/>
      <c r="G230" s="202"/>
      <c r="H230" s="202"/>
      <c r="I230" s="174"/>
    </row>
    <row r="231" spans="1:9" x14ac:dyDescent="0.4">
      <c r="A231" s="174">
        <v>164</v>
      </c>
      <c r="B231" s="200" t="s">
        <v>2692</v>
      </c>
      <c r="C231" s="200" t="s">
        <v>2742</v>
      </c>
      <c r="D231" s="200" t="s">
        <v>2784</v>
      </c>
      <c r="E231" s="201" t="s">
        <v>2785</v>
      </c>
      <c r="F231" s="202"/>
      <c r="G231" s="202"/>
      <c r="H231" s="202"/>
      <c r="I231" s="174"/>
    </row>
    <row r="232" spans="1:9" x14ac:dyDescent="0.4">
      <c r="A232" s="174">
        <v>165</v>
      </c>
      <c r="B232" s="200" t="s">
        <v>2692</v>
      </c>
      <c r="C232" s="200" t="s">
        <v>2742</v>
      </c>
      <c r="D232" s="200" t="s">
        <v>2786</v>
      </c>
      <c r="E232" s="201" t="s">
        <v>2787</v>
      </c>
      <c r="F232" s="202"/>
      <c r="G232" s="202"/>
      <c r="H232" s="202"/>
      <c r="I232" s="174"/>
    </row>
    <row r="233" spans="1:9" x14ac:dyDescent="0.4">
      <c r="A233" s="174">
        <v>166</v>
      </c>
      <c r="B233" s="200" t="s">
        <v>2692</v>
      </c>
      <c r="C233" s="200" t="s">
        <v>2742</v>
      </c>
      <c r="D233" s="200" t="s">
        <v>2788</v>
      </c>
      <c r="E233" s="201" t="s">
        <v>2789</v>
      </c>
      <c r="F233" s="202"/>
      <c r="G233" s="202"/>
      <c r="H233" s="202"/>
      <c r="I233" s="174"/>
    </row>
    <row r="234" spans="1:9" x14ac:dyDescent="0.4">
      <c r="A234" s="174">
        <v>167</v>
      </c>
      <c r="B234" s="200" t="s">
        <v>2692</v>
      </c>
      <c r="C234" s="200" t="s">
        <v>2717</v>
      </c>
      <c r="D234" s="200" t="s">
        <v>2790</v>
      </c>
      <c r="E234" s="201" t="s">
        <v>2791</v>
      </c>
      <c r="F234" s="203" t="str">
        <f>Практики!C356</f>
        <v>P-DEFECT-MNG-3-3</v>
      </c>
      <c r="G234" s="203" t="str">
        <f>Практики!F356</f>
        <v>Не заполнено</v>
      </c>
      <c r="H234" s="203">
        <f>Практики!Q356</f>
        <v>0</v>
      </c>
      <c r="I234" s="174">
        <v>0</v>
      </c>
    </row>
    <row r="235" spans="1:9" x14ac:dyDescent="0.4">
      <c r="A235" s="390">
        <v>168</v>
      </c>
      <c r="B235" s="577" t="s">
        <v>2692</v>
      </c>
      <c r="C235" s="577" t="s">
        <v>2717</v>
      </c>
      <c r="D235" s="577" t="s">
        <v>2792</v>
      </c>
      <c r="E235" s="578" t="s">
        <v>2793</v>
      </c>
      <c r="F235" s="203" t="str">
        <f>Практики!C350</f>
        <v>P-DEFECT-MNG-0-1</v>
      </c>
      <c r="G235" s="203" t="str">
        <f>Практики!F350</f>
        <v>Не заполнено</v>
      </c>
      <c r="H235" s="203">
        <f>Практики!Q350</f>
        <v>0</v>
      </c>
      <c r="I235" s="574">
        <v>0</v>
      </c>
    </row>
    <row r="236" spans="1:9" x14ac:dyDescent="0.4">
      <c r="A236" s="390"/>
      <c r="B236" s="577"/>
      <c r="C236" s="577"/>
      <c r="D236" s="577"/>
      <c r="E236" s="578"/>
      <c r="F236" s="203" t="str">
        <f>Практики!C352</f>
        <v>P-DEFECT-MNG-2-1</v>
      </c>
      <c r="G236" s="203" t="str">
        <f>Практики!F352</f>
        <v>Не заполнено</v>
      </c>
      <c r="H236" s="203">
        <f>Практики!Q352</f>
        <v>0</v>
      </c>
      <c r="I236" s="575"/>
    </row>
    <row r="237" spans="1:9" x14ac:dyDescent="0.4">
      <c r="A237" s="174">
        <v>169</v>
      </c>
      <c r="B237" s="200" t="s">
        <v>2692</v>
      </c>
      <c r="C237" s="200" t="s">
        <v>2717</v>
      </c>
      <c r="D237" s="200" t="s">
        <v>2794</v>
      </c>
      <c r="E237" s="201" t="s">
        <v>2795</v>
      </c>
      <c r="F237" s="203" t="str">
        <f>Практики!C356</f>
        <v>P-DEFECT-MNG-3-3</v>
      </c>
      <c r="G237" s="203" t="str">
        <f>Практики!F356</f>
        <v>Не заполнено</v>
      </c>
      <c r="H237" s="203">
        <f>Практики!Q356</f>
        <v>0</v>
      </c>
      <c r="I237" s="174">
        <v>0</v>
      </c>
    </row>
    <row r="238" spans="1:9" x14ac:dyDescent="0.4">
      <c r="A238" s="174">
        <v>170</v>
      </c>
      <c r="B238" s="200" t="s">
        <v>2692</v>
      </c>
      <c r="C238" s="200" t="s">
        <v>2705</v>
      </c>
      <c r="D238" s="200" t="s">
        <v>2796</v>
      </c>
      <c r="E238" s="201" t="s">
        <v>2797</v>
      </c>
      <c r="F238" s="202"/>
      <c r="G238" s="202"/>
      <c r="H238" s="202"/>
      <c r="I238" s="174"/>
    </row>
    <row r="239" spans="1:9" x14ac:dyDescent="0.4">
      <c r="A239" s="174">
        <v>171</v>
      </c>
      <c r="B239" s="200" t="s">
        <v>2692</v>
      </c>
      <c r="C239" s="200" t="s">
        <v>2705</v>
      </c>
      <c r="D239" s="200" t="s">
        <v>2798</v>
      </c>
      <c r="E239" s="201" t="s">
        <v>2799</v>
      </c>
      <c r="F239" s="203" t="str">
        <f>Практики!C130</f>
        <v>T-CODE-SC-0-1</v>
      </c>
      <c r="G239" s="203" t="str">
        <f>Практики!F130</f>
        <v>Не заполнено</v>
      </c>
      <c r="H239" s="203">
        <f>Практики!Q130</f>
        <v>0</v>
      </c>
      <c r="I239" s="174">
        <v>0</v>
      </c>
    </row>
    <row r="240" spans="1:9" x14ac:dyDescent="0.4">
      <c r="A240" s="174">
        <v>172</v>
      </c>
      <c r="B240" s="200" t="s">
        <v>2692</v>
      </c>
      <c r="C240" s="200" t="s">
        <v>2705</v>
      </c>
      <c r="D240" s="200" t="s">
        <v>2800</v>
      </c>
      <c r="E240" s="201" t="s">
        <v>2801</v>
      </c>
      <c r="F240" s="203" t="str">
        <f>Практики!C130</f>
        <v>T-CODE-SC-0-1</v>
      </c>
      <c r="G240" s="203" t="str">
        <f>Практики!F130</f>
        <v>Не заполнено</v>
      </c>
      <c r="H240" s="203">
        <f>Практики!Q130</f>
        <v>0</v>
      </c>
      <c r="I240" s="174">
        <v>0</v>
      </c>
    </row>
    <row r="241" spans="1:9" x14ac:dyDescent="0.4">
      <c r="A241" s="174">
        <v>173</v>
      </c>
      <c r="B241" s="200" t="s">
        <v>2692</v>
      </c>
      <c r="C241" s="200" t="s">
        <v>2705</v>
      </c>
      <c r="D241" s="200" t="s">
        <v>2802</v>
      </c>
      <c r="E241" s="201" t="s">
        <v>2803</v>
      </c>
      <c r="F241" s="203" t="str">
        <f>Практики!C129</f>
        <v>T-CODE-SST-4-1</v>
      </c>
      <c r="G241" s="203" t="str">
        <f>Практики!F129</f>
        <v>Не заполнено</v>
      </c>
      <c r="H241" s="203">
        <f>Практики!Q129</f>
        <v>0</v>
      </c>
      <c r="I241" s="174">
        <v>0</v>
      </c>
    </row>
    <row r="242" spans="1:9" x14ac:dyDescent="0.4">
      <c r="A242" s="390">
        <v>174</v>
      </c>
      <c r="B242" s="577" t="s">
        <v>2692</v>
      </c>
      <c r="C242" s="577" t="s">
        <v>2705</v>
      </c>
      <c r="D242" s="577" t="s">
        <v>2804</v>
      </c>
      <c r="E242" s="578" t="s">
        <v>2805</v>
      </c>
      <c r="F242" s="203" t="str">
        <f>Практики!C119</f>
        <v>T-CODE-SST-0-1</v>
      </c>
      <c r="G242" s="203" t="str">
        <f>Практики!F119</f>
        <v>Не заполнено</v>
      </c>
      <c r="H242" s="203">
        <f>Практики!Q119</f>
        <v>0</v>
      </c>
      <c r="I242" s="574">
        <v>0</v>
      </c>
    </row>
    <row r="243" spans="1:9" x14ac:dyDescent="0.4">
      <c r="A243" s="390"/>
      <c r="B243" s="577"/>
      <c r="C243" s="577"/>
      <c r="D243" s="577"/>
      <c r="E243" s="578"/>
      <c r="F243" s="203" t="str">
        <f>Практики!C122</f>
        <v>T-CODE-SST-2-1</v>
      </c>
      <c r="G243" s="203" t="str">
        <f>Практики!F122</f>
        <v>Не заполнено</v>
      </c>
      <c r="H243" s="203">
        <f>Практики!Q122</f>
        <v>0</v>
      </c>
      <c r="I243" s="575"/>
    </row>
    <row r="244" spans="1:9" x14ac:dyDescent="0.4">
      <c r="A244" s="390">
        <v>175</v>
      </c>
      <c r="B244" s="577" t="s">
        <v>2692</v>
      </c>
      <c r="C244" s="577" t="s">
        <v>2705</v>
      </c>
      <c r="D244" s="577" t="s">
        <v>2806</v>
      </c>
      <c r="E244" s="578" t="s">
        <v>2807</v>
      </c>
      <c r="F244" s="203" t="str">
        <f>Практики!C119</f>
        <v>T-CODE-SST-0-1</v>
      </c>
      <c r="G244" s="203" t="str">
        <f>Практики!F119</f>
        <v>Не заполнено</v>
      </c>
      <c r="H244" s="203">
        <f>Практики!Q119</f>
        <v>0</v>
      </c>
      <c r="I244" s="574">
        <v>0</v>
      </c>
    </row>
    <row r="245" spans="1:9" x14ac:dyDescent="0.4">
      <c r="A245" s="390"/>
      <c r="B245" s="577"/>
      <c r="C245" s="577"/>
      <c r="D245" s="577"/>
      <c r="E245" s="578"/>
      <c r="F245" s="203" t="str">
        <f>Практики!C122</f>
        <v>T-CODE-SST-2-1</v>
      </c>
      <c r="G245" s="203" t="str">
        <f>Практики!F122</f>
        <v>Не заполнено</v>
      </c>
      <c r="H245" s="203">
        <f>Практики!Q122</f>
        <v>0</v>
      </c>
      <c r="I245" s="575"/>
    </row>
    <row r="246" spans="1:9" x14ac:dyDescent="0.4">
      <c r="A246" s="390">
        <v>176</v>
      </c>
      <c r="B246" s="577" t="s">
        <v>2692</v>
      </c>
      <c r="C246" s="577" t="s">
        <v>2705</v>
      </c>
      <c r="D246" s="577" t="s">
        <v>2808</v>
      </c>
      <c r="E246" s="578" t="s">
        <v>2809</v>
      </c>
      <c r="F246" s="203" t="str">
        <f>Практики!C119</f>
        <v>T-CODE-SST-0-1</v>
      </c>
      <c r="G246" s="203" t="str">
        <f>Практики!F119</f>
        <v>Не заполнено</v>
      </c>
      <c r="H246" s="203">
        <f>Практики!Q119</f>
        <v>0</v>
      </c>
      <c r="I246" s="574">
        <v>0</v>
      </c>
    </row>
    <row r="247" spans="1:9" x14ac:dyDescent="0.4">
      <c r="A247" s="390"/>
      <c r="B247" s="577"/>
      <c r="C247" s="577"/>
      <c r="D247" s="577"/>
      <c r="E247" s="578"/>
      <c r="F247" s="203" t="str">
        <f>Практики!C122</f>
        <v>T-CODE-SST-2-1</v>
      </c>
      <c r="G247" s="203" t="str">
        <f>Практики!F122</f>
        <v>Не заполнено</v>
      </c>
      <c r="H247" s="203">
        <f>Практики!Q122</f>
        <v>0</v>
      </c>
      <c r="I247" s="575"/>
    </row>
    <row r="248" spans="1:9" x14ac:dyDescent="0.4">
      <c r="A248" s="174">
        <v>177</v>
      </c>
      <c r="B248" s="200" t="s">
        <v>2692</v>
      </c>
      <c r="C248" s="200" t="s">
        <v>2705</v>
      </c>
      <c r="D248" s="200" t="s">
        <v>2810</v>
      </c>
      <c r="E248" s="201" t="s">
        <v>2811</v>
      </c>
      <c r="F248" s="202"/>
      <c r="G248" s="202"/>
      <c r="H248" s="202"/>
      <c r="I248" s="174"/>
    </row>
    <row r="249" spans="1:9" x14ac:dyDescent="0.4">
      <c r="A249" s="174">
        <v>178</v>
      </c>
      <c r="B249" s="200" t="s">
        <v>2692</v>
      </c>
      <c r="C249" s="200" t="s">
        <v>2700</v>
      </c>
      <c r="D249" s="200" t="s">
        <v>2812</v>
      </c>
      <c r="E249" s="201" t="s">
        <v>2813</v>
      </c>
      <c r="F249" s="203" t="str">
        <f>Практики!C130</f>
        <v>T-CODE-SC-0-1</v>
      </c>
      <c r="G249" s="203" t="str">
        <f>Практики!F130</f>
        <v>Не заполнено</v>
      </c>
      <c r="H249" s="203">
        <f>Практики!Q130</f>
        <v>0</v>
      </c>
      <c r="I249" s="174">
        <v>0</v>
      </c>
    </row>
    <row r="250" spans="1:9" x14ac:dyDescent="0.4">
      <c r="A250" s="174">
        <v>179</v>
      </c>
      <c r="B250" s="200" t="s">
        <v>2692</v>
      </c>
      <c r="C250" s="200" t="s">
        <v>2700</v>
      </c>
      <c r="D250" s="200" t="s">
        <v>2814</v>
      </c>
      <c r="E250" s="201" t="s">
        <v>2815</v>
      </c>
      <c r="F250" s="202"/>
      <c r="G250" s="202"/>
      <c r="H250" s="202"/>
      <c r="I250" s="174"/>
    </row>
    <row r="251" spans="1:9" x14ac:dyDescent="0.4">
      <c r="A251" s="174">
        <v>180</v>
      </c>
      <c r="B251" s="200" t="s">
        <v>2692</v>
      </c>
      <c r="C251" s="200" t="s">
        <v>2700</v>
      </c>
      <c r="D251" s="200" t="s">
        <v>2816</v>
      </c>
      <c r="E251" s="201" t="s">
        <v>2817</v>
      </c>
      <c r="F251" s="202"/>
      <c r="G251" s="202"/>
      <c r="H251" s="202"/>
      <c r="I251" s="174"/>
    </row>
    <row r="252" spans="1:9" x14ac:dyDescent="0.4">
      <c r="A252" s="174">
        <v>181</v>
      </c>
      <c r="B252" s="200" t="s">
        <v>2692</v>
      </c>
      <c r="C252" s="200" t="s">
        <v>2700</v>
      </c>
      <c r="D252" s="200" t="s">
        <v>2818</v>
      </c>
      <c r="E252" s="201" t="s">
        <v>2819</v>
      </c>
      <c r="F252" s="203" t="str">
        <f>Практики!C268</f>
        <v>T-PROD-VULN-0-1</v>
      </c>
      <c r="G252" s="203" t="str">
        <f>Практики!F268</f>
        <v>Не заполнено</v>
      </c>
      <c r="H252" s="203">
        <f>Практики!Q268</f>
        <v>0</v>
      </c>
      <c r="I252" s="174">
        <v>0</v>
      </c>
    </row>
    <row r="253" spans="1:9" x14ac:dyDescent="0.4">
      <c r="A253" s="174">
        <v>182</v>
      </c>
      <c r="B253" s="200" t="s">
        <v>2692</v>
      </c>
      <c r="C253" s="200" t="s">
        <v>2700</v>
      </c>
      <c r="D253" s="200" t="s">
        <v>2820</v>
      </c>
      <c r="E253" s="201" t="s">
        <v>2821</v>
      </c>
      <c r="F253" s="202"/>
      <c r="G253" s="202"/>
      <c r="H253" s="202"/>
      <c r="I253" s="174"/>
    </row>
    <row r="254" spans="1:9" x14ac:dyDescent="0.4">
      <c r="A254" s="174">
        <v>183</v>
      </c>
      <c r="B254" s="200" t="s">
        <v>2692</v>
      </c>
      <c r="C254" s="200" t="s">
        <v>2708</v>
      </c>
      <c r="D254" s="200" t="s">
        <v>2822</v>
      </c>
      <c r="E254" s="201" t="s">
        <v>2823</v>
      </c>
      <c r="F254" s="202"/>
      <c r="G254" s="202"/>
      <c r="H254" s="202"/>
      <c r="I254" s="174"/>
    </row>
    <row r="255" spans="1:9" x14ac:dyDescent="0.4">
      <c r="A255" s="174">
        <v>184</v>
      </c>
      <c r="B255" s="200" t="s">
        <v>2692</v>
      </c>
      <c r="C255" s="200" t="s">
        <v>2700</v>
      </c>
      <c r="D255" s="200" t="s">
        <v>2824</v>
      </c>
      <c r="E255" s="201" t="s">
        <v>2825</v>
      </c>
      <c r="F255" s="203" t="str">
        <f>Практики!C268</f>
        <v>T-PROD-VULN-0-1</v>
      </c>
      <c r="G255" s="203" t="str">
        <f>Практики!F268</f>
        <v>Не заполнено</v>
      </c>
      <c r="H255" s="203">
        <f>Практики!Q268</f>
        <v>0</v>
      </c>
      <c r="I255" s="174">
        <v>0</v>
      </c>
    </row>
    <row r="256" spans="1:9" x14ac:dyDescent="0.4">
      <c r="A256" s="174">
        <v>185</v>
      </c>
      <c r="B256" s="203" t="s">
        <v>2692</v>
      </c>
      <c r="C256" s="203" t="s">
        <v>2717</v>
      </c>
      <c r="D256" s="203" t="s">
        <v>2826</v>
      </c>
      <c r="E256" s="205" t="s">
        <v>2827</v>
      </c>
      <c r="F256" s="203" t="str">
        <f>Практики!C353</f>
        <v>P-DEFECT-MNG-2-2</v>
      </c>
      <c r="G256" s="203" t="str">
        <f>Практики!F353</f>
        <v>Не заполнено</v>
      </c>
      <c r="H256" s="203">
        <f>Практики!Q353</f>
        <v>0</v>
      </c>
      <c r="I256" s="174">
        <v>0</v>
      </c>
    </row>
  </sheetData>
  <autoFilter ref="A1:I256" xr:uid="{00000000-0009-0000-0000-00000F000000}"/>
  <mergeCells count="232">
    <mergeCell ref="E246:E247"/>
    <mergeCell ref="B246:B247"/>
    <mergeCell ref="C242:C243"/>
    <mergeCell ref="C244:C245"/>
    <mergeCell ref="C246:C247"/>
    <mergeCell ref="D242:D243"/>
    <mergeCell ref="D244:D245"/>
    <mergeCell ref="D246:D247"/>
    <mergeCell ref="B235:B236"/>
    <mergeCell ref="C235:C236"/>
    <mergeCell ref="D235:D236"/>
    <mergeCell ref="E235:E236"/>
    <mergeCell ref="B242:B243"/>
    <mergeCell ref="B244:B245"/>
    <mergeCell ref="E242:E243"/>
    <mergeCell ref="E244:E245"/>
    <mergeCell ref="B220:B222"/>
    <mergeCell ref="C220:C222"/>
    <mergeCell ref="D220:D222"/>
    <mergeCell ref="E220:E222"/>
    <mergeCell ref="B227:B228"/>
    <mergeCell ref="C227:C228"/>
    <mergeCell ref="D227:D228"/>
    <mergeCell ref="E227:E228"/>
    <mergeCell ref="B212:B215"/>
    <mergeCell ref="C212:C215"/>
    <mergeCell ref="D212:D215"/>
    <mergeCell ref="E212:E215"/>
    <mergeCell ref="B217:B218"/>
    <mergeCell ref="C217:C218"/>
    <mergeCell ref="D217:D218"/>
    <mergeCell ref="E217:E218"/>
    <mergeCell ref="B207:B208"/>
    <mergeCell ref="C207:C208"/>
    <mergeCell ref="D207:D208"/>
    <mergeCell ref="E207:E208"/>
    <mergeCell ref="B209:B210"/>
    <mergeCell ref="C209:C210"/>
    <mergeCell ref="D209:D210"/>
    <mergeCell ref="E209:E210"/>
    <mergeCell ref="B195:B197"/>
    <mergeCell ref="C195:C197"/>
    <mergeCell ref="D195:D197"/>
    <mergeCell ref="E195:E197"/>
    <mergeCell ref="B199:B200"/>
    <mergeCell ref="C199:C200"/>
    <mergeCell ref="D199:D200"/>
    <mergeCell ref="E199:E200"/>
    <mergeCell ref="B189:B190"/>
    <mergeCell ref="C189:C190"/>
    <mergeCell ref="D189:D190"/>
    <mergeCell ref="E189:E190"/>
    <mergeCell ref="B191:B192"/>
    <mergeCell ref="C191:C192"/>
    <mergeCell ref="D191:D192"/>
    <mergeCell ref="E191:E192"/>
    <mergeCell ref="B181:B183"/>
    <mergeCell ref="C181:C183"/>
    <mergeCell ref="D181:D183"/>
    <mergeCell ref="E181:E183"/>
    <mergeCell ref="B187:B188"/>
    <mergeCell ref="C187:C188"/>
    <mergeCell ref="D187:D188"/>
    <mergeCell ref="E187:E188"/>
    <mergeCell ref="B165:B170"/>
    <mergeCell ref="B171:B174"/>
    <mergeCell ref="C171:C174"/>
    <mergeCell ref="D171:D174"/>
    <mergeCell ref="E171:E174"/>
    <mergeCell ref="C165:C170"/>
    <mergeCell ref="D165:D170"/>
    <mergeCell ref="E165:E170"/>
    <mergeCell ref="B144:B147"/>
    <mergeCell ref="C144:C147"/>
    <mergeCell ref="D144:D147"/>
    <mergeCell ref="E144:E147"/>
    <mergeCell ref="B161:B164"/>
    <mergeCell ref="C161:C164"/>
    <mergeCell ref="D161:D164"/>
    <mergeCell ref="E161:E164"/>
    <mergeCell ref="B133:B135"/>
    <mergeCell ref="C133:C135"/>
    <mergeCell ref="D133:D135"/>
    <mergeCell ref="E133:E135"/>
    <mergeCell ref="B140:B142"/>
    <mergeCell ref="C140:C142"/>
    <mergeCell ref="D140:D142"/>
    <mergeCell ref="E140:E142"/>
    <mergeCell ref="B111:B114"/>
    <mergeCell ref="C111:C114"/>
    <mergeCell ref="D111:D114"/>
    <mergeCell ref="E111:E114"/>
    <mergeCell ref="B117:B118"/>
    <mergeCell ref="C117:C118"/>
    <mergeCell ref="D117:D118"/>
    <mergeCell ref="E117:E118"/>
    <mergeCell ref="C79:C80"/>
    <mergeCell ref="D79:D80"/>
    <mergeCell ref="E79:E80"/>
    <mergeCell ref="B95:B96"/>
    <mergeCell ref="C95:C96"/>
    <mergeCell ref="D95:D96"/>
    <mergeCell ref="E95:E96"/>
    <mergeCell ref="B71:B74"/>
    <mergeCell ref="C71:C74"/>
    <mergeCell ref="D71:D74"/>
    <mergeCell ref="E71:E74"/>
    <mergeCell ref="B75:B78"/>
    <mergeCell ref="C75:C78"/>
    <mergeCell ref="D75:D78"/>
    <mergeCell ref="E75:E78"/>
    <mergeCell ref="B79:B80"/>
    <mergeCell ref="B81:B83"/>
    <mergeCell ref="C81:C83"/>
    <mergeCell ref="D81:D83"/>
    <mergeCell ref="E81:E83"/>
    <mergeCell ref="B84:B87"/>
    <mergeCell ref="C84:C87"/>
    <mergeCell ref="D84:D87"/>
    <mergeCell ref="E84:E87"/>
    <mergeCell ref="A246:A247"/>
    <mergeCell ref="B4:B5"/>
    <mergeCell ref="B17:B19"/>
    <mergeCell ref="C4:C5"/>
    <mergeCell ref="D4:D5"/>
    <mergeCell ref="B40:B41"/>
    <mergeCell ref="C40:C41"/>
    <mergeCell ref="D40:D41"/>
    <mergeCell ref="B47:B48"/>
    <mergeCell ref="A217:A218"/>
    <mergeCell ref="A220:A222"/>
    <mergeCell ref="A227:A228"/>
    <mergeCell ref="A235:A236"/>
    <mergeCell ref="A242:A243"/>
    <mergeCell ref="A244:A245"/>
    <mergeCell ref="A195:A197"/>
    <mergeCell ref="A199:A200"/>
    <mergeCell ref="A207:A208"/>
    <mergeCell ref="A209:A210"/>
    <mergeCell ref="A212:A215"/>
    <mergeCell ref="B54:B55"/>
    <mergeCell ref="C54:C55"/>
    <mergeCell ref="D54:D55"/>
    <mergeCell ref="B64:B65"/>
    <mergeCell ref="A165:A170"/>
    <mergeCell ref="A171:A174"/>
    <mergeCell ref="A181:A183"/>
    <mergeCell ref="A187:A188"/>
    <mergeCell ref="A189:A190"/>
    <mergeCell ref="A191:A192"/>
    <mergeCell ref="A111:A114"/>
    <mergeCell ref="A117:A118"/>
    <mergeCell ref="A133:A135"/>
    <mergeCell ref="A140:A142"/>
    <mergeCell ref="A144:A147"/>
    <mergeCell ref="A161:A164"/>
    <mergeCell ref="A95:A96"/>
    <mergeCell ref="A79:A80"/>
    <mergeCell ref="A4:A5"/>
    <mergeCell ref="A10:A15"/>
    <mergeCell ref="A17:A19"/>
    <mergeCell ref="A40:A41"/>
    <mergeCell ref="A47:A48"/>
    <mergeCell ref="A81:A83"/>
    <mergeCell ref="A84:A87"/>
    <mergeCell ref="A6:A7"/>
    <mergeCell ref="A52:A53"/>
    <mergeCell ref="A54:A55"/>
    <mergeCell ref="A64:A65"/>
    <mergeCell ref="A71:A74"/>
    <mergeCell ref="E17:E19"/>
    <mergeCell ref="E54:E55"/>
    <mergeCell ref="C64:C65"/>
    <mergeCell ref="D64:D65"/>
    <mergeCell ref="E64:E65"/>
    <mergeCell ref="C47:C48"/>
    <mergeCell ref="D47:D48"/>
    <mergeCell ref="E47:E48"/>
    <mergeCell ref="A75:A78"/>
    <mergeCell ref="I54:I55"/>
    <mergeCell ref="B10:B15"/>
    <mergeCell ref="C10:C15"/>
    <mergeCell ref="D10:D15"/>
    <mergeCell ref="E10:E15"/>
    <mergeCell ref="E40:E41"/>
    <mergeCell ref="E4:E5"/>
    <mergeCell ref="B6:B7"/>
    <mergeCell ref="C6:C7"/>
    <mergeCell ref="D6:D7"/>
    <mergeCell ref="E6:E7"/>
    <mergeCell ref="B52:B53"/>
    <mergeCell ref="C52:C53"/>
    <mergeCell ref="D52:D53"/>
    <mergeCell ref="E52:E53"/>
    <mergeCell ref="I4:I5"/>
    <mergeCell ref="I6:I7"/>
    <mergeCell ref="I10:I15"/>
    <mergeCell ref="I17:I19"/>
    <mergeCell ref="I40:I41"/>
    <mergeCell ref="I47:I48"/>
    <mergeCell ref="I52:I53"/>
    <mergeCell ref="C17:C19"/>
    <mergeCell ref="D17:D19"/>
    <mergeCell ref="I64:I65"/>
    <mergeCell ref="I71:I74"/>
    <mergeCell ref="I75:I78"/>
    <mergeCell ref="I79:I80"/>
    <mergeCell ref="I81:I83"/>
    <mergeCell ref="I84:I87"/>
    <mergeCell ref="I111:I114"/>
    <mergeCell ref="I133:I135"/>
    <mergeCell ref="I140:I142"/>
    <mergeCell ref="I144:I147"/>
    <mergeCell ref="I161:I164"/>
    <mergeCell ref="I165:I170"/>
    <mergeCell ref="I171:I174"/>
    <mergeCell ref="I181:I183"/>
    <mergeCell ref="I187:I188"/>
    <mergeCell ref="I189:I190"/>
    <mergeCell ref="I191:I192"/>
    <mergeCell ref="I195:I197"/>
    <mergeCell ref="I244:I245"/>
    <mergeCell ref="I246:I247"/>
    <mergeCell ref="I199:I200"/>
    <mergeCell ref="I207:I208"/>
    <mergeCell ref="I209:I210"/>
    <mergeCell ref="I212:I215"/>
    <mergeCell ref="I217:I218"/>
    <mergeCell ref="I220:I222"/>
    <mergeCell ref="I227:I228"/>
    <mergeCell ref="I235:I236"/>
    <mergeCell ref="I242:I243"/>
  </mergeCell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L561"/>
  <sheetViews>
    <sheetView zoomScale="85" zoomScaleNormal="85" workbookViewId="0">
      <pane xSplit="3" ySplit="1" topLeftCell="D2" activePane="bottomRight" state="frozen"/>
      <selection pane="topRight" activeCell="D1" sqref="D1"/>
      <selection pane="bottomLeft" activeCell="A2" sqref="A2"/>
      <selection pane="bottomRight" activeCell="D2" sqref="D2"/>
    </sheetView>
  </sheetViews>
  <sheetFormatPr defaultColWidth="8.88671875" defaultRowHeight="16.8" x14ac:dyDescent="0.4"/>
  <cols>
    <col min="1" max="1" width="8.5546875" style="132" bestFit="1" customWidth="1"/>
    <col min="2" max="3" width="14.33203125" style="132" hidden="1" customWidth="1"/>
    <col min="4" max="4" width="19.5546875" style="132" customWidth="1"/>
    <col min="5" max="5" width="142" style="223" customWidth="1"/>
    <col min="6" max="6" width="21.88671875" style="223" customWidth="1"/>
    <col min="7" max="7" width="23.5546875" style="223" customWidth="1"/>
    <col min="8" max="8" width="26.5546875" style="132" customWidth="1"/>
    <col min="9" max="9" width="8.88671875" style="133"/>
    <col min="10" max="10" width="10.5546875" style="133" bestFit="1" customWidth="1"/>
    <col min="11" max="11" width="16.5546875" style="133" bestFit="1" customWidth="1"/>
    <col min="12" max="12" width="24.44140625" style="133" customWidth="1"/>
    <col min="13" max="16384" width="8.88671875" style="133"/>
  </cols>
  <sheetData>
    <row r="1" spans="1:12" ht="36" customHeight="1" x14ac:dyDescent="0.4">
      <c r="A1" s="206" t="s">
        <v>2</v>
      </c>
      <c r="B1" s="206" t="s">
        <v>3688</v>
      </c>
      <c r="C1" s="206" t="s">
        <v>3689</v>
      </c>
      <c r="D1" s="206" t="s">
        <v>3687</v>
      </c>
      <c r="E1" s="206" t="s">
        <v>3898</v>
      </c>
      <c r="F1" s="206" t="s">
        <v>3899</v>
      </c>
      <c r="G1" s="206" t="s">
        <v>3900</v>
      </c>
      <c r="H1" s="206" t="s">
        <v>1427</v>
      </c>
      <c r="J1" s="173" t="s">
        <v>2124</v>
      </c>
      <c r="K1" s="173" t="s">
        <v>2123</v>
      </c>
      <c r="L1" s="173" t="s">
        <v>2125</v>
      </c>
    </row>
    <row r="2" spans="1:12" ht="20.399999999999999" x14ac:dyDescent="0.4">
      <c r="A2" s="207" t="s">
        <v>3185</v>
      </c>
      <c r="B2" s="207"/>
      <c r="C2" s="207" t="str">
        <f>IF(F2&lt;&gt;"",1,"")</f>
        <v/>
      </c>
      <c r="D2" s="207"/>
      <c r="E2" s="585" t="s">
        <v>2901</v>
      </c>
      <c r="F2" s="585"/>
      <c r="G2" s="585"/>
      <c r="H2" s="585"/>
      <c r="J2" s="174">
        <f>COUNT(C2:C429)</f>
        <v>57</v>
      </c>
      <c r="K2" s="174">
        <f>COUNTA(B2:B429)</f>
        <v>118</v>
      </c>
      <c r="L2" s="175">
        <f>(J2/K2)*100</f>
        <v>48.305084745762713</v>
      </c>
    </row>
    <row r="3" spans="1:12" x14ac:dyDescent="0.4">
      <c r="A3" s="174" t="s">
        <v>3186</v>
      </c>
      <c r="B3" s="174"/>
      <c r="C3" s="174" t="str">
        <f t="shared" ref="C3:C67" si="0">IF(F3&lt;&gt;"",1,"")</f>
        <v/>
      </c>
      <c r="D3" s="174"/>
      <c r="E3" s="581" t="s">
        <v>3187</v>
      </c>
      <c r="F3" s="581"/>
      <c r="G3" s="581"/>
      <c r="H3" s="581"/>
    </row>
    <row r="4" spans="1:12" x14ac:dyDescent="0.4">
      <c r="A4" s="390"/>
      <c r="B4" s="174"/>
      <c r="C4" s="174" t="str">
        <f t="shared" si="0"/>
        <v/>
      </c>
      <c r="D4" s="174" t="s">
        <v>3188</v>
      </c>
      <c r="E4" s="208" t="s">
        <v>3189</v>
      </c>
      <c r="F4" s="203"/>
      <c r="G4" s="203"/>
      <c r="H4" s="174"/>
    </row>
    <row r="5" spans="1:12" x14ac:dyDescent="0.4">
      <c r="A5" s="390"/>
      <c r="B5" s="174"/>
      <c r="C5" s="174" t="str">
        <f t="shared" si="0"/>
        <v/>
      </c>
      <c r="D5" s="174" t="s">
        <v>3190</v>
      </c>
      <c r="E5" s="208" t="s">
        <v>3191</v>
      </c>
      <c r="F5" s="203"/>
      <c r="G5" s="203"/>
      <c r="H5" s="174"/>
    </row>
    <row r="6" spans="1:12" x14ac:dyDescent="0.4">
      <c r="A6" s="390"/>
      <c r="B6" s="174"/>
      <c r="C6" s="174" t="str">
        <f t="shared" si="0"/>
        <v/>
      </c>
      <c r="D6" s="174" t="s">
        <v>3192</v>
      </c>
      <c r="E6" s="208" t="s">
        <v>3193</v>
      </c>
      <c r="F6" s="203"/>
      <c r="G6" s="203"/>
      <c r="H6" s="174"/>
    </row>
    <row r="7" spans="1:12" x14ac:dyDescent="0.4">
      <c r="A7" s="174" t="s">
        <v>3194</v>
      </c>
      <c r="B7" s="174"/>
      <c r="C7" s="174" t="str">
        <f t="shared" si="0"/>
        <v/>
      </c>
      <c r="D7" s="174"/>
      <c r="E7" s="581" t="s">
        <v>3195</v>
      </c>
      <c r="F7" s="581"/>
      <c r="G7" s="581"/>
      <c r="H7" s="581"/>
    </row>
    <row r="8" spans="1:12" x14ac:dyDescent="0.4">
      <c r="A8" s="390"/>
      <c r="B8" s="174" t="s">
        <v>2159</v>
      </c>
      <c r="C8" s="174">
        <f>IF(F8&lt;&gt;"",1,"")</f>
        <v>1</v>
      </c>
      <c r="D8" s="174" t="s">
        <v>2336</v>
      </c>
      <c r="E8" s="208" t="s">
        <v>3196</v>
      </c>
      <c r="F8" s="209" t="str">
        <f>Практики!C402</f>
        <v>P-ROLE-RESP-3-2</v>
      </c>
      <c r="G8" s="203" t="str">
        <f>Практики!F402</f>
        <v>Не заполнено</v>
      </c>
      <c r="H8" s="174">
        <f>Практики!Q402</f>
        <v>0</v>
      </c>
    </row>
    <row r="9" spans="1:12" x14ac:dyDescent="0.4">
      <c r="A9" s="390"/>
      <c r="B9" s="174" t="s">
        <v>2159</v>
      </c>
      <c r="C9" s="174" t="str">
        <f t="shared" si="0"/>
        <v/>
      </c>
      <c r="D9" s="174" t="s">
        <v>2337</v>
      </c>
      <c r="E9" s="208" t="s">
        <v>3197</v>
      </c>
      <c r="F9" s="203"/>
      <c r="G9" s="203"/>
      <c r="H9" s="174"/>
    </row>
    <row r="10" spans="1:12" ht="33.6" x14ac:dyDescent="0.4">
      <c r="A10" s="390"/>
      <c r="B10" s="174" t="s">
        <v>2159</v>
      </c>
      <c r="C10" s="174">
        <f t="shared" si="0"/>
        <v>1</v>
      </c>
      <c r="D10" s="174" t="s">
        <v>3198</v>
      </c>
      <c r="E10" s="208" t="s">
        <v>3199</v>
      </c>
      <c r="F10" s="203" t="str">
        <f>Практики!C400</f>
        <v>P-ROLE-RESP-2-4</v>
      </c>
      <c r="G10" s="203" t="str">
        <f>Практики!F400</f>
        <v>Не заполнено</v>
      </c>
      <c r="H10" s="174">
        <f>Практики!Q400</f>
        <v>0</v>
      </c>
    </row>
    <row r="11" spans="1:12" ht="33.6" x14ac:dyDescent="0.4">
      <c r="A11" s="390"/>
      <c r="B11" s="174" t="s">
        <v>2159</v>
      </c>
      <c r="C11" s="174">
        <f t="shared" si="0"/>
        <v>1</v>
      </c>
      <c r="D11" s="174" t="s">
        <v>3200</v>
      </c>
      <c r="E11" s="208" t="s">
        <v>3201</v>
      </c>
      <c r="F11" s="203" t="str">
        <f>Практики!C400</f>
        <v>P-ROLE-RESP-2-4</v>
      </c>
      <c r="G11" s="203" t="str">
        <f>Практики!F400</f>
        <v>Не заполнено</v>
      </c>
      <c r="H11" s="174">
        <f>Практики!Q400</f>
        <v>0</v>
      </c>
    </row>
    <row r="12" spans="1:12" x14ac:dyDescent="0.4">
      <c r="A12" s="390"/>
      <c r="B12" s="174" t="s">
        <v>2159</v>
      </c>
      <c r="C12" s="174" t="str">
        <f t="shared" si="0"/>
        <v/>
      </c>
      <c r="D12" s="174" t="s">
        <v>3202</v>
      </c>
      <c r="E12" s="208" t="s">
        <v>3203</v>
      </c>
      <c r="F12" s="203"/>
      <c r="G12" s="203"/>
      <c r="H12" s="174"/>
    </row>
    <row r="13" spans="1:12" x14ac:dyDescent="0.4">
      <c r="A13" s="174" t="s">
        <v>3204</v>
      </c>
      <c r="B13" s="174"/>
      <c r="C13" s="174" t="str">
        <f t="shared" si="0"/>
        <v/>
      </c>
      <c r="D13" s="174"/>
      <c r="E13" s="581" t="s">
        <v>3205</v>
      </c>
      <c r="F13" s="581"/>
      <c r="G13" s="581"/>
      <c r="H13" s="581"/>
    </row>
    <row r="14" spans="1:12" ht="67.2" x14ac:dyDescent="0.4">
      <c r="A14" s="390"/>
      <c r="B14" s="174"/>
      <c r="C14" s="174" t="str">
        <f t="shared" si="0"/>
        <v/>
      </c>
      <c r="D14" s="174" t="s">
        <v>3206</v>
      </c>
      <c r="E14" s="208" t="s">
        <v>3207</v>
      </c>
      <c r="F14" s="203"/>
      <c r="G14" s="203"/>
      <c r="H14" s="174"/>
    </row>
    <row r="15" spans="1:12" ht="33.6" x14ac:dyDescent="0.4">
      <c r="A15" s="390"/>
      <c r="B15" s="174"/>
      <c r="C15" s="174" t="str">
        <f t="shared" si="0"/>
        <v/>
      </c>
      <c r="D15" s="174" t="s">
        <v>3208</v>
      </c>
      <c r="E15" s="208" t="s">
        <v>3209</v>
      </c>
      <c r="F15" s="203"/>
      <c r="G15" s="203"/>
      <c r="H15" s="174"/>
    </row>
    <row r="16" spans="1:12" ht="50.4" x14ac:dyDescent="0.4">
      <c r="A16" s="390"/>
      <c r="B16" s="174"/>
      <c r="C16" s="174" t="str">
        <f t="shared" si="0"/>
        <v/>
      </c>
      <c r="D16" s="174" t="s">
        <v>3210</v>
      </c>
      <c r="E16" s="208" t="s">
        <v>3211</v>
      </c>
      <c r="F16" s="203"/>
      <c r="G16" s="203"/>
      <c r="H16" s="174"/>
    </row>
    <row r="17" spans="1:8" ht="33.6" x14ac:dyDescent="0.4">
      <c r="A17" s="390"/>
      <c r="B17" s="174"/>
      <c r="C17" s="174" t="str">
        <f t="shared" si="0"/>
        <v/>
      </c>
      <c r="D17" s="174" t="s">
        <v>3212</v>
      </c>
      <c r="E17" s="208" t="s">
        <v>3213</v>
      </c>
      <c r="F17" s="203"/>
      <c r="G17" s="203"/>
      <c r="H17" s="174"/>
    </row>
    <row r="18" spans="1:8" ht="50.4" x14ac:dyDescent="0.4">
      <c r="A18" s="390"/>
      <c r="B18" s="174"/>
      <c r="C18" s="174" t="str">
        <f t="shared" si="0"/>
        <v/>
      </c>
      <c r="D18" s="174" t="s">
        <v>3214</v>
      </c>
      <c r="E18" s="208" t="s">
        <v>3215</v>
      </c>
      <c r="F18" s="203"/>
      <c r="G18" s="203"/>
      <c r="H18" s="174"/>
    </row>
    <row r="19" spans="1:8" ht="20.399999999999999" x14ac:dyDescent="0.4">
      <c r="A19" s="174" t="s">
        <v>3216</v>
      </c>
      <c r="B19" s="174"/>
      <c r="C19" s="174" t="str">
        <f t="shared" si="0"/>
        <v/>
      </c>
      <c r="D19" s="174"/>
      <c r="E19" s="580" t="s">
        <v>2913</v>
      </c>
      <c r="F19" s="580"/>
      <c r="G19" s="580"/>
      <c r="H19" s="580"/>
    </row>
    <row r="20" spans="1:8" x14ac:dyDescent="0.4">
      <c r="A20" s="174" t="s">
        <v>3217</v>
      </c>
      <c r="B20" s="174"/>
      <c r="C20" s="174" t="str">
        <f t="shared" si="0"/>
        <v/>
      </c>
      <c r="D20" s="174"/>
      <c r="E20" s="581" t="s">
        <v>3187</v>
      </c>
      <c r="F20" s="581"/>
      <c r="G20" s="581"/>
      <c r="H20" s="581"/>
    </row>
    <row r="21" spans="1:8" ht="33.6" x14ac:dyDescent="0.4">
      <c r="A21" s="390"/>
      <c r="B21" s="174"/>
      <c r="C21" s="174" t="str">
        <f t="shared" si="0"/>
        <v/>
      </c>
      <c r="D21" s="174" t="s">
        <v>3218</v>
      </c>
      <c r="E21" s="208" t="s">
        <v>3219</v>
      </c>
      <c r="F21" s="203"/>
      <c r="G21" s="203"/>
      <c r="H21" s="174"/>
    </row>
    <row r="22" spans="1:8" x14ac:dyDescent="0.4">
      <c r="A22" s="390"/>
      <c r="B22" s="174"/>
      <c r="C22" s="174" t="str">
        <f t="shared" si="0"/>
        <v/>
      </c>
      <c r="D22" s="174" t="s">
        <v>3220</v>
      </c>
      <c r="E22" s="208" t="s">
        <v>3221</v>
      </c>
      <c r="F22" s="203"/>
      <c r="G22" s="203"/>
      <c r="H22" s="174"/>
    </row>
    <row r="23" spans="1:8" x14ac:dyDescent="0.4">
      <c r="A23" s="390"/>
      <c r="B23" s="174"/>
      <c r="C23" s="174" t="str">
        <f t="shared" si="0"/>
        <v/>
      </c>
      <c r="D23" s="174" t="s">
        <v>3222</v>
      </c>
      <c r="E23" s="208" t="s">
        <v>3223</v>
      </c>
      <c r="F23" s="203"/>
      <c r="G23" s="203"/>
      <c r="H23" s="174"/>
    </row>
    <row r="24" spans="1:8" x14ac:dyDescent="0.4">
      <c r="A24" s="174" t="s">
        <v>3224</v>
      </c>
      <c r="B24" s="174"/>
      <c r="C24" s="174" t="str">
        <f t="shared" si="0"/>
        <v/>
      </c>
      <c r="D24" s="174"/>
      <c r="E24" s="581" t="s">
        <v>3195</v>
      </c>
      <c r="F24" s="581"/>
      <c r="G24" s="581"/>
      <c r="H24" s="581"/>
    </row>
    <row r="25" spans="1:8" ht="50.4" x14ac:dyDescent="0.4">
      <c r="A25" s="390"/>
      <c r="B25" s="174" t="s">
        <v>2159</v>
      </c>
      <c r="C25" s="174">
        <f t="shared" si="0"/>
        <v>1</v>
      </c>
      <c r="D25" s="174" t="s">
        <v>2338</v>
      </c>
      <c r="E25" s="208" t="s">
        <v>3225</v>
      </c>
      <c r="F25" s="203" t="str">
        <f>Практики!C300</f>
        <v>P-EDU-KB-3-2</v>
      </c>
      <c r="G25" s="203" t="str">
        <f>Практики!F300</f>
        <v>Не заполнено</v>
      </c>
      <c r="H25" s="174">
        <f>Практики!Q300</f>
        <v>0</v>
      </c>
    </row>
    <row r="26" spans="1:8" ht="33.6" x14ac:dyDescent="0.4">
      <c r="A26" s="390"/>
      <c r="B26" s="174" t="s">
        <v>2159</v>
      </c>
      <c r="C26" s="174" t="str">
        <f t="shared" si="0"/>
        <v/>
      </c>
      <c r="D26" s="174" t="s">
        <v>2339</v>
      </c>
      <c r="E26" s="208" t="s">
        <v>3226</v>
      </c>
      <c r="F26" s="203"/>
      <c r="G26" s="203"/>
      <c r="H26" s="174"/>
    </row>
    <row r="27" spans="1:8" x14ac:dyDescent="0.4">
      <c r="A27" s="390"/>
      <c r="B27" s="390" t="s">
        <v>2159</v>
      </c>
      <c r="C27" s="390">
        <f t="shared" si="0"/>
        <v>1</v>
      </c>
      <c r="D27" s="390" t="s">
        <v>2296</v>
      </c>
      <c r="E27" s="582" t="s">
        <v>3227</v>
      </c>
      <c r="F27" s="203" t="str">
        <f>Практики!C285</f>
        <v>P-EDU-AWR-0-1</v>
      </c>
      <c r="G27" s="203" t="str">
        <f>Практики!F285</f>
        <v>Не заполнено</v>
      </c>
      <c r="H27" s="174">
        <f>Практики!Q285</f>
        <v>0</v>
      </c>
    </row>
    <row r="28" spans="1:8" x14ac:dyDescent="0.4">
      <c r="A28" s="390"/>
      <c r="B28" s="390"/>
      <c r="C28" s="390"/>
      <c r="D28" s="390"/>
      <c r="E28" s="582"/>
      <c r="F28" s="203" t="str">
        <f>Практики!C287</f>
        <v>P-EDU-AWR-1-2</v>
      </c>
      <c r="G28" s="203" t="str">
        <f>Практики!F287</f>
        <v>Не заполнено</v>
      </c>
      <c r="H28" s="174">
        <f>Практики!Q287</f>
        <v>0</v>
      </c>
    </row>
    <row r="29" spans="1:8" x14ac:dyDescent="0.4">
      <c r="A29" s="390"/>
      <c r="B29" s="390"/>
      <c r="C29" s="390"/>
      <c r="D29" s="390"/>
      <c r="E29" s="582"/>
      <c r="F29" s="203" t="str">
        <f>Практики!C288</f>
        <v>P-EDU-AWR-2-1</v>
      </c>
      <c r="G29" s="203" t="str">
        <f>Практики!F288</f>
        <v>Не заполнено</v>
      </c>
      <c r="H29" s="174">
        <f>Практики!Q288</f>
        <v>0</v>
      </c>
    </row>
    <row r="30" spans="1:8" ht="33.6" x14ac:dyDescent="0.4">
      <c r="A30" s="390"/>
      <c r="B30" s="174" t="s">
        <v>2159</v>
      </c>
      <c r="C30" s="174" t="str">
        <f t="shared" si="0"/>
        <v/>
      </c>
      <c r="D30" s="174" t="s">
        <v>2340</v>
      </c>
      <c r="E30" s="208" t="s">
        <v>3228</v>
      </c>
      <c r="F30" s="203"/>
      <c r="G30" s="203"/>
      <c r="H30" s="174"/>
    </row>
    <row r="31" spans="1:8" x14ac:dyDescent="0.4">
      <c r="A31" s="390"/>
      <c r="B31" s="174" t="s">
        <v>2159</v>
      </c>
      <c r="C31" s="174" t="str">
        <f t="shared" si="0"/>
        <v/>
      </c>
      <c r="D31" s="174" t="s">
        <v>2341</v>
      </c>
      <c r="E31" s="208" t="s">
        <v>3229</v>
      </c>
      <c r="F31" s="203"/>
      <c r="G31" s="203"/>
      <c r="H31" s="174"/>
    </row>
    <row r="32" spans="1:8" x14ac:dyDescent="0.4">
      <c r="A32" s="390"/>
      <c r="B32" s="390" t="s">
        <v>2159</v>
      </c>
      <c r="C32" s="390">
        <f t="shared" si="0"/>
        <v>1</v>
      </c>
      <c r="D32" s="390" t="s">
        <v>3230</v>
      </c>
      <c r="E32" s="582" t="s">
        <v>3231</v>
      </c>
      <c r="F32" s="203" t="str">
        <f>Практики!C287</f>
        <v>P-EDU-AWR-1-2</v>
      </c>
      <c r="G32" s="203" t="str">
        <f>Практики!F287</f>
        <v>Не заполнено</v>
      </c>
      <c r="H32" s="174">
        <f>Практики!Q287</f>
        <v>0</v>
      </c>
    </row>
    <row r="33" spans="1:8" x14ac:dyDescent="0.4">
      <c r="A33" s="390"/>
      <c r="B33" s="390"/>
      <c r="C33" s="390"/>
      <c r="D33" s="390"/>
      <c r="E33" s="582"/>
      <c r="F33" s="203" t="str">
        <f>Практики!C288</f>
        <v>P-EDU-AWR-2-1</v>
      </c>
      <c r="G33" s="203" t="str">
        <f>Практики!F288</f>
        <v>Не заполнено</v>
      </c>
      <c r="H33" s="174">
        <f>Практики!Q288</f>
        <v>0</v>
      </c>
    </row>
    <row r="34" spans="1:8" x14ac:dyDescent="0.4">
      <c r="A34" s="174" t="s">
        <v>3232</v>
      </c>
      <c r="B34" s="174"/>
      <c r="C34" s="174" t="str">
        <f t="shared" si="0"/>
        <v/>
      </c>
      <c r="D34" s="174"/>
      <c r="E34" s="581" t="s">
        <v>3205</v>
      </c>
      <c r="F34" s="581"/>
      <c r="G34" s="581"/>
      <c r="H34" s="581"/>
    </row>
    <row r="35" spans="1:8" ht="33.6" x14ac:dyDescent="0.4">
      <c r="A35" s="390"/>
      <c r="B35" s="174"/>
      <c r="C35" s="174" t="str">
        <f t="shared" si="0"/>
        <v/>
      </c>
      <c r="D35" s="174" t="s">
        <v>3233</v>
      </c>
      <c r="E35" s="208" t="s">
        <v>3234</v>
      </c>
      <c r="F35" s="203"/>
      <c r="G35" s="203"/>
      <c r="H35" s="174"/>
    </row>
    <row r="36" spans="1:8" ht="84" x14ac:dyDescent="0.4">
      <c r="A36" s="390"/>
      <c r="B36" s="174"/>
      <c r="C36" s="174" t="str">
        <f t="shared" si="0"/>
        <v/>
      </c>
      <c r="D36" s="174" t="s">
        <v>3235</v>
      </c>
      <c r="E36" s="208" t="s">
        <v>3236</v>
      </c>
      <c r="F36" s="203"/>
      <c r="G36" s="203"/>
      <c r="H36" s="174"/>
    </row>
    <row r="37" spans="1:8" ht="33.6" x14ac:dyDescent="0.4">
      <c r="A37" s="390"/>
      <c r="B37" s="174"/>
      <c r="C37" s="174" t="str">
        <f t="shared" si="0"/>
        <v/>
      </c>
      <c r="D37" s="174" t="s">
        <v>3237</v>
      </c>
      <c r="E37" s="208" t="s">
        <v>3238</v>
      </c>
      <c r="F37" s="203"/>
      <c r="G37" s="203"/>
      <c r="H37" s="174"/>
    </row>
    <row r="38" spans="1:8" ht="33.6" x14ac:dyDescent="0.4">
      <c r="A38" s="390"/>
      <c r="B38" s="174"/>
      <c r="C38" s="174" t="str">
        <f t="shared" si="0"/>
        <v/>
      </c>
      <c r="D38" s="174" t="s">
        <v>3239</v>
      </c>
      <c r="E38" s="208" t="s">
        <v>3240</v>
      </c>
      <c r="F38" s="203"/>
      <c r="G38" s="203"/>
      <c r="H38" s="174"/>
    </row>
    <row r="39" spans="1:8" ht="50.4" x14ac:dyDescent="0.4">
      <c r="A39" s="390"/>
      <c r="B39" s="174"/>
      <c r="C39" s="174" t="str">
        <f t="shared" si="0"/>
        <v/>
      </c>
      <c r="D39" s="174" t="s">
        <v>3241</v>
      </c>
      <c r="E39" s="208" t="s">
        <v>3242</v>
      </c>
      <c r="F39" s="203"/>
      <c r="G39" s="203"/>
      <c r="H39" s="174"/>
    </row>
    <row r="40" spans="1:8" ht="67.2" x14ac:dyDescent="0.4">
      <c r="A40" s="390"/>
      <c r="B40" s="174"/>
      <c r="C40" s="174" t="str">
        <f t="shared" si="0"/>
        <v/>
      </c>
      <c r="D40" s="174" t="s">
        <v>3243</v>
      </c>
      <c r="E40" s="208" t="s">
        <v>3244</v>
      </c>
      <c r="F40" s="203"/>
      <c r="G40" s="203"/>
      <c r="H40" s="174"/>
    </row>
    <row r="41" spans="1:8" ht="20.399999999999999" x14ac:dyDescent="0.4">
      <c r="A41" s="174" t="s">
        <v>3245</v>
      </c>
      <c r="B41" s="174"/>
      <c r="C41" s="174" t="str">
        <f t="shared" si="0"/>
        <v/>
      </c>
      <c r="D41" s="174"/>
      <c r="E41" s="580" t="s">
        <v>2918</v>
      </c>
      <c r="F41" s="580"/>
      <c r="G41" s="580"/>
      <c r="H41" s="580"/>
    </row>
    <row r="42" spans="1:8" x14ac:dyDescent="0.4">
      <c r="A42" s="174" t="s">
        <v>3246</v>
      </c>
      <c r="B42" s="174"/>
      <c r="C42" s="174" t="str">
        <f t="shared" si="0"/>
        <v/>
      </c>
      <c r="D42" s="174"/>
      <c r="E42" s="581" t="s">
        <v>3187</v>
      </c>
      <c r="F42" s="581"/>
      <c r="G42" s="581"/>
      <c r="H42" s="581"/>
    </row>
    <row r="43" spans="1:8" x14ac:dyDescent="0.4">
      <c r="A43" s="174"/>
      <c r="B43" s="174"/>
      <c r="C43" s="174" t="str">
        <f t="shared" si="0"/>
        <v/>
      </c>
      <c r="D43" s="174" t="s">
        <v>3247</v>
      </c>
      <c r="E43" s="208" t="s">
        <v>3248</v>
      </c>
      <c r="F43" s="203"/>
      <c r="G43" s="203"/>
      <c r="H43" s="174"/>
    </row>
    <row r="44" spans="1:8" x14ac:dyDescent="0.4">
      <c r="A44" s="174" t="s">
        <v>2891</v>
      </c>
      <c r="B44" s="174"/>
      <c r="C44" s="174">
        <f t="shared" si="0"/>
        <v>1</v>
      </c>
      <c r="D44" s="174"/>
      <c r="E44" s="210" t="s">
        <v>3195</v>
      </c>
      <c r="F44" s="203" t="str">
        <f>Практики!C327</f>
        <v>P-REQ-CR-0-1</v>
      </c>
      <c r="G44" s="203" t="str">
        <f>Практики!F327</f>
        <v>Не заполнено</v>
      </c>
      <c r="H44" s="174">
        <f>Практики!Q327</f>
        <v>0</v>
      </c>
    </row>
    <row r="45" spans="1:8" x14ac:dyDescent="0.4">
      <c r="A45" s="390"/>
      <c r="B45" s="174" t="s">
        <v>2159</v>
      </c>
      <c r="C45" s="174">
        <f t="shared" si="0"/>
        <v>1</v>
      </c>
      <c r="D45" s="174" t="s">
        <v>2342</v>
      </c>
      <c r="E45" s="208" t="s">
        <v>3249</v>
      </c>
      <c r="F45" s="203" t="str">
        <f>Практики!C321</f>
        <v>P-REQ-RD-2-2</v>
      </c>
      <c r="G45" s="203" t="str">
        <f>Практики!F321</f>
        <v>Не заполнено</v>
      </c>
      <c r="H45" s="174">
        <f>Практики!Q321</f>
        <v>0</v>
      </c>
    </row>
    <row r="46" spans="1:8" x14ac:dyDescent="0.4">
      <c r="A46" s="390"/>
      <c r="B46" s="390" t="s">
        <v>2159</v>
      </c>
      <c r="C46" s="390">
        <f t="shared" si="0"/>
        <v>1</v>
      </c>
      <c r="D46" s="390" t="s">
        <v>2299</v>
      </c>
      <c r="E46" s="582" t="s">
        <v>3250</v>
      </c>
      <c r="F46" s="203" t="str">
        <f>Практики!C317</f>
        <v>P-REQ-RD-0-1</v>
      </c>
      <c r="G46" s="203" t="str">
        <f>Практики!F317</f>
        <v>Не заполнено</v>
      </c>
      <c r="H46" s="174">
        <f>Практики!Q317</f>
        <v>0</v>
      </c>
    </row>
    <row r="47" spans="1:8" x14ac:dyDescent="0.4">
      <c r="A47" s="390"/>
      <c r="B47" s="390"/>
      <c r="C47" s="390"/>
      <c r="D47" s="390"/>
      <c r="E47" s="582"/>
      <c r="F47" s="203" t="str">
        <f>Практики!C318</f>
        <v>P-REQ-RD-1-1</v>
      </c>
      <c r="G47" s="203" t="str">
        <f>Практики!F318</f>
        <v>Не заполнено</v>
      </c>
      <c r="H47" s="174">
        <f>Практики!Q318</f>
        <v>0</v>
      </c>
    </row>
    <row r="48" spans="1:8" ht="33.6" x14ac:dyDescent="0.4">
      <c r="A48" s="390"/>
      <c r="B48" s="174" t="s">
        <v>2159</v>
      </c>
      <c r="C48" s="174" t="str">
        <f t="shared" si="0"/>
        <v/>
      </c>
      <c r="D48" s="174" t="s">
        <v>2343</v>
      </c>
      <c r="E48" s="211" t="s">
        <v>3251</v>
      </c>
      <c r="F48" s="203"/>
      <c r="G48" s="203"/>
      <c r="H48" s="174"/>
    </row>
    <row r="49" spans="1:8" ht="50.4" x14ac:dyDescent="0.4">
      <c r="A49" s="390"/>
      <c r="B49" s="174" t="s">
        <v>2159</v>
      </c>
      <c r="C49" s="174" t="str">
        <f t="shared" si="0"/>
        <v/>
      </c>
      <c r="D49" s="174" t="s">
        <v>2344</v>
      </c>
      <c r="E49" s="211" t="s">
        <v>3252</v>
      </c>
      <c r="F49" s="203"/>
      <c r="G49" s="203"/>
      <c r="H49" s="174"/>
    </row>
    <row r="50" spans="1:8" x14ac:dyDescent="0.4">
      <c r="A50" s="174" t="s">
        <v>3253</v>
      </c>
      <c r="B50" s="174"/>
      <c r="C50" s="174" t="str">
        <f t="shared" si="0"/>
        <v/>
      </c>
      <c r="D50" s="174"/>
      <c r="E50" s="581" t="s">
        <v>3205</v>
      </c>
      <c r="F50" s="581"/>
      <c r="G50" s="581"/>
      <c r="H50" s="581"/>
    </row>
    <row r="51" spans="1:8" ht="84" x14ac:dyDescent="0.4">
      <c r="A51" s="390"/>
      <c r="B51" s="174"/>
      <c r="C51" s="174" t="str">
        <f t="shared" si="0"/>
        <v/>
      </c>
      <c r="D51" s="174" t="s">
        <v>3254</v>
      </c>
      <c r="E51" s="208" t="s">
        <v>3255</v>
      </c>
      <c r="F51" s="203"/>
      <c r="G51" s="203"/>
      <c r="H51" s="174"/>
    </row>
    <row r="52" spans="1:8" ht="134.4" x14ac:dyDescent="0.4">
      <c r="A52" s="390"/>
      <c r="B52" s="174"/>
      <c r="C52" s="174" t="str">
        <f t="shared" si="0"/>
        <v/>
      </c>
      <c r="D52" s="174" t="s">
        <v>3256</v>
      </c>
      <c r="E52" s="208" t="s">
        <v>3257</v>
      </c>
      <c r="F52" s="203"/>
      <c r="G52" s="203"/>
      <c r="H52" s="174"/>
    </row>
    <row r="53" spans="1:8" ht="117.6" x14ac:dyDescent="0.4">
      <c r="A53" s="390"/>
      <c r="B53" s="174"/>
      <c r="C53" s="174" t="str">
        <f t="shared" si="0"/>
        <v/>
      </c>
      <c r="D53" s="174" t="s">
        <v>3258</v>
      </c>
      <c r="E53" s="208" t="s">
        <v>3259</v>
      </c>
      <c r="F53" s="203"/>
      <c r="G53" s="203"/>
      <c r="H53" s="174"/>
    </row>
    <row r="54" spans="1:8" ht="50.4" x14ac:dyDescent="0.4">
      <c r="A54" s="390"/>
      <c r="B54" s="174"/>
      <c r="C54" s="174" t="str">
        <f t="shared" si="0"/>
        <v/>
      </c>
      <c r="D54" s="174" t="s">
        <v>3260</v>
      </c>
      <c r="E54" s="208" t="s">
        <v>3261</v>
      </c>
      <c r="F54" s="203"/>
      <c r="G54" s="203"/>
      <c r="H54" s="174"/>
    </row>
    <row r="55" spans="1:8" ht="20.399999999999999" x14ac:dyDescent="0.4">
      <c r="A55" s="174" t="s">
        <v>3262</v>
      </c>
      <c r="B55" s="174"/>
      <c r="C55" s="174" t="str">
        <f t="shared" si="0"/>
        <v/>
      </c>
      <c r="D55" s="174"/>
      <c r="E55" s="580" t="s">
        <v>2931</v>
      </c>
      <c r="F55" s="580"/>
      <c r="G55" s="580"/>
      <c r="H55" s="580"/>
    </row>
    <row r="56" spans="1:8" x14ac:dyDescent="0.4">
      <c r="A56" s="174" t="s">
        <v>3263</v>
      </c>
      <c r="B56" s="174"/>
      <c r="C56" s="174" t="str">
        <f t="shared" si="0"/>
        <v/>
      </c>
      <c r="D56" s="174"/>
      <c r="E56" s="581" t="s">
        <v>3187</v>
      </c>
      <c r="F56" s="581"/>
      <c r="G56" s="581"/>
      <c r="H56" s="581"/>
    </row>
    <row r="57" spans="1:8" ht="33.6" x14ac:dyDescent="0.4">
      <c r="A57" s="390"/>
      <c r="B57" s="174"/>
      <c r="C57" s="174" t="str">
        <f t="shared" si="0"/>
        <v/>
      </c>
      <c r="D57" s="174" t="s">
        <v>3264</v>
      </c>
      <c r="E57" s="208" t="s">
        <v>3265</v>
      </c>
      <c r="F57" s="203"/>
      <c r="G57" s="203"/>
      <c r="H57" s="174"/>
    </row>
    <row r="58" spans="1:8" ht="33.6" x14ac:dyDescent="0.4">
      <c r="A58" s="390"/>
      <c r="B58" s="174"/>
      <c r="C58" s="174" t="str">
        <f t="shared" si="0"/>
        <v/>
      </c>
      <c r="D58" s="174" t="s">
        <v>3266</v>
      </c>
      <c r="E58" s="208" t="s">
        <v>3267</v>
      </c>
      <c r="F58" s="203"/>
      <c r="G58" s="203"/>
      <c r="H58" s="174"/>
    </row>
    <row r="59" spans="1:8" x14ac:dyDescent="0.4">
      <c r="A59" s="174" t="s">
        <v>3268</v>
      </c>
      <c r="B59" s="174"/>
      <c r="C59" s="174" t="str">
        <f t="shared" si="0"/>
        <v/>
      </c>
      <c r="D59" s="174"/>
      <c r="E59" s="581" t="s">
        <v>3195</v>
      </c>
      <c r="F59" s="581"/>
      <c r="G59" s="581"/>
      <c r="H59" s="581"/>
    </row>
    <row r="60" spans="1:8" x14ac:dyDescent="0.4">
      <c r="A60" s="390"/>
      <c r="B60" s="574" t="s">
        <v>2159</v>
      </c>
      <c r="C60" s="574">
        <f>IF(F61&lt;&gt;"",1,"")</f>
        <v>1</v>
      </c>
      <c r="D60" s="574" t="s">
        <v>2345</v>
      </c>
      <c r="E60" s="583" t="s">
        <v>3269</v>
      </c>
      <c r="F60" s="212" t="str">
        <f>Практики!C335</f>
        <v>P-REQ-STDR-App-2-1</v>
      </c>
      <c r="G60" s="212" t="str">
        <f>Практики!F335</f>
        <v>Не заполнено</v>
      </c>
      <c r="H60" s="213">
        <f>Практики!Q335</f>
        <v>0</v>
      </c>
    </row>
    <row r="61" spans="1:8" x14ac:dyDescent="0.4">
      <c r="A61" s="390"/>
      <c r="B61" s="575"/>
      <c r="C61" s="575"/>
      <c r="D61" s="575"/>
      <c r="E61" s="584"/>
      <c r="F61" s="212" t="str">
        <f>Практики!C336</f>
        <v>P-REQ-STDR-App-3-1</v>
      </c>
      <c r="G61" s="212" t="str">
        <f>Практики!F336</f>
        <v>Не заполнено</v>
      </c>
      <c r="H61" s="213">
        <f>Практики!Q336</f>
        <v>0</v>
      </c>
    </row>
    <row r="62" spans="1:8" x14ac:dyDescent="0.4">
      <c r="A62" s="390"/>
      <c r="B62" s="174" t="s">
        <v>2159</v>
      </c>
      <c r="C62" s="174" t="str">
        <f t="shared" si="0"/>
        <v/>
      </c>
      <c r="D62" s="174" t="s">
        <v>2346</v>
      </c>
      <c r="E62" s="208" t="s">
        <v>3270</v>
      </c>
      <c r="F62" s="203"/>
      <c r="G62" s="203"/>
      <c r="H62" s="174"/>
    </row>
    <row r="63" spans="1:8" ht="33.6" x14ac:dyDescent="0.4">
      <c r="A63" s="390"/>
      <c r="B63" s="174" t="s">
        <v>2159</v>
      </c>
      <c r="C63" s="174">
        <f t="shared" si="0"/>
        <v>1</v>
      </c>
      <c r="D63" s="174" t="s">
        <v>2301</v>
      </c>
      <c r="E63" s="208" t="s">
        <v>3271</v>
      </c>
      <c r="F63" s="203" t="str">
        <f>Практики!C251</f>
        <v>T-PROD-ACCESS-1-3</v>
      </c>
      <c r="G63" s="203" t="str">
        <f>Практики!F251</f>
        <v>Не заполнено</v>
      </c>
      <c r="H63" s="174">
        <f>Практики!Q251</f>
        <v>0</v>
      </c>
    </row>
    <row r="64" spans="1:8" x14ac:dyDescent="0.4">
      <c r="A64" s="174" t="s">
        <v>3272</v>
      </c>
      <c r="B64" s="174"/>
      <c r="C64" s="174" t="str">
        <f t="shared" si="0"/>
        <v/>
      </c>
      <c r="D64" s="174"/>
      <c r="E64" s="210" t="s">
        <v>3205</v>
      </c>
      <c r="F64" s="203"/>
      <c r="G64" s="203"/>
      <c r="H64" s="174"/>
    </row>
    <row r="65" spans="1:8" ht="67.2" x14ac:dyDescent="0.4">
      <c r="A65" s="390"/>
      <c r="B65" s="174"/>
      <c r="C65" s="174" t="str">
        <f t="shared" si="0"/>
        <v/>
      </c>
      <c r="D65" s="174" t="s">
        <v>3273</v>
      </c>
      <c r="E65" s="208" t="s">
        <v>3274</v>
      </c>
      <c r="F65" s="203"/>
      <c r="G65" s="203"/>
      <c r="H65" s="174"/>
    </row>
    <row r="66" spans="1:8" x14ac:dyDescent="0.4">
      <c r="A66" s="390"/>
      <c r="B66" s="174"/>
      <c r="C66" s="174" t="str">
        <f t="shared" si="0"/>
        <v/>
      </c>
      <c r="D66" s="174" t="s">
        <v>3275</v>
      </c>
      <c r="E66" s="208" t="s">
        <v>3276</v>
      </c>
      <c r="F66" s="203"/>
      <c r="G66" s="203"/>
      <c r="H66" s="174"/>
    </row>
    <row r="67" spans="1:8" ht="33.6" x14ac:dyDescent="0.4">
      <c r="A67" s="390"/>
      <c r="B67" s="174"/>
      <c r="C67" s="174" t="str">
        <f t="shared" si="0"/>
        <v/>
      </c>
      <c r="D67" s="174" t="s">
        <v>3277</v>
      </c>
      <c r="E67" s="208" t="s">
        <v>3278</v>
      </c>
      <c r="F67" s="203"/>
      <c r="G67" s="203"/>
      <c r="H67" s="174"/>
    </row>
    <row r="68" spans="1:8" ht="20.399999999999999" x14ac:dyDescent="0.4">
      <c r="A68" s="174" t="s">
        <v>3279</v>
      </c>
      <c r="B68" s="174"/>
      <c r="C68" s="174" t="str">
        <f t="shared" ref="C68:C75" si="1">IF(F68&lt;&gt;"",1,"")</f>
        <v/>
      </c>
      <c r="D68" s="174"/>
      <c r="E68" s="580" t="s">
        <v>2936</v>
      </c>
      <c r="F68" s="580"/>
      <c r="G68" s="580"/>
      <c r="H68" s="580"/>
    </row>
    <row r="69" spans="1:8" x14ac:dyDescent="0.4">
      <c r="A69" s="174" t="s">
        <v>3280</v>
      </c>
      <c r="B69" s="174"/>
      <c r="C69" s="174" t="str">
        <f t="shared" si="1"/>
        <v/>
      </c>
      <c r="D69" s="174"/>
      <c r="E69" s="581" t="s">
        <v>3187</v>
      </c>
      <c r="F69" s="581"/>
      <c r="G69" s="581"/>
      <c r="H69" s="581"/>
    </row>
    <row r="70" spans="1:8" x14ac:dyDescent="0.4">
      <c r="A70" s="390"/>
      <c r="B70" s="174"/>
      <c r="C70" s="174" t="str">
        <f t="shared" si="1"/>
        <v/>
      </c>
      <c r="D70" s="174" t="s">
        <v>3281</v>
      </c>
      <c r="E70" s="208" t="s">
        <v>3282</v>
      </c>
      <c r="F70" s="203"/>
      <c r="G70" s="203"/>
      <c r="H70" s="174"/>
    </row>
    <row r="71" spans="1:8" ht="67.2" x14ac:dyDescent="0.4">
      <c r="A71" s="390"/>
      <c r="B71" s="174"/>
      <c r="C71" s="174" t="str">
        <f t="shared" si="1"/>
        <v/>
      </c>
      <c r="D71" s="174" t="s">
        <v>3283</v>
      </c>
      <c r="E71" s="208" t="s">
        <v>3284</v>
      </c>
      <c r="F71" s="203"/>
      <c r="G71" s="203"/>
      <c r="H71" s="174"/>
    </row>
    <row r="72" spans="1:8" x14ac:dyDescent="0.4">
      <c r="A72" s="174" t="s">
        <v>3285</v>
      </c>
      <c r="B72" s="174"/>
      <c r="C72" s="174" t="str">
        <f t="shared" si="1"/>
        <v/>
      </c>
      <c r="D72" s="174"/>
      <c r="E72" s="581" t="s">
        <v>3195</v>
      </c>
      <c r="F72" s="581"/>
      <c r="G72" s="581"/>
      <c r="H72" s="581"/>
    </row>
    <row r="73" spans="1:8" x14ac:dyDescent="0.4">
      <c r="A73" s="390"/>
      <c r="B73" s="174" t="s">
        <v>2159</v>
      </c>
      <c r="C73" s="174" t="str">
        <f t="shared" si="1"/>
        <v/>
      </c>
      <c r="D73" s="174" t="s">
        <v>2347</v>
      </c>
      <c r="E73" s="208" t="s">
        <v>3286</v>
      </c>
      <c r="F73" s="203"/>
      <c r="G73" s="203"/>
      <c r="H73" s="174"/>
    </row>
    <row r="74" spans="1:8" x14ac:dyDescent="0.4">
      <c r="A74" s="390"/>
      <c r="B74" s="174" t="s">
        <v>2159</v>
      </c>
      <c r="C74" s="174" t="str">
        <f t="shared" si="1"/>
        <v/>
      </c>
      <c r="D74" s="174" t="s">
        <v>2348</v>
      </c>
      <c r="E74" s="208" t="s">
        <v>3287</v>
      </c>
      <c r="F74" s="203"/>
      <c r="G74" s="203"/>
      <c r="H74" s="174"/>
    </row>
    <row r="75" spans="1:8" x14ac:dyDescent="0.4">
      <c r="A75" s="390"/>
      <c r="B75" s="390" t="s">
        <v>2159</v>
      </c>
      <c r="C75" s="390">
        <f t="shared" si="1"/>
        <v>1</v>
      </c>
      <c r="D75" s="390" t="s">
        <v>2881</v>
      </c>
      <c r="E75" s="582" t="s">
        <v>3288</v>
      </c>
      <c r="F75" s="203" t="str">
        <f>Практики!C75</f>
        <v>T-DEV-SRC-0-1</v>
      </c>
      <c r="G75" s="203" t="str">
        <f>Практики!F75</f>
        <v>Не заполнено</v>
      </c>
      <c r="H75" s="174">
        <f>Практики!Q75</f>
        <v>0</v>
      </c>
    </row>
    <row r="76" spans="1:8" x14ac:dyDescent="0.4">
      <c r="A76" s="390"/>
      <c r="B76" s="390"/>
      <c r="C76" s="390"/>
      <c r="D76" s="390"/>
      <c r="E76" s="582"/>
      <c r="F76" s="203" t="str">
        <f>Практики!C76</f>
        <v>T-DEV-SRC-1-1</v>
      </c>
      <c r="G76" s="203" t="str">
        <f>Практики!F76</f>
        <v>Не заполнено</v>
      </c>
      <c r="H76" s="174">
        <f>Практики!Q76</f>
        <v>0</v>
      </c>
    </row>
    <row r="77" spans="1:8" x14ac:dyDescent="0.4">
      <c r="A77" s="390"/>
      <c r="B77" s="390"/>
      <c r="C77" s="390"/>
      <c r="D77" s="390"/>
      <c r="E77" s="582"/>
      <c r="F77" s="203" t="str">
        <f>Практики!C350</f>
        <v>P-DEFECT-MNG-0-1</v>
      </c>
      <c r="G77" s="203" t="str">
        <f>Практики!F350</f>
        <v>Не заполнено</v>
      </c>
      <c r="H77" s="174">
        <f>Практики!Q350</f>
        <v>0</v>
      </c>
    </row>
    <row r="78" spans="1:8" x14ac:dyDescent="0.4">
      <c r="A78" s="390"/>
      <c r="B78" s="174" t="s">
        <v>2159</v>
      </c>
      <c r="C78" s="174" t="str">
        <f>IF(F78&lt;&gt;"",1,"")</f>
        <v/>
      </c>
      <c r="D78" s="174" t="s">
        <v>3289</v>
      </c>
      <c r="E78" s="208" t="s">
        <v>3290</v>
      </c>
      <c r="F78" s="203"/>
      <c r="G78" s="203"/>
      <c r="H78" s="174"/>
    </row>
    <row r="79" spans="1:8" x14ac:dyDescent="0.4">
      <c r="A79" s="390"/>
      <c r="B79" s="390" t="s">
        <v>2159</v>
      </c>
      <c r="C79" s="390">
        <f>IF(F79&lt;&gt;"",1,"")</f>
        <v>1</v>
      </c>
      <c r="D79" s="390" t="s">
        <v>2302</v>
      </c>
      <c r="E79" s="582" t="s">
        <v>3291</v>
      </c>
      <c r="F79" s="203" t="str">
        <f>Практики!C76</f>
        <v>T-DEV-SRC-1-1</v>
      </c>
      <c r="G79" s="203" t="str">
        <f>Практики!F76</f>
        <v>Не заполнено</v>
      </c>
      <c r="H79" s="174">
        <f>Практики!Q76</f>
        <v>0</v>
      </c>
    </row>
    <row r="80" spans="1:8" x14ac:dyDescent="0.4">
      <c r="A80" s="390"/>
      <c r="B80" s="390"/>
      <c r="C80" s="390"/>
      <c r="D80" s="390"/>
      <c r="E80" s="582"/>
      <c r="F80" s="203" t="str">
        <f>Практики!C150</f>
        <v>T-CODE-IMG-2-3</v>
      </c>
      <c r="G80" s="203" t="str">
        <f>Практики!F150</f>
        <v>Не заполнено</v>
      </c>
      <c r="H80" s="174">
        <f>Практики!Q150</f>
        <v>0</v>
      </c>
    </row>
    <row r="81" spans="1:8" x14ac:dyDescent="0.4">
      <c r="A81" s="390"/>
      <c r="B81" s="390"/>
      <c r="C81" s="390"/>
      <c r="D81" s="390"/>
      <c r="E81" s="582"/>
      <c r="F81" s="203" t="str">
        <f>Практики!C354</f>
        <v>P-DEFECT-MNG-3-1</v>
      </c>
      <c r="G81" s="203" t="str">
        <f>Практики!F354</f>
        <v>Не заполнено</v>
      </c>
      <c r="H81" s="174">
        <f>Практики!Q354</f>
        <v>0</v>
      </c>
    </row>
    <row r="82" spans="1:8" x14ac:dyDescent="0.4">
      <c r="A82" s="174" t="s">
        <v>3292</v>
      </c>
      <c r="B82" s="174"/>
      <c r="C82" s="174" t="str">
        <f t="shared" ref="C82:C106" si="2">IF(F82&lt;&gt;"",1,"")</f>
        <v/>
      </c>
      <c r="D82" s="174"/>
      <c r="E82" s="581" t="s">
        <v>3205</v>
      </c>
      <c r="F82" s="581"/>
      <c r="G82" s="581"/>
      <c r="H82" s="581"/>
    </row>
    <row r="83" spans="1:8" ht="67.2" x14ac:dyDescent="0.4">
      <c r="A83" s="390"/>
      <c r="B83" s="174"/>
      <c r="C83" s="174" t="str">
        <f t="shared" si="2"/>
        <v/>
      </c>
      <c r="D83" s="174" t="s">
        <v>3293</v>
      </c>
      <c r="E83" s="208" t="s">
        <v>3294</v>
      </c>
      <c r="F83" s="203"/>
      <c r="G83" s="203"/>
      <c r="H83" s="174"/>
    </row>
    <row r="84" spans="1:8" ht="67.2" x14ac:dyDescent="0.4">
      <c r="A84" s="390"/>
      <c r="B84" s="174"/>
      <c r="C84" s="174" t="str">
        <f t="shared" si="2"/>
        <v/>
      </c>
      <c r="D84" s="174" t="s">
        <v>3295</v>
      </c>
      <c r="E84" s="208" t="s">
        <v>3296</v>
      </c>
      <c r="F84" s="203"/>
      <c r="G84" s="203"/>
      <c r="H84" s="174"/>
    </row>
    <row r="85" spans="1:8" ht="117.6" x14ac:dyDescent="0.4">
      <c r="A85" s="390"/>
      <c r="B85" s="174"/>
      <c r="C85" s="174" t="str">
        <f t="shared" si="2"/>
        <v/>
      </c>
      <c r="D85" s="174" t="s">
        <v>3297</v>
      </c>
      <c r="E85" s="208" t="s">
        <v>3298</v>
      </c>
      <c r="F85" s="203"/>
      <c r="G85" s="203"/>
      <c r="H85" s="174"/>
    </row>
    <row r="86" spans="1:8" ht="117.6" x14ac:dyDescent="0.4">
      <c r="A86" s="390"/>
      <c r="B86" s="174"/>
      <c r="C86" s="174" t="str">
        <f t="shared" si="2"/>
        <v/>
      </c>
      <c r="D86" s="174" t="s">
        <v>3299</v>
      </c>
      <c r="E86" s="208" t="s">
        <v>3300</v>
      </c>
      <c r="F86" s="203"/>
      <c r="G86" s="203"/>
      <c r="H86" s="174"/>
    </row>
    <row r="87" spans="1:8" ht="20.399999999999999" x14ac:dyDescent="0.4">
      <c r="A87" s="174" t="s">
        <v>3301</v>
      </c>
      <c r="B87" s="174"/>
      <c r="C87" s="174" t="str">
        <f t="shared" si="2"/>
        <v/>
      </c>
      <c r="D87" s="174"/>
      <c r="E87" s="580" t="s">
        <v>2943</v>
      </c>
      <c r="F87" s="580"/>
      <c r="G87" s="580"/>
      <c r="H87" s="580"/>
    </row>
    <row r="88" spans="1:8" x14ac:dyDescent="0.4">
      <c r="A88" s="174" t="s">
        <v>3302</v>
      </c>
      <c r="B88" s="174"/>
      <c r="C88" s="174" t="str">
        <f t="shared" si="2"/>
        <v/>
      </c>
      <c r="D88" s="174"/>
      <c r="E88" s="581" t="s">
        <v>3187</v>
      </c>
      <c r="F88" s="581"/>
      <c r="G88" s="581"/>
      <c r="H88" s="581"/>
    </row>
    <row r="89" spans="1:8" x14ac:dyDescent="0.4">
      <c r="A89" s="390"/>
      <c r="B89" s="174"/>
      <c r="C89" s="174" t="str">
        <f t="shared" si="2"/>
        <v/>
      </c>
      <c r="D89" s="174" t="s">
        <v>3303</v>
      </c>
      <c r="E89" s="208" t="s">
        <v>3304</v>
      </c>
      <c r="F89" s="203"/>
      <c r="G89" s="203"/>
      <c r="H89" s="174"/>
    </row>
    <row r="90" spans="1:8" x14ac:dyDescent="0.4">
      <c r="A90" s="390"/>
      <c r="B90" s="174"/>
      <c r="C90" s="174" t="str">
        <f t="shared" si="2"/>
        <v/>
      </c>
      <c r="D90" s="174" t="s">
        <v>3305</v>
      </c>
      <c r="E90" s="208" t="s">
        <v>3306</v>
      </c>
      <c r="F90" s="203"/>
      <c r="G90" s="203"/>
      <c r="H90" s="174"/>
    </row>
    <row r="91" spans="1:8" x14ac:dyDescent="0.4">
      <c r="A91" s="174" t="s">
        <v>3307</v>
      </c>
      <c r="B91" s="174"/>
      <c r="C91" s="174" t="str">
        <f t="shared" si="2"/>
        <v/>
      </c>
      <c r="D91" s="174"/>
      <c r="E91" s="581" t="s">
        <v>3195</v>
      </c>
      <c r="F91" s="581"/>
      <c r="G91" s="581"/>
      <c r="H91" s="581"/>
    </row>
    <row r="92" spans="1:8" ht="33.6" x14ac:dyDescent="0.4">
      <c r="A92" s="390"/>
      <c r="B92" s="174" t="s">
        <v>2159</v>
      </c>
      <c r="C92" s="174">
        <f t="shared" si="2"/>
        <v>1</v>
      </c>
      <c r="D92" s="174" t="s">
        <v>2306</v>
      </c>
      <c r="E92" s="208" t="s">
        <v>3308</v>
      </c>
      <c r="F92" s="203" t="str">
        <f>Практики!C322</f>
        <v>P-REQ-RD-2-3</v>
      </c>
      <c r="G92" s="203" t="str">
        <f>Практики!F322</f>
        <v>Не заполнено</v>
      </c>
      <c r="H92" s="174">
        <f>Практики!Q322</f>
        <v>0</v>
      </c>
    </row>
    <row r="93" spans="1:8" ht="33.6" x14ac:dyDescent="0.4">
      <c r="A93" s="390"/>
      <c r="B93" s="174" t="s">
        <v>2159</v>
      </c>
      <c r="C93" s="174" t="str">
        <f t="shared" si="2"/>
        <v/>
      </c>
      <c r="D93" s="174" t="s">
        <v>2349</v>
      </c>
      <c r="E93" s="208" t="s">
        <v>3309</v>
      </c>
      <c r="F93" s="203"/>
      <c r="G93" s="203"/>
      <c r="H93" s="174"/>
    </row>
    <row r="94" spans="1:8" ht="33.6" x14ac:dyDescent="0.4">
      <c r="A94" s="390"/>
      <c r="B94" s="174" t="s">
        <v>2159</v>
      </c>
      <c r="C94" s="174" t="str">
        <f t="shared" si="2"/>
        <v/>
      </c>
      <c r="D94" s="174" t="s">
        <v>2350</v>
      </c>
      <c r="E94" s="208" t="s">
        <v>3310</v>
      </c>
      <c r="F94" s="203"/>
      <c r="G94" s="203"/>
      <c r="H94" s="174"/>
    </row>
    <row r="95" spans="1:8" ht="33.6" x14ac:dyDescent="0.4">
      <c r="A95" s="390"/>
      <c r="B95" s="174" t="s">
        <v>2159</v>
      </c>
      <c r="C95" s="174" t="str">
        <f t="shared" si="2"/>
        <v/>
      </c>
      <c r="D95" s="174" t="s">
        <v>2351</v>
      </c>
      <c r="E95" s="208" t="s">
        <v>3311</v>
      </c>
      <c r="F95" s="203"/>
      <c r="G95" s="203"/>
      <c r="H95" s="174"/>
    </row>
    <row r="96" spans="1:8" x14ac:dyDescent="0.4">
      <c r="A96" s="174" t="s">
        <v>3312</v>
      </c>
      <c r="B96" s="174"/>
      <c r="C96" s="174" t="str">
        <f t="shared" si="2"/>
        <v/>
      </c>
      <c r="D96" s="174"/>
      <c r="E96" s="581" t="s">
        <v>3205</v>
      </c>
      <c r="F96" s="581"/>
      <c r="G96" s="581"/>
      <c r="H96" s="581"/>
    </row>
    <row r="97" spans="1:8" ht="84" x14ac:dyDescent="0.4">
      <c r="A97" s="390"/>
      <c r="B97" s="174"/>
      <c r="C97" s="174" t="str">
        <f t="shared" si="2"/>
        <v/>
      </c>
      <c r="D97" s="174" t="s">
        <v>3313</v>
      </c>
      <c r="E97" s="208" t="s">
        <v>3314</v>
      </c>
      <c r="F97" s="203"/>
      <c r="G97" s="203"/>
      <c r="H97" s="174"/>
    </row>
    <row r="98" spans="1:8" ht="100.8" x14ac:dyDescent="0.4">
      <c r="A98" s="390"/>
      <c r="B98" s="174"/>
      <c r="C98" s="174" t="str">
        <f t="shared" si="2"/>
        <v/>
      </c>
      <c r="D98" s="174" t="s">
        <v>3315</v>
      </c>
      <c r="E98" s="208" t="s">
        <v>3316</v>
      </c>
      <c r="F98" s="203"/>
      <c r="G98" s="203"/>
      <c r="H98" s="174"/>
    </row>
    <row r="99" spans="1:8" ht="33.6" x14ac:dyDescent="0.4">
      <c r="A99" s="390"/>
      <c r="B99" s="174"/>
      <c r="C99" s="174" t="str">
        <f t="shared" si="2"/>
        <v/>
      </c>
      <c r="D99" s="174" t="s">
        <v>3317</v>
      </c>
      <c r="E99" s="208" t="s">
        <v>3318</v>
      </c>
      <c r="F99" s="203"/>
      <c r="G99" s="203"/>
      <c r="H99" s="174"/>
    </row>
    <row r="100" spans="1:8" ht="50.4" x14ac:dyDescent="0.4">
      <c r="A100" s="390"/>
      <c r="B100" s="174"/>
      <c r="C100" s="174" t="str">
        <f t="shared" si="2"/>
        <v/>
      </c>
      <c r="D100" s="174" t="s">
        <v>3319</v>
      </c>
      <c r="E100" s="208" t="s">
        <v>3320</v>
      </c>
      <c r="F100" s="203"/>
      <c r="G100" s="203"/>
      <c r="H100" s="174"/>
    </row>
    <row r="101" spans="1:8" ht="20.399999999999999" x14ac:dyDescent="0.4">
      <c r="A101" s="174" t="s">
        <v>3321</v>
      </c>
      <c r="B101" s="174"/>
      <c r="C101" s="174" t="str">
        <f t="shared" si="2"/>
        <v/>
      </c>
      <c r="D101" s="174"/>
      <c r="E101" s="580" t="s">
        <v>2953</v>
      </c>
      <c r="F101" s="580"/>
      <c r="G101" s="580"/>
      <c r="H101" s="580"/>
    </row>
    <row r="102" spans="1:8" x14ac:dyDescent="0.4">
      <c r="A102" s="174" t="s">
        <v>3322</v>
      </c>
      <c r="B102" s="174"/>
      <c r="C102" s="174" t="str">
        <f t="shared" si="2"/>
        <v/>
      </c>
      <c r="D102" s="174"/>
      <c r="E102" s="581" t="s">
        <v>3187</v>
      </c>
      <c r="F102" s="581"/>
      <c r="G102" s="581"/>
      <c r="H102" s="581"/>
    </row>
    <row r="103" spans="1:8" ht="33.6" x14ac:dyDescent="0.4">
      <c r="A103" s="390"/>
      <c r="B103" s="174"/>
      <c r="C103" s="174" t="str">
        <f t="shared" si="2"/>
        <v/>
      </c>
      <c r="D103" s="174" t="s">
        <v>3323</v>
      </c>
      <c r="E103" s="208" t="s">
        <v>3324</v>
      </c>
      <c r="F103" s="203"/>
      <c r="G103" s="203"/>
      <c r="H103" s="174"/>
    </row>
    <row r="104" spans="1:8" x14ac:dyDescent="0.4">
      <c r="A104" s="390"/>
      <c r="B104" s="174"/>
      <c r="C104" s="174" t="str">
        <f t="shared" si="2"/>
        <v/>
      </c>
      <c r="D104" s="174" t="s">
        <v>3325</v>
      </c>
      <c r="E104" s="208" t="s">
        <v>3326</v>
      </c>
      <c r="F104" s="203"/>
      <c r="G104" s="203"/>
      <c r="H104" s="174"/>
    </row>
    <row r="105" spans="1:8" x14ac:dyDescent="0.4">
      <c r="A105" s="174" t="s">
        <v>3327</v>
      </c>
      <c r="B105" s="174"/>
      <c r="C105" s="174" t="str">
        <f t="shared" si="2"/>
        <v/>
      </c>
      <c r="D105" s="174"/>
      <c r="E105" s="581" t="s">
        <v>3195</v>
      </c>
      <c r="F105" s="581"/>
      <c r="G105" s="581"/>
      <c r="H105" s="581"/>
    </row>
    <row r="106" spans="1:8" x14ac:dyDescent="0.4">
      <c r="A106" s="390"/>
      <c r="B106" s="390" t="s">
        <v>2159</v>
      </c>
      <c r="C106" s="390">
        <f t="shared" si="2"/>
        <v>1</v>
      </c>
      <c r="D106" s="390" t="s">
        <v>2308</v>
      </c>
      <c r="E106" s="582" t="s">
        <v>3328</v>
      </c>
      <c r="F106" s="203" t="str">
        <f>Практики!C306</f>
        <v>P-REQ-TM-0-1</v>
      </c>
      <c r="G106" s="203" t="str">
        <f>Практики!F306</f>
        <v>Не заполнено</v>
      </c>
      <c r="H106" s="174">
        <f>Практики!Q306</f>
        <v>0</v>
      </c>
    </row>
    <row r="107" spans="1:8" x14ac:dyDescent="0.4">
      <c r="A107" s="390"/>
      <c r="B107" s="390"/>
      <c r="C107" s="390"/>
      <c r="D107" s="390"/>
      <c r="E107" s="582"/>
      <c r="F107" s="203" t="str">
        <f>Практики!C311</f>
        <v>P-REQ-TM-2-2</v>
      </c>
      <c r="G107" s="203" t="str">
        <f>Практики!F311</f>
        <v>Не заполнено</v>
      </c>
      <c r="H107" s="174">
        <f>Практики!Q311</f>
        <v>0</v>
      </c>
    </row>
    <row r="108" spans="1:8" x14ac:dyDescent="0.4">
      <c r="A108" s="390"/>
      <c r="B108" s="390"/>
      <c r="C108" s="390"/>
      <c r="D108" s="390"/>
      <c r="E108" s="582"/>
      <c r="F108" s="203" t="str">
        <f>Практики!C320</f>
        <v>P-REQ-RD-2-1</v>
      </c>
      <c r="G108" s="203" t="str">
        <f>Практики!F320</f>
        <v>Не заполнено</v>
      </c>
      <c r="H108" s="174">
        <f>Практики!Q320</f>
        <v>0</v>
      </c>
    </row>
    <row r="109" spans="1:8" ht="33.6" x14ac:dyDescent="0.4">
      <c r="A109" s="390"/>
      <c r="B109" s="174" t="s">
        <v>2159</v>
      </c>
      <c r="C109" s="174" t="str">
        <f t="shared" ref="C109:C170" si="3">IF(F109&lt;&gt;"",1,"")</f>
        <v/>
      </c>
      <c r="D109" s="174" t="s">
        <v>2307</v>
      </c>
      <c r="E109" s="208" t="s">
        <v>3329</v>
      </c>
      <c r="F109" s="203"/>
      <c r="G109" s="203"/>
      <c r="H109" s="174"/>
    </row>
    <row r="110" spans="1:8" ht="50.4" x14ac:dyDescent="0.4">
      <c r="A110" s="390"/>
      <c r="B110" s="174" t="s">
        <v>2159</v>
      </c>
      <c r="C110" s="174" t="str">
        <f t="shared" si="3"/>
        <v/>
      </c>
      <c r="D110" s="174" t="s">
        <v>2352</v>
      </c>
      <c r="E110" s="208" t="s">
        <v>3330</v>
      </c>
      <c r="F110" s="203"/>
      <c r="G110" s="203"/>
      <c r="H110" s="174"/>
    </row>
    <row r="111" spans="1:8" ht="33.6" x14ac:dyDescent="0.4">
      <c r="A111" s="390"/>
      <c r="B111" s="174" t="s">
        <v>2159</v>
      </c>
      <c r="C111" s="174">
        <f t="shared" si="3"/>
        <v>1</v>
      </c>
      <c r="D111" s="174" t="s">
        <v>2309</v>
      </c>
      <c r="E111" s="208" t="s">
        <v>3331</v>
      </c>
      <c r="F111" s="203" t="str">
        <f>Практики!C315</f>
        <v>P-REQ-TM-3-3</v>
      </c>
      <c r="G111" s="203" t="str">
        <f>Практики!F315</f>
        <v>Не заполнено</v>
      </c>
      <c r="H111" s="174">
        <f>Практики!Q315</f>
        <v>0</v>
      </c>
    </row>
    <row r="112" spans="1:8" ht="50.4" x14ac:dyDescent="0.4">
      <c r="A112" s="390"/>
      <c r="B112" s="174" t="s">
        <v>2159</v>
      </c>
      <c r="C112" s="174" t="str">
        <f t="shared" si="3"/>
        <v/>
      </c>
      <c r="D112" s="174" t="s">
        <v>2353</v>
      </c>
      <c r="E112" s="208" t="s">
        <v>3332</v>
      </c>
      <c r="F112" s="203"/>
      <c r="G112" s="203"/>
      <c r="H112" s="174"/>
    </row>
    <row r="113" spans="1:8" ht="33.6" x14ac:dyDescent="0.4">
      <c r="A113" s="390"/>
      <c r="B113" s="174" t="s">
        <v>2159</v>
      </c>
      <c r="C113" s="174" t="str">
        <f t="shared" si="3"/>
        <v/>
      </c>
      <c r="D113" s="174" t="s">
        <v>2354</v>
      </c>
      <c r="E113" s="208" t="s">
        <v>3333</v>
      </c>
      <c r="F113" s="203"/>
      <c r="G113" s="203"/>
      <c r="H113" s="174"/>
    </row>
    <row r="114" spans="1:8" ht="67.2" x14ac:dyDescent="0.4">
      <c r="A114" s="390"/>
      <c r="B114" s="174" t="s">
        <v>2159</v>
      </c>
      <c r="C114" s="174" t="str">
        <f t="shared" si="3"/>
        <v/>
      </c>
      <c r="D114" s="174" t="s">
        <v>2355</v>
      </c>
      <c r="E114" s="208" t="s">
        <v>3334</v>
      </c>
      <c r="F114" s="203"/>
      <c r="G114" s="203"/>
      <c r="H114" s="174"/>
    </row>
    <row r="115" spans="1:8" x14ac:dyDescent="0.4">
      <c r="A115" s="174" t="s">
        <v>3335</v>
      </c>
      <c r="B115" s="174"/>
      <c r="C115" s="174" t="str">
        <f t="shared" si="3"/>
        <v/>
      </c>
      <c r="D115" s="174"/>
      <c r="E115" s="581" t="s">
        <v>3205</v>
      </c>
      <c r="F115" s="581"/>
      <c r="G115" s="581"/>
      <c r="H115" s="581"/>
    </row>
    <row r="116" spans="1:8" ht="100.8" x14ac:dyDescent="0.4">
      <c r="A116" s="390"/>
      <c r="B116" s="174"/>
      <c r="C116" s="174" t="str">
        <f t="shared" si="3"/>
        <v/>
      </c>
      <c r="D116" s="174" t="s">
        <v>3336</v>
      </c>
      <c r="E116" s="208" t="s">
        <v>3337</v>
      </c>
      <c r="F116" s="203"/>
      <c r="G116" s="203"/>
      <c r="H116" s="174"/>
    </row>
    <row r="117" spans="1:8" ht="50.4" x14ac:dyDescent="0.4">
      <c r="A117" s="390"/>
      <c r="B117" s="174"/>
      <c r="C117" s="174" t="str">
        <f t="shared" si="3"/>
        <v/>
      </c>
      <c r="D117" s="174" t="s">
        <v>3338</v>
      </c>
      <c r="E117" s="208" t="s">
        <v>3339</v>
      </c>
      <c r="F117" s="203"/>
      <c r="G117" s="203"/>
      <c r="H117" s="174"/>
    </row>
    <row r="118" spans="1:8" ht="50.4" x14ac:dyDescent="0.4">
      <c r="A118" s="390"/>
      <c r="B118" s="174"/>
      <c r="C118" s="174" t="str">
        <f t="shared" si="3"/>
        <v/>
      </c>
      <c r="D118" s="174" t="s">
        <v>3340</v>
      </c>
      <c r="E118" s="208" t="s">
        <v>3341</v>
      </c>
      <c r="F118" s="203"/>
      <c r="G118" s="203"/>
      <c r="H118" s="174"/>
    </row>
    <row r="119" spans="1:8" ht="33.6" x14ac:dyDescent="0.4">
      <c r="A119" s="390"/>
      <c r="B119" s="174"/>
      <c r="C119" s="174" t="str">
        <f t="shared" si="3"/>
        <v/>
      </c>
      <c r="D119" s="174" t="s">
        <v>3342</v>
      </c>
      <c r="E119" s="208" t="s">
        <v>3343</v>
      </c>
      <c r="F119" s="203"/>
      <c r="G119" s="203"/>
      <c r="H119" s="174"/>
    </row>
    <row r="120" spans="1:8" ht="33.6" x14ac:dyDescent="0.4">
      <c r="A120" s="390"/>
      <c r="B120" s="174"/>
      <c r="C120" s="174" t="str">
        <f t="shared" si="3"/>
        <v/>
      </c>
      <c r="D120" s="174" t="s">
        <v>3344</v>
      </c>
      <c r="E120" s="208" t="s">
        <v>3345</v>
      </c>
      <c r="F120" s="203"/>
      <c r="G120" s="203"/>
      <c r="H120" s="174"/>
    </row>
    <row r="121" spans="1:8" ht="33.6" x14ac:dyDescent="0.4">
      <c r="A121" s="390"/>
      <c r="B121" s="174"/>
      <c r="C121" s="174" t="str">
        <f t="shared" si="3"/>
        <v/>
      </c>
      <c r="D121" s="174" t="s">
        <v>3346</v>
      </c>
      <c r="E121" s="208" t="s">
        <v>3347</v>
      </c>
      <c r="F121" s="203"/>
      <c r="G121" s="203"/>
      <c r="H121" s="174"/>
    </row>
    <row r="122" spans="1:8" ht="50.4" x14ac:dyDescent="0.4">
      <c r="A122" s="390"/>
      <c r="B122" s="174"/>
      <c r="C122" s="174" t="str">
        <f t="shared" si="3"/>
        <v/>
      </c>
      <c r="D122" s="174" t="s">
        <v>3348</v>
      </c>
      <c r="E122" s="208" t="s">
        <v>3349</v>
      </c>
      <c r="F122" s="203"/>
      <c r="G122" s="203"/>
      <c r="H122" s="174"/>
    </row>
    <row r="123" spans="1:8" ht="20.399999999999999" x14ac:dyDescent="0.4">
      <c r="A123" s="174" t="s">
        <v>3350</v>
      </c>
      <c r="B123" s="174"/>
      <c r="C123" s="174" t="str">
        <f t="shared" si="3"/>
        <v/>
      </c>
      <c r="D123" s="174"/>
      <c r="E123" s="580" t="s">
        <v>2958</v>
      </c>
      <c r="F123" s="580"/>
      <c r="G123" s="580"/>
      <c r="H123" s="580"/>
    </row>
    <row r="124" spans="1:8" x14ac:dyDescent="0.4">
      <c r="A124" s="174" t="s">
        <v>3351</v>
      </c>
      <c r="B124" s="174"/>
      <c r="C124" s="174" t="str">
        <f t="shared" si="3"/>
        <v/>
      </c>
      <c r="D124" s="174"/>
      <c r="E124" s="581" t="s">
        <v>3187</v>
      </c>
      <c r="F124" s="581"/>
      <c r="G124" s="581"/>
      <c r="H124" s="581"/>
    </row>
    <row r="125" spans="1:8" ht="33.6" x14ac:dyDescent="0.4">
      <c r="A125" s="174"/>
      <c r="B125" s="174"/>
      <c r="C125" s="174" t="str">
        <f t="shared" si="3"/>
        <v/>
      </c>
      <c r="D125" s="174" t="s">
        <v>3352</v>
      </c>
      <c r="E125" s="208" t="s">
        <v>3353</v>
      </c>
      <c r="F125" s="203"/>
      <c r="G125" s="203"/>
      <c r="H125" s="174"/>
    </row>
    <row r="126" spans="1:8" x14ac:dyDescent="0.4">
      <c r="A126" s="174" t="s">
        <v>3354</v>
      </c>
      <c r="B126" s="174"/>
      <c r="C126" s="174" t="str">
        <f t="shared" si="3"/>
        <v/>
      </c>
      <c r="D126" s="174"/>
      <c r="E126" s="581" t="s">
        <v>3195</v>
      </c>
      <c r="F126" s="581"/>
      <c r="G126" s="581"/>
      <c r="H126" s="581"/>
    </row>
    <row r="127" spans="1:8" ht="33.6" x14ac:dyDescent="0.4">
      <c r="A127" s="390"/>
      <c r="B127" s="174" t="s">
        <v>2159</v>
      </c>
      <c r="C127" s="174" t="str">
        <f t="shared" si="3"/>
        <v/>
      </c>
      <c r="D127" s="174" t="s">
        <v>2356</v>
      </c>
      <c r="E127" s="208" t="s">
        <v>2357</v>
      </c>
      <c r="F127" s="203"/>
      <c r="G127" s="203"/>
      <c r="H127" s="174"/>
    </row>
    <row r="128" spans="1:8" ht="33.6" x14ac:dyDescent="0.4">
      <c r="A128" s="390"/>
      <c r="B128" s="174" t="s">
        <v>2159</v>
      </c>
      <c r="C128" s="174" t="str">
        <f t="shared" si="3"/>
        <v/>
      </c>
      <c r="D128" s="174" t="s">
        <v>2358</v>
      </c>
      <c r="E128" s="208" t="s">
        <v>3355</v>
      </c>
      <c r="F128" s="203"/>
      <c r="G128" s="203"/>
      <c r="H128" s="174"/>
    </row>
    <row r="129" spans="1:8" ht="33.6" x14ac:dyDescent="0.4">
      <c r="A129" s="390"/>
      <c r="B129" s="174" t="s">
        <v>2159</v>
      </c>
      <c r="C129" s="174" t="str">
        <f t="shared" si="3"/>
        <v/>
      </c>
      <c r="D129" s="174" t="s">
        <v>2359</v>
      </c>
      <c r="E129" s="208" t="s">
        <v>3356</v>
      </c>
      <c r="F129" s="203"/>
      <c r="G129" s="203"/>
      <c r="H129" s="174"/>
    </row>
    <row r="130" spans="1:8" x14ac:dyDescent="0.4">
      <c r="A130" s="390"/>
      <c r="B130" s="174" t="s">
        <v>2159</v>
      </c>
      <c r="C130" s="174" t="str">
        <f t="shared" si="3"/>
        <v/>
      </c>
      <c r="D130" s="174" t="s">
        <v>2360</v>
      </c>
      <c r="E130" s="208" t="s">
        <v>3357</v>
      </c>
      <c r="F130" s="203"/>
      <c r="G130" s="203"/>
      <c r="H130" s="174"/>
    </row>
    <row r="131" spans="1:8" x14ac:dyDescent="0.4">
      <c r="A131" s="174" t="s">
        <v>3358</v>
      </c>
      <c r="B131" s="174"/>
      <c r="C131" s="174" t="str">
        <f t="shared" si="3"/>
        <v/>
      </c>
      <c r="D131" s="174"/>
      <c r="E131" s="581" t="s">
        <v>3205</v>
      </c>
      <c r="F131" s="581"/>
      <c r="G131" s="581"/>
      <c r="H131" s="581"/>
    </row>
    <row r="132" spans="1:8" ht="201.6" x14ac:dyDescent="0.4">
      <c r="A132" s="174"/>
      <c r="B132" s="174"/>
      <c r="C132" s="174" t="str">
        <f t="shared" si="3"/>
        <v/>
      </c>
      <c r="D132" s="174" t="s">
        <v>3359</v>
      </c>
      <c r="E132" s="208" t="s">
        <v>3360</v>
      </c>
      <c r="F132" s="203"/>
      <c r="G132" s="203"/>
      <c r="H132" s="174"/>
    </row>
    <row r="133" spans="1:8" ht="20.399999999999999" x14ac:dyDescent="0.4">
      <c r="A133" s="174" t="s">
        <v>3361</v>
      </c>
      <c r="B133" s="174"/>
      <c r="C133" s="174" t="str">
        <f t="shared" si="3"/>
        <v/>
      </c>
      <c r="D133" s="174"/>
      <c r="E133" s="580" t="s">
        <v>2965</v>
      </c>
      <c r="F133" s="580"/>
      <c r="G133" s="580"/>
      <c r="H133" s="580"/>
    </row>
    <row r="134" spans="1:8" x14ac:dyDescent="0.4">
      <c r="A134" s="174" t="s">
        <v>3362</v>
      </c>
      <c r="B134" s="174"/>
      <c r="C134" s="174" t="str">
        <f t="shared" si="3"/>
        <v/>
      </c>
      <c r="D134" s="174"/>
      <c r="E134" s="581" t="s">
        <v>3187</v>
      </c>
      <c r="F134" s="581"/>
      <c r="G134" s="581"/>
      <c r="H134" s="581"/>
    </row>
    <row r="135" spans="1:8" x14ac:dyDescent="0.4">
      <c r="A135" s="174"/>
      <c r="B135" s="174"/>
      <c r="C135" s="174" t="str">
        <f t="shared" si="3"/>
        <v/>
      </c>
      <c r="D135" s="174" t="s">
        <v>3363</v>
      </c>
      <c r="E135" s="208" t="s">
        <v>3364</v>
      </c>
      <c r="F135" s="203"/>
      <c r="G135" s="203"/>
      <c r="H135" s="174"/>
    </row>
    <row r="136" spans="1:8" x14ac:dyDescent="0.4">
      <c r="A136" s="174" t="s">
        <v>3365</v>
      </c>
      <c r="B136" s="174"/>
      <c r="C136" s="174" t="str">
        <f t="shared" si="3"/>
        <v/>
      </c>
      <c r="D136" s="174"/>
      <c r="E136" s="581" t="s">
        <v>3195</v>
      </c>
      <c r="F136" s="581"/>
      <c r="G136" s="581"/>
      <c r="H136" s="581"/>
    </row>
    <row r="137" spans="1:8" x14ac:dyDescent="0.4">
      <c r="A137" s="390"/>
      <c r="B137" s="174" t="s">
        <v>2159</v>
      </c>
      <c r="C137" s="174" t="str">
        <f t="shared" si="3"/>
        <v/>
      </c>
      <c r="D137" s="174" t="s">
        <v>2361</v>
      </c>
      <c r="E137" s="208" t="s">
        <v>3366</v>
      </c>
      <c r="F137" s="203"/>
      <c r="G137" s="203"/>
      <c r="H137" s="174"/>
    </row>
    <row r="138" spans="1:8" ht="50.4" x14ac:dyDescent="0.4">
      <c r="A138" s="390"/>
      <c r="B138" s="174" t="s">
        <v>2159</v>
      </c>
      <c r="C138" s="174" t="str">
        <f t="shared" si="3"/>
        <v/>
      </c>
      <c r="D138" s="174" t="s">
        <v>3367</v>
      </c>
      <c r="E138" s="208" t="s">
        <v>3368</v>
      </c>
      <c r="F138" s="203"/>
      <c r="G138" s="203"/>
      <c r="H138" s="174"/>
    </row>
    <row r="139" spans="1:8" ht="33.6" x14ac:dyDescent="0.4">
      <c r="A139" s="390"/>
      <c r="B139" s="174" t="s">
        <v>2159</v>
      </c>
      <c r="C139" s="174" t="str">
        <f t="shared" si="3"/>
        <v/>
      </c>
      <c r="D139" s="174" t="s">
        <v>2362</v>
      </c>
      <c r="E139" s="208" t="s">
        <v>3369</v>
      </c>
      <c r="F139" s="203"/>
      <c r="G139" s="203"/>
      <c r="H139" s="174"/>
    </row>
    <row r="140" spans="1:8" x14ac:dyDescent="0.4">
      <c r="A140" s="174" t="s">
        <v>3370</v>
      </c>
      <c r="B140" s="174"/>
      <c r="C140" s="174" t="str">
        <f t="shared" si="3"/>
        <v/>
      </c>
      <c r="D140" s="174"/>
      <c r="E140" s="581" t="s">
        <v>3205</v>
      </c>
      <c r="F140" s="581"/>
      <c r="G140" s="581"/>
      <c r="H140" s="581"/>
    </row>
    <row r="141" spans="1:8" ht="67.2" x14ac:dyDescent="0.4">
      <c r="A141" s="390"/>
      <c r="B141" s="174"/>
      <c r="C141" s="174" t="str">
        <f t="shared" si="3"/>
        <v/>
      </c>
      <c r="D141" s="174" t="s">
        <v>3371</v>
      </c>
      <c r="E141" s="208" t="s">
        <v>3372</v>
      </c>
      <c r="F141" s="203"/>
      <c r="G141" s="203"/>
      <c r="H141" s="174"/>
    </row>
    <row r="142" spans="1:8" ht="84" x14ac:dyDescent="0.4">
      <c r="A142" s="390"/>
      <c r="B142" s="174"/>
      <c r="C142" s="174" t="str">
        <f t="shared" si="3"/>
        <v/>
      </c>
      <c r="D142" s="174" t="s">
        <v>3373</v>
      </c>
      <c r="E142" s="208" t="s">
        <v>3374</v>
      </c>
      <c r="F142" s="203"/>
      <c r="G142" s="203"/>
      <c r="H142" s="174"/>
    </row>
    <row r="143" spans="1:8" ht="20.399999999999999" x14ac:dyDescent="0.4">
      <c r="A143" s="174" t="s">
        <v>3375</v>
      </c>
      <c r="B143" s="174"/>
      <c r="C143" s="174" t="str">
        <f t="shared" si="3"/>
        <v/>
      </c>
      <c r="D143" s="174"/>
      <c r="E143" s="580" t="s">
        <v>3376</v>
      </c>
      <c r="F143" s="580"/>
      <c r="G143" s="580"/>
      <c r="H143" s="580"/>
    </row>
    <row r="144" spans="1:8" x14ac:dyDescent="0.4">
      <c r="A144" s="174" t="s">
        <v>3377</v>
      </c>
      <c r="B144" s="174"/>
      <c r="C144" s="174" t="str">
        <f t="shared" si="3"/>
        <v/>
      </c>
      <c r="D144" s="174"/>
      <c r="E144" s="581" t="s">
        <v>3187</v>
      </c>
      <c r="F144" s="581"/>
      <c r="G144" s="581"/>
      <c r="H144" s="581"/>
    </row>
    <row r="145" spans="1:8" ht="33.6" x14ac:dyDescent="0.4">
      <c r="A145" s="174"/>
      <c r="B145" s="174"/>
      <c r="C145" s="174" t="str">
        <f t="shared" si="3"/>
        <v/>
      </c>
      <c r="D145" s="174" t="s">
        <v>3378</v>
      </c>
      <c r="E145" s="208" t="s">
        <v>3379</v>
      </c>
      <c r="F145" s="203"/>
      <c r="G145" s="203"/>
      <c r="H145" s="174"/>
    </row>
    <row r="146" spans="1:8" x14ac:dyDescent="0.4">
      <c r="A146" s="174" t="s">
        <v>3380</v>
      </c>
      <c r="B146" s="174"/>
      <c r="C146" s="174" t="str">
        <f t="shared" si="3"/>
        <v/>
      </c>
      <c r="D146" s="174"/>
      <c r="E146" s="581" t="s">
        <v>3195</v>
      </c>
      <c r="F146" s="581"/>
      <c r="G146" s="581"/>
      <c r="H146" s="581"/>
    </row>
    <row r="147" spans="1:8" ht="33.6" x14ac:dyDescent="0.4">
      <c r="A147" s="390"/>
      <c r="B147" s="174" t="s">
        <v>2159</v>
      </c>
      <c r="C147" s="174" t="str">
        <f t="shared" si="3"/>
        <v/>
      </c>
      <c r="D147" s="174" t="s">
        <v>2363</v>
      </c>
      <c r="E147" s="208" t="s">
        <v>3381</v>
      </c>
      <c r="F147" s="203"/>
      <c r="G147" s="203"/>
      <c r="H147" s="174"/>
    </row>
    <row r="148" spans="1:8" ht="33.6" x14ac:dyDescent="0.4">
      <c r="A148" s="390"/>
      <c r="B148" s="174" t="s">
        <v>2159</v>
      </c>
      <c r="C148" s="174" t="str">
        <f t="shared" si="3"/>
        <v/>
      </c>
      <c r="D148" s="174" t="s">
        <v>2364</v>
      </c>
      <c r="E148" s="208" t="s">
        <v>3382</v>
      </c>
      <c r="F148" s="203"/>
      <c r="G148" s="203"/>
      <c r="H148" s="174"/>
    </row>
    <row r="149" spans="1:8" x14ac:dyDescent="0.4">
      <c r="A149" s="390"/>
      <c r="B149" s="390" t="s">
        <v>2159</v>
      </c>
      <c r="C149" s="390">
        <f t="shared" si="3"/>
        <v>1</v>
      </c>
      <c r="D149" s="390" t="s">
        <v>2365</v>
      </c>
      <c r="E149" s="582" t="s">
        <v>3383</v>
      </c>
      <c r="F149" s="203" t="str">
        <f>Практики!C121</f>
        <v>T-CODE-SST-1-2</v>
      </c>
      <c r="G149" s="203" t="str">
        <f>Практики!F121</f>
        <v>Не заполнено</v>
      </c>
      <c r="H149" s="174">
        <f>Практики!Q121</f>
        <v>0</v>
      </c>
    </row>
    <row r="150" spans="1:8" x14ac:dyDescent="0.4">
      <c r="A150" s="390"/>
      <c r="B150" s="390"/>
      <c r="C150" s="390"/>
      <c r="D150" s="390"/>
      <c r="E150" s="582"/>
      <c r="F150" s="203" t="str">
        <f>Практики!C123</f>
        <v>T-CODE-SST-2-2</v>
      </c>
      <c r="G150" s="203" t="str">
        <f>Практики!F123</f>
        <v>Не заполнено</v>
      </c>
      <c r="H150" s="174">
        <f>Практики!Q123</f>
        <v>0</v>
      </c>
    </row>
    <row r="151" spans="1:8" x14ac:dyDescent="0.4">
      <c r="A151" s="390"/>
      <c r="B151" s="390" t="s">
        <v>2159</v>
      </c>
      <c r="C151" s="390">
        <f t="shared" si="3"/>
        <v>1</v>
      </c>
      <c r="D151" s="390" t="s">
        <v>2310</v>
      </c>
      <c r="E151" s="582" t="s">
        <v>3384</v>
      </c>
      <c r="F151" s="203" t="str">
        <f>Практики!C119</f>
        <v>T-CODE-SST-0-1</v>
      </c>
      <c r="G151" s="203" t="str">
        <f>Практики!F119</f>
        <v>Не заполнено</v>
      </c>
      <c r="H151" s="174">
        <f>Практики!Q119</f>
        <v>0</v>
      </c>
    </row>
    <row r="152" spans="1:8" x14ac:dyDescent="0.4">
      <c r="A152" s="390"/>
      <c r="B152" s="390"/>
      <c r="C152" s="390"/>
      <c r="D152" s="390"/>
      <c r="E152" s="582"/>
      <c r="F152" s="203" t="str">
        <f>Практики!C120</f>
        <v>T-CODE-SST-1-1</v>
      </c>
      <c r="G152" s="203" t="str">
        <f>Практики!F120</f>
        <v>Не заполнено</v>
      </c>
      <c r="H152" s="174">
        <f>Практики!Q120</f>
        <v>0</v>
      </c>
    </row>
    <row r="153" spans="1:8" x14ac:dyDescent="0.4">
      <c r="A153" s="390"/>
      <c r="B153" s="390"/>
      <c r="C153" s="390"/>
      <c r="D153" s="390"/>
      <c r="E153" s="582"/>
      <c r="F153" s="203" t="str">
        <f>Практики!C122</f>
        <v>T-CODE-SST-2-1</v>
      </c>
      <c r="G153" s="203" t="str">
        <f>Практики!F122</f>
        <v>Не заполнено</v>
      </c>
      <c r="H153" s="174">
        <f>Практики!Q122</f>
        <v>0</v>
      </c>
    </row>
    <row r="154" spans="1:8" ht="50.4" x14ac:dyDescent="0.4">
      <c r="A154" s="390"/>
      <c r="B154" s="174" t="s">
        <v>2159</v>
      </c>
      <c r="C154" s="174" t="str">
        <f t="shared" si="3"/>
        <v/>
      </c>
      <c r="D154" s="174" t="s">
        <v>3385</v>
      </c>
      <c r="E154" s="208" t="s">
        <v>3386</v>
      </c>
      <c r="F154" s="203"/>
      <c r="G154" s="203"/>
      <c r="H154" s="174"/>
    </row>
    <row r="155" spans="1:8" ht="67.2" x14ac:dyDescent="0.4">
      <c r="A155" s="390"/>
      <c r="B155" s="174" t="s">
        <v>2159</v>
      </c>
      <c r="C155" s="174">
        <f t="shared" si="3"/>
        <v>1</v>
      </c>
      <c r="D155" s="174" t="s">
        <v>3387</v>
      </c>
      <c r="E155" s="208" t="s">
        <v>3388</v>
      </c>
      <c r="F155" s="203" t="str">
        <f>Практики!C350</f>
        <v>P-DEFECT-MNG-0-1</v>
      </c>
      <c r="G155" s="203" t="str">
        <f>Практики!F350</f>
        <v>Не заполнено</v>
      </c>
      <c r="H155" s="174">
        <f>Практики!Q350</f>
        <v>0</v>
      </c>
    </row>
    <row r="156" spans="1:8" x14ac:dyDescent="0.4">
      <c r="A156" s="174" t="s">
        <v>3389</v>
      </c>
      <c r="B156" s="174"/>
      <c r="C156" s="174" t="str">
        <f t="shared" si="3"/>
        <v/>
      </c>
      <c r="D156" s="174"/>
      <c r="E156" s="581" t="s">
        <v>3205</v>
      </c>
      <c r="F156" s="581"/>
      <c r="G156" s="581"/>
      <c r="H156" s="581"/>
    </row>
    <row r="157" spans="1:8" ht="151.19999999999999" x14ac:dyDescent="0.4">
      <c r="A157" s="390"/>
      <c r="B157" s="174"/>
      <c r="C157" s="174" t="str">
        <f t="shared" si="3"/>
        <v/>
      </c>
      <c r="D157" s="174" t="s">
        <v>3390</v>
      </c>
      <c r="E157" s="208" t="s">
        <v>3391</v>
      </c>
      <c r="F157" s="203"/>
      <c r="G157" s="203"/>
      <c r="H157" s="174"/>
    </row>
    <row r="158" spans="1:8" ht="33.6" x14ac:dyDescent="0.4">
      <c r="A158" s="390"/>
      <c r="B158" s="174"/>
      <c r="C158" s="174" t="str">
        <f t="shared" si="3"/>
        <v/>
      </c>
      <c r="D158" s="174" t="s">
        <v>3392</v>
      </c>
      <c r="E158" s="208" t="s">
        <v>3393</v>
      </c>
      <c r="F158" s="203"/>
      <c r="G158" s="203"/>
      <c r="H158" s="174"/>
    </row>
    <row r="159" spans="1:8" ht="50.4" x14ac:dyDescent="0.4">
      <c r="A159" s="390"/>
      <c r="B159" s="174"/>
      <c r="C159" s="174" t="str">
        <f t="shared" si="3"/>
        <v/>
      </c>
      <c r="D159" s="174" t="s">
        <v>3394</v>
      </c>
      <c r="E159" s="208" t="s">
        <v>3395</v>
      </c>
      <c r="F159" s="203"/>
      <c r="G159" s="203"/>
      <c r="H159" s="174"/>
    </row>
    <row r="160" spans="1:8" ht="50.4" x14ac:dyDescent="0.4">
      <c r="A160" s="390"/>
      <c r="B160" s="174"/>
      <c r="C160" s="174" t="str">
        <f t="shared" si="3"/>
        <v/>
      </c>
      <c r="D160" s="174" t="s">
        <v>3396</v>
      </c>
      <c r="E160" s="208" t="s">
        <v>3397</v>
      </c>
      <c r="F160" s="203"/>
      <c r="G160" s="203"/>
      <c r="H160" s="174"/>
    </row>
    <row r="161" spans="1:8" ht="33.6" x14ac:dyDescent="0.4">
      <c r="A161" s="390"/>
      <c r="B161" s="174"/>
      <c r="C161" s="174" t="str">
        <f t="shared" si="3"/>
        <v/>
      </c>
      <c r="D161" s="174" t="s">
        <v>3398</v>
      </c>
      <c r="E161" s="208" t="s">
        <v>3399</v>
      </c>
      <c r="F161" s="203"/>
      <c r="G161" s="203"/>
      <c r="H161" s="174"/>
    </row>
    <row r="162" spans="1:8" ht="20.399999999999999" x14ac:dyDescent="0.4">
      <c r="A162" s="174" t="s">
        <v>3400</v>
      </c>
      <c r="B162" s="174"/>
      <c r="C162" s="174" t="str">
        <f t="shared" si="3"/>
        <v/>
      </c>
      <c r="D162" s="174"/>
      <c r="E162" s="580" t="s">
        <v>2979</v>
      </c>
      <c r="F162" s="580"/>
      <c r="G162" s="580"/>
      <c r="H162" s="580"/>
    </row>
    <row r="163" spans="1:8" x14ac:dyDescent="0.4">
      <c r="A163" s="174" t="s">
        <v>3401</v>
      </c>
      <c r="B163" s="174"/>
      <c r="C163" s="174" t="str">
        <f t="shared" si="3"/>
        <v/>
      </c>
      <c r="D163" s="174"/>
      <c r="E163" s="581" t="s">
        <v>3187</v>
      </c>
      <c r="F163" s="581"/>
      <c r="G163" s="581"/>
      <c r="H163" s="581"/>
    </row>
    <row r="164" spans="1:8" x14ac:dyDescent="0.4">
      <c r="A164" s="174"/>
      <c r="B164" s="174"/>
      <c r="C164" s="174" t="str">
        <f t="shared" si="3"/>
        <v/>
      </c>
      <c r="D164" s="174" t="s">
        <v>3402</v>
      </c>
      <c r="E164" s="208" t="s">
        <v>3403</v>
      </c>
      <c r="F164" s="203"/>
      <c r="G164" s="203"/>
      <c r="H164" s="174"/>
    </row>
    <row r="165" spans="1:8" x14ac:dyDescent="0.4">
      <c r="A165" s="174" t="s">
        <v>3404</v>
      </c>
      <c r="B165" s="174"/>
      <c r="C165" s="174" t="str">
        <f t="shared" si="3"/>
        <v/>
      </c>
      <c r="D165" s="174"/>
      <c r="E165" s="581" t="s">
        <v>3195</v>
      </c>
      <c r="F165" s="581"/>
      <c r="G165" s="581"/>
      <c r="H165" s="581"/>
    </row>
    <row r="166" spans="1:8" ht="33.6" x14ac:dyDescent="0.4">
      <c r="A166" s="390"/>
      <c r="B166" s="174" t="s">
        <v>2159</v>
      </c>
      <c r="C166" s="174" t="str">
        <f t="shared" si="3"/>
        <v/>
      </c>
      <c r="D166" s="174" t="s">
        <v>2366</v>
      </c>
      <c r="E166" s="208" t="s">
        <v>3405</v>
      </c>
      <c r="F166" s="203"/>
      <c r="G166" s="203"/>
      <c r="H166" s="174"/>
    </row>
    <row r="167" spans="1:8" ht="33.6" x14ac:dyDescent="0.4">
      <c r="A167" s="390"/>
      <c r="B167" s="174" t="s">
        <v>2159</v>
      </c>
      <c r="C167" s="174" t="str">
        <f t="shared" si="3"/>
        <v/>
      </c>
      <c r="D167" s="174" t="s">
        <v>2367</v>
      </c>
      <c r="E167" s="208" t="s">
        <v>3406</v>
      </c>
      <c r="F167" s="203"/>
      <c r="G167" s="203"/>
      <c r="H167" s="174"/>
    </row>
    <row r="168" spans="1:8" ht="33.6" x14ac:dyDescent="0.4">
      <c r="A168" s="390"/>
      <c r="B168" s="174" t="s">
        <v>2159</v>
      </c>
      <c r="C168" s="174" t="str">
        <f t="shared" si="3"/>
        <v/>
      </c>
      <c r="D168" s="174" t="s">
        <v>2368</v>
      </c>
      <c r="E168" s="208" t="s">
        <v>3407</v>
      </c>
      <c r="F168" s="203"/>
      <c r="G168" s="203"/>
      <c r="H168" s="174"/>
    </row>
    <row r="169" spans="1:8" ht="50.4" x14ac:dyDescent="0.4">
      <c r="A169" s="390"/>
      <c r="B169" s="174" t="s">
        <v>2159</v>
      </c>
      <c r="C169" s="174" t="str">
        <f t="shared" si="3"/>
        <v/>
      </c>
      <c r="D169" s="174" t="s">
        <v>2369</v>
      </c>
      <c r="E169" s="208" t="s">
        <v>3408</v>
      </c>
      <c r="F169" s="203"/>
      <c r="G169" s="203"/>
      <c r="H169" s="174"/>
    </row>
    <row r="170" spans="1:8" x14ac:dyDescent="0.4">
      <c r="A170" s="390"/>
      <c r="B170" s="390" t="s">
        <v>2159</v>
      </c>
      <c r="C170" s="390">
        <f t="shared" si="3"/>
        <v>1</v>
      </c>
      <c r="D170" s="390" t="s">
        <v>2311</v>
      </c>
      <c r="E170" s="582" t="s">
        <v>3409</v>
      </c>
      <c r="F170" s="203" t="str">
        <f>Практики!C172</f>
        <v>T-PREPROD-DAST-0-1</v>
      </c>
      <c r="G170" s="203" t="str">
        <f>Практики!F172</f>
        <v>Не заполнено</v>
      </c>
      <c r="H170" s="174">
        <f>Практики!Q172</f>
        <v>0</v>
      </c>
    </row>
    <row r="171" spans="1:8" x14ac:dyDescent="0.4">
      <c r="A171" s="390"/>
      <c r="B171" s="390"/>
      <c r="C171" s="390"/>
      <c r="D171" s="390"/>
      <c r="E171" s="582"/>
      <c r="F171" s="203" t="str">
        <f>Практики!C173</f>
        <v>T-PREPROD-DAST-1-1</v>
      </c>
      <c r="G171" s="203" t="str">
        <f>Практики!F173</f>
        <v>Не заполнено</v>
      </c>
      <c r="H171" s="174">
        <f>Практики!Q173</f>
        <v>0</v>
      </c>
    </row>
    <row r="172" spans="1:8" x14ac:dyDescent="0.4">
      <c r="A172" s="390"/>
      <c r="B172" s="390"/>
      <c r="C172" s="390"/>
      <c r="D172" s="390"/>
      <c r="E172" s="582"/>
      <c r="F172" s="203" t="str">
        <f>Практики!C174</f>
        <v>T-PREPROD-DAST-1-2</v>
      </c>
      <c r="G172" s="203" t="str">
        <f>Практики!F174</f>
        <v>Не заполнено</v>
      </c>
      <c r="H172" s="174">
        <f>Практики!Q174</f>
        <v>0</v>
      </c>
    </row>
    <row r="173" spans="1:8" x14ac:dyDescent="0.4">
      <c r="A173" s="390"/>
      <c r="B173" s="390"/>
      <c r="C173" s="390"/>
      <c r="D173" s="390"/>
      <c r="E173" s="582"/>
      <c r="F173" s="203" t="str">
        <f>Практики!C176</f>
        <v>T-PREPROD-DAST-2-2</v>
      </c>
      <c r="G173" s="203" t="str">
        <f>Практики!F176</f>
        <v>Не заполнено</v>
      </c>
      <c r="H173" s="174">
        <f>Практики!Q176</f>
        <v>0</v>
      </c>
    </row>
    <row r="174" spans="1:8" x14ac:dyDescent="0.4">
      <c r="A174" s="390"/>
      <c r="B174" s="390"/>
      <c r="C174" s="390"/>
      <c r="D174" s="390"/>
      <c r="E174" s="582"/>
      <c r="F174" s="203" t="str">
        <f>Практики!C177</f>
        <v>T-PREPROD-DAST-2-3</v>
      </c>
      <c r="G174" s="203" t="str">
        <f>Практики!F177</f>
        <v>Не заполнено</v>
      </c>
      <c r="H174" s="174">
        <f>Практики!Q177</f>
        <v>0</v>
      </c>
    </row>
    <row r="175" spans="1:8" x14ac:dyDescent="0.4">
      <c r="A175" s="390"/>
      <c r="B175" s="390"/>
      <c r="C175" s="390"/>
      <c r="D175" s="390"/>
      <c r="E175" s="582"/>
      <c r="F175" s="203" t="str">
        <f>Практики!C233</f>
        <v>T-PROD-DAST-0-1</v>
      </c>
      <c r="G175" s="203" t="str">
        <f>Практики!F233</f>
        <v>Не заполнено</v>
      </c>
      <c r="H175" s="174">
        <f>Практики!Q233</f>
        <v>0</v>
      </c>
    </row>
    <row r="176" spans="1:8" x14ac:dyDescent="0.4">
      <c r="A176" s="390"/>
      <c r="B176" s="390"/>
      <c r="C176" s="390"/>
      <c r="D176" s="390"/>
      <c r="E176" s="582"/>
      <c r="F176" s="203" t="str">
        <f>Практики!C234</f>
        <v>T-PROD-DAST-1-1</v>
      </c>
      <c r="G176" s="203" t="str">
        <f>Практики!F234</f>
        <v>Не заполнено</v>
      </c>
      <c r="H176" s="174">
        <f>Практики!Q234</f>
        <v>0</v>
      </c>
    </row>
    <row r="177" spans="1:8" x14ac:dyDescent="0.4">
      <c r="A177" s="390"/>
      <c r="B177" s="390"/>
      <c r="C177" s="390"/>
      <c r="D177" s="390"/>
      <c r="E177" s="582"/>
      <c r="F177" s="203" t="str">
        <f>Практики!C235</f>
        <v>T-PROD-DAST-1-2</v>
      </c>
      <c r="G177" s="203" t="str">
        <f>Практики!F235</f>
        <v>Не заполнено</v>
      </c>
      <c r="H177" s="174">
        <f>Практики!Q235</f>
        <v>0</v>
      </c>
    </row>
    <row r="178" spans="1:8" x14ac:dyDescent="0.4">
      <c r="A178" s="390"/>
      <c r="B178" s="390"/>
      <c r="C178" s="390"/>
      <c r="D178" s="390"/>
      <c r="E178" s="582"/>
      <c r="F178" s="203" t="str">
        <f>Практики!C236</f>
        <v>T-PROD-DAST-1-3</v>
      </c>
      <c r="G178" s="203" t="str">
        <f>Практики!F236</f>
        <v>Не заполнено</v>
      </c>
      <c r="H178" s="174">
        <f>Практики!Q236</f>
        <v>0</v>
      </c>
    </row>
    <row r="179" spans="1:8" x14ac:dyDescent="0.4">
      <c r="A179" s="390"/>
      <c r="B179" s="390"/>
      <c r="C179" s="390"/>
      <c r="D179" s="390"/>
      <c r="E179" s="582"/>
      <c r="F179" s="203" t="str">
        <f>Практики!C237</f>
        <v>T-PROD-DAST-2-1</v>
      </c>
      <c r="G179" s="203" t="str">
        <f>Практики!F237</f>
        <v>Не заполнено</v>
      </c>
      <c r="H179" s="174">
        <f>Практики!Q237</f>
        <v>0</v>
      </c>
    </row>
    <row r="180" spans="1:8" x14ac:dyDescent="0.4">
      <c r="A180" s="390"/>
      <c r="B180" s="390"/>
      <c r="C180" s="390"/>
      <c r="D180" s="390"/>
      <c r="E180" s="582"/>
      <c r="F180" s="203" t="str">
        <f>Практики!C238</f>
        <v>T-PROD-DAST-2-2</v>
      </c>
      <c r="G180" s="203" t="str">
        <f>Практики!F238</f>
        <v>Не заполнено</v>
      </c>
      <c r="H180" s="174">
        <f>Практики!Q238</f>
        <v>0</v>
      </c>
    </row>
    <row r="181" spans="1:8" x14ac:dyDescent="0.4">
      <c r="A181" s="390"/>
      <c r="B181" s="390"/>
      <c r="C181" s="390"/>
      <c r="D181" s="390"/>
      <c r="E181" s="582"/>
      <c r="F181" s="203" t="str">
        <f>Практики!C239</f>
        <v>T-PROD-DAST-2-3</v>
      </c>
      <c r="G181" s="203" t="str">
        <f>Практики!F239</f>
        <v>Не заполнено</v>
      </c>
      <c r="H181" s="174">
        <f>Практики!Q239</f>
        <v>0</v>
      </c>
    </row>
    <row r="182" spans="1:8" ht="33.6" x14ac:dyDescent="0.4">
      <c r="A182" s="390"/>
      <c r="B182" s="174" t="s">
        <v>2159</v>
      </c>
      <c r="C182" s="174">
        <f t="shared" ref="C182:C245" si="4">IF(F182&lt;&gt;"",1,"")</f>
        <v>1</v>
      </c>
      <c r="D182" s="174" t="s">
        <v>3410</v>
      </c>
      <c r="E182" s="208" t="s">
        <v>3411</v>
      </c>
      <c r="F182" s="203" t="str">
        <f>Практики!C350</f>
        <v>P-DEFECT-MNG-0-1</v>
      </c>
      <c r="G182" s="203" t="str">
        <f>Практики!F350</f>
        <v>Не заполнено</v>
      </c>
      <c r="H182" s="174">
        <f>Практики!Q350</f>
        <v>0</v>
      </c>
    </row>
    <row r="183" spans="1:8" x14ac:dyDescent="0.4">
      <c r="A183" s="390"/>
      <c r="B183" s="390" t="s">
        <v>2159</v>
      </c>
      <c r="C183" s="390">
        <f t="shared" si="4"/>
        <v>1</v>
      </c>
      <c r="D183" s="390" t="s">
        <v>2312</v>
      </c>
      <c r="E183" s="582" t="s">
        <v>3412</v>
      </c>
      <c r="F183" s="203" t="str">
        <f>Практики!C182</f>
        <v>T-PREPROD-DAST-3-4</v>
      </c>
      <c r="G183" s="203" t="str">
        <f>Практики!F182</f>
        <v>Не заполнено</v>
      </c>
      <c r="H183" s="174">
        <f>Практики!Q182</f>
        <v>0</v>
      </c>
    </row>
    <row r="184" spans="1:8" x14ac:dyDescent="0.4">
      <c r="A184" s="390"/>
      <c r="B184" s="390"/>
      <c r="C184" s="390"/>
      <c r="D184" s="390"/>
      <c r="E184" s="582"/>
      <c r="F184" s="203" t="str">
        <f>Практики!C244</f>
        <v>T-PROD-DAST-3-4</v>
      </c>
      <c r="G184" s="203" t="str">
        <f>Практики!F244</f>
        <v>Не заполнено</v>
      </c>
      <c r="H184" s="174">
        <f>Практики!Q244</f>
        <v>0</v>
      </c>
    </row>
    <row r="185" spans="1:8" ht="84" x14ac:dyDescent="0.4">
      <c r="A185" s="390"/>
      <c r="B185" s="174" t="s">
        <v>2159</v>
      </c>
      <c r="C185" s="174" t="str">
        <f t="shared" si="4"/>
        <v/>
      </c>
      <c r="D185" s="174" t="s">
        <v>2370</v>
      </c>
      <c r="E185" s="208" t="s">
        <v>3413</v>
      </c>
      <c r="F185" s="203"/>
      <c r="G185" s="203"/>
      <c r="H185" s="174"/>
    </row>
    <row r="186" spans="1:8" ht="50.4" x14ac:dyDescent="0.4">
      <c r="A186" s="390"/>
      <c r="B186" s="174" t="s">
        <v>2159</v>
      </c>
      <c r="C186" s="174">
        <f t="shared" si="4"/>
        <v>1</v>
      </c>
      <c r="D186" s="174" t="s">
        <v>3414</v>
      </c>
      <c r="E186" s="208" t="s">
        <v>3415</v>
      </c>
      <c r="F186" s="203" t="str">
        <f>Практики!C350</f>
        <v>P-DEFECT-MNG-0-1</v>
      </c>
      <c r="G186" s="203" t="str">
        <f>Практики!F350</f>
        <v>Не заполнено</v>
      </c>
      <c r="H186" s="174">
        <f>Практики!Q350</f>
        <v>0</v>
      </c>
    </row>
    <row r="187" spans="1:8" x14ac:dyDescent="0.4">
      <c r="A187" s="174" t="s">
        <v>3416</v>
      </c>
      <c r="B187" s="174"/>
      <c r="C187" s="174" t="str">
        <f t="shared" si="4"/>
        <v/>
      </c>
      <c r="D187" s="174"/>
      <c r="E187" s="581" t="s">
        <v>3205</v>
      </c>
      <c r="F187" s="581"/>
      <c r="G187" s="581"/>
      <c r="H187" s="581"/>
    </row>
    <row r="188" spans="1:8" ht="168" x14ac:dyDescent="0.4">
      <c r="A188" s="390"/>
      <c r="B188" s="174"/>
      <c r="C188" s="174" t="str">
        <f t="shared" si="4"/>
        <v/>
      </c>
      <c r="D188" s="174" t="s">
        <v>3417</v>
      </c>
      <c r="E188" s="208" t="s">
        <v>3418</v>
      </c>
      <c r="F188" s="203"/>
      <c r="G188" s="203"/>
      <c r="H188" s="174"/>
    </row>
    <row r="189" spans="1:8" ht="50.4" x14ac:dyDescent="0.4">
      <c r="A189" s="390"/>
      <c r="B189" s="174"/>
      <c r="C189" s="174" t="str">
        <f t="shared" si="4"/>
        <v/>
      </c>
      <c r="D189" s="174" t="s">
        <v>3419</v>
      </c>
      <c r="E189" s="208" t="s">
        <v>3420</v>
      </c>
      <c r="F189" s="203"/>
      <c r="G189" s="203"/>
      <c r="H189" s="174"/>
    </row>
    <row r="190" spans="1:8" ht="67.2" x14ac:dyDescent="0.4">
      <c r="A190" s="390"/>
      <c r="B190" s="174"/>
      <c r="C190" s="174" t="str">
        <f t="shared" si="4"/>
        <v/>
      </c>
      <c r="D190" s="174" t="s">
        <v>3421</v>
      </c>
      <c r="E190" s="208" t="s">
        <v>3422</v>
      </c>
      <c r="F190" s="203"/>
      <c r="G190" s="203"/>
      <c r="H190" s="174"/>
    </row>
    <row r="191" spans="1:8" ht="100.8" x14ac:dyDescent="0.4">
      <c r="A191" s="390"/>
      <c r="B191" s="174"/>
      <c r="C191" s="174" t="str">
        <f t="shared" si="4"/>
        <v/>
      </c>
      <c r="D191" s="174" t="s">
        <v>3423</v>
      </c>
      <c r="E191" s="208" t="s">
        <v>3424</v>
      </c>
      <c r="F191" s="203"/>
      <c r="G191" s="203"/>
      <c r="H191" s="174"/>
    </row>
    <row r="192" spans="1:8" ht="67.2" x14ac:dyDescent="0.4">
      <c r="A192" s="390"/>
      <c r="B192" s="174"/>
      <c r="C192" s="174" t="str">
        <f t="shared" si="4"/>
        <v/>
      </c>
      <c r="D192" s="174" t="s">
        <v>3425</v>
      </c>
      <c r="E192" s="208" t="s">
        <v>3426</v>
      </c>
      <c r="F192" s="203"/>
      <c r="G192" s="203"/>
      <c r="H192" s="174"/>
    </row>
    <row r="193" spans="1:8" ht="67.2" x14ac:dyDescent="0.4">
      <c r="A193" s="390"/>
      <c r="B193" s="174"/>
      <c r="C193" s="174" t="str">
        <f t="shared" si="4"/>
        <v/>
      </c>
      <c r="D193" s="174" t="s">
        <v>3427</v>
      </c>
      <c r="E193" s="208" t="s">
        <v>3428</v>
      </c>
      <c r="F193" s="203"/>
      <c r="G193" s="203"/>
      <c r="H193" s="174"/>
    </row>
    <row r="194" spans="1:8" ht="20.399999999999999" x14ac:dyDescent="0.4">
      <c r="A194" s="174" t="s">
        <v>3429</v>
      </c>
      <c r="B194" s="174"/>
      <c r="C194" s="174" t="str">
        <f t="shared" si="4"/>
        <v/>
      </c>
      <c r="D194" s="174"/>
      <c r="E194" s="580" t="s">
        <v>2990</v>
      </c>
      <c r="F194" s="580"/>
      <c r="G194" s="580"/>
      <c r="H194" s="580"/>
    </row>
    <row r="195" spans="1:8" x14ac:dyDescent="0.4">
      <c r="A195" s="174" t="s">
        <v>3430</v>
      </c>
      <c r="B195" s="174"/>
      <c r="C195" s="174" t="str">
        <f t="shared" si="4"/>
        <v/>
      </c>
      <c r="D195" s="174"/>
      <c r="E195" s="581" t="s">
        <v>3187</v>
      </c>
      <c r="F195" s="581"/>
      <c r="G195" s="581"/>
      <c r="H195" s="581"/>
    </row>
    <row r="196" spans="1:8" x14ac:dyDescent="0.4">
      <c r="A196" s="174"/>
      <c r="B196" s="174"/>
      <c r="C196" s="174" t="str">
        <f t="shared" si="4"/>
        <v/>
      </c>
      <c r="D196" s="174" t="s">
        <v>3431</v>
      </c>
      <c r="E196" s="208" t="s">
        <v>3432</v>
      </c>
      <c r="F196" s="203"/>
      <c r="G196" s="203"/>
      <c r="H196" s="174"/>
    </row>
    <row r="197" spans="1:8" x14ac:dyDescent="0.4">
      <c r="A197" s="174" t="s">
        <v>3433</v>
      </c>
      <c r="B197" s="174"/>
      <c r="C197" s="174" t="str">
        <f t="shared" si="4"/>
        <v/>
      </c>
      <c r="D197" s="174"/>
      <c r="E197" s="581" t="s">
        <v>3195</v>
      </c>
      <c r="F197" s="581"/>
      <c r="G197" s="581"/>
      <c r="H197" s="581"/>
    </row>
    <row r="198" spans="1:8" x14ac:dyDescent="0.4">
      <c r="A198" s="390"/>
      <c r="B198" s="174" t="s">
        <v>2159</v>
      </c>
      <c r="C198" s="174" t="str">
        <f t="shared" si="4"/>
        <v/>
      </c>
      <c r="D198" s="174" t="s">
        <v>2371</v>
      </c>
      <c r="E198" s="208" t="s">
        <v>3434</v>
      </c>
      <c r="F198" s="203"/>
      <c r="G198" s="203"/>
      <c r="H198" s="174"/>
    </row>
    <row r="199" spans="1:8" ht="33.6" x14ac:dyDescent="0.4">
      <c r="A199" s="390"/>
      <c r="B199" s="174" t="s">
        <v>2159</v>
      </c>
      <c r="C199" s="174" t="str">
        <f t="shared" si="4"/>
        <v/>
      </c>
      <c r="D199" s="174" t="s">
        <v>2372</v>
      </c>
      <c r="E199" s="208" t="s">
        <v>3435</v>
      </c>
      <c r="F199" s="203"/>
      <c r="G199" s="203"/>
      <c r="H199" s="174"/>
    </row>
    <row r="200" spans="1:8" ht="33.6" x14ac:dyDescent="0.4">
      <c r="A200" s="390"/>
      <c r="B200" s="174" t="s">
        <v>2159</v>
      </c>
      <c r="C200" s="174">
        <f t="shared" si="4"/>
        <v>1</v>
      </c>
      <c r="D200" s="174" t="s">
        <v>2373</v>
      </c>
      <c r="E200" s="208" t="s">
        <v>3436</v>
      </c>
      <c r="F200" s="203" t="str">
        <f>Практики!C94</f>
        <v>T-DEV-CICD-0-1</v>
      </c>
      <c r="G200" s="203" t="str">
        <f>Практики!F94</f>
        <v>Не заполнено</v>
      </c>
      <c r="H200" s="174">
        <f>Практики!Q94</f>
        <v>0</v>
      </c>
    </row>
    <row r="201" spans="1:8" x14ac:dyDescent="0.4">
      <c r="A201" s="174" t="s">
        <v>3437</v>
      </c>
      <c r="B201" s="174"/>
      <c r="C201" s="174" t="str">
        <f t="shared" si="4"/>
        <v/>
      </c>
      <c r="D201" s="174"/>
      <c r="E201" s="581" t="s">
        <v>3205</v>
      </c>
      <c r="F201" s="581"/>
      <c r="G201" s="581"/>
      <c r="H201" s="581"/>
    </row>
    <row r="202" spans="1:8" ht="84" x14ac:dyDescent="0.4">
      <c r="A202" s="390"/>
      <c r="B202" s="174"/>
      <c r="C202" s="174" t="str">
        <f t="shared" si="4"/>
        <v/>
      </c>
      <c r="D202" s="174" t="s">
        <v>3438</v>
      </c>
      <c r="E202" s="208" t="s">
        <v>3439</v>
      </c>
      <c r="F202" s="203"/>
      <c r="G202" s="203"/>
      <c r="H202" s="174"/>
    </row>
    <row r="203" spans="1:8" ht="50.4" x14ac:dyDescent="0.4">
      <c r="A203" s="390"/>
      <c r="B203" s="174"/>
      <c r="C203" s="174" t="str">
        <f t="shared" si="4"/>
        <v/>
      </c>
      <c r="D203" s="174" t="s">
        <v>3440</v>
      </c>
      <c r="E203" s="208" t="s">
        <v>3441</v>
      </c>
      <c r="F203" s="203"/>
      <c r="G203" s="203"/>
      <c r="H203" s="174"/>
    </row>
    <row r="204" spans="1:8" ht="50.4" x14ac:dyDescent="0.4">
      <c r="A204" s="390"/>
      <c r="B204" s="174"/>
      <c r="C204" s="174" t="str">
        <f t="shared" si="4"/>
        <v/>
      </c>
      <c r="D204" s="174" t="s">
        <v>3442</v>
      </c>
      <c r="E204" s="208" t="s">
        <v>3443</v>
      </c>
      <c r="F204" s="203"/>
      <c r="G204" s="203"/>
      <c r="H204" s="174"/>
    </row>
    <row r="205" spans="1:8" ht="20.399999999999999" x14ac:dyDescent="0.4">
      <c r="A205" s="174" t="s">
        <v>3444</v>
      </c>
      <c r="B205" s="174"/>
      <c r="C205" s="174" t="str">
        <f t="shared" si="4"/>
        <v/>
      </c>
      <c r="D205" s="174"/>
      <c r="E205" s="580" t="s">
        <v>2996</v>
      </c>
      <c r="F205" s="580"/>
      <c r="G205" s="580"/>
      <c r="H205" s="580"/>
    </row>
    <row r="206" spans="1:8" x14ac:dyDescent="0.4">
      <c r="A206" s="174" t="s">
        <v>3445</v>
      </c>
      <c r="B206" s="174"/>
      <c r="C206" s="174" t="str">
        <f t="shared" si="4"/>
        <v/>
      </c>
      <c r="D206" s="174"/>
      <c r="E206" s="581" t="s">
        <v>3187</v>
      </c>
      <c r="F206" s="581"/>
      <c r="G206" s="581"/>
      <c r="H206" s="581"/>
    </row>
    <row r="207" spans="1:8" ht="33.6" x14ac:dyDescent="0.4">
      <c r="A207" s="174"/>
      <c r="B207" s="174"/>
      <c r="C207" s="174" t="str">
        <f t="shared" si="4"/>
        <v/>
      </c>
      <c r="D207" s="174" t="s">
        <v>3446</v>
      </c>
      <c r="E207" s="208" t="s">
        <v>3447</v>
      </c>
      <c r="F207" s="203"/>
      <c r="G207" s="203"/>
      <c r="H207" s="174"/>
    </row>
    <row r="208" spans="1:8" x14ac:dyDescent="0.4">
      <c r="A208" s="174" t="s">
        <v>2880</v>
      </c>
      <c r="B208" s="174"/>
      <c r="C208" s="174">
        <f t="shared" si="4"/>
        <v>1</v>
      </c>
      <c r="D208" s="174"/>
      <c r="E208" s="210" t="s">
        <v>3195</v>
      </c>
      <c r="F208" s="203" t="str">
        <f>Практики!C44</f>
        <v>T-DEV-BLD-0-1</v>
      </c>
      <c r="G208" s="203" t="str">
        <f>Практики!F44</f>
        <v>Не заполнено</v>
      </c>
      <c r="H208" s="174">
        <f>Практики!Q44</f>
        <v>0</v>
      </c>
    </row>
    <row r="209" spans="1:8" x14ac:dyDescent="0.4">
      <c r="A209" s="390"/>
      <c r="B209" s="174" t="s">
        <v>2159</v>
      </c>
      <c r="C209" s="174" t="str">
        <f t="shared" si="4"/>
        <v/>
      </c>
      <c r="D209" s="174" t="s">
        <v>2374</v>
      </c>
      <c r="E209" s="208" t="s">
        <v>3448</v>
      </c>
      <c r="F209" s="203"/>
      <c r="G209" s="203"/>
      <c r="H209" s="174"/>
    </row>
    <row r="210" spans="1:8" x14ac:dyDescent="0.4">
      <c r="A210" s="390"/>
      <c r="B210" s="390" t="s">
        <v>2159</v>
      </c>
      <c r="C210" s="390">
        <f t="shared" si="4"/>
        <v>1</v>
      </c>
      <c r="D210" s="390" t="s">
        <v>2313</v>
      </c>
      <c r="E210" s="582" t="s">
        <v>3449</v>
      </c>
      <c r="F210" s="203" t="str">
        <f>Практики!C18</f>
        <v>T-ADI-ART-1-2</v>
      </c>
      <c r="G210" s="203" t="str">
        <f>Практики!F18</f>
        <v>Не заполнено</v>
      </c>
      <c r="H210" s="174">
        <f>Практики!Q18</f>
        <v>0</v>
      </c>
    </row>
    <row r="211" spans="1:8" x14ac:dyDescent="0.4">
      <c r="A211" s="390"/>
      <c r="B211" s="390"/>
      <c r="C211" s="390"/>
      <c r="D211" s="390"/>
      <c r="E211" s="582"/>
      <c r="F211" s="203" t="str">
        <f>Практики!C100</f>
        <v>T-DEV-CICD-2-1</v>
      </c>
      <c r="G211" s="203" t="str">
        <f>Практики!F100</f>
        <v>Не заполнено</v>
      </c>
      <c r="H211" s="174">
        <f>Практики!Q100</f>
        <v>0</v>
      </c>
    </row>
    <row r="212" spans="1:8" x14ac:dyDescent="0.4">
      <c r="A212" s="390"/>
      <c r="B212" s="174" t="s">
        <v>2159</v>
      </c>
      <c r="C212" s="174" t="str">
        <f t="shared" si="4"/>
        <v/>
      </c>
      <c r="D212" s="174" t="s">
        <v>2375</v>
      </c>
      <c r="E212" s="208" t="s">
        <v>3450</v>
      </c>
      <c r="F212" s="203"/>
      <c r="G212" s="203"/>
      <c r="H212" s="174"/>
    </row>
    <row r="213" spans="1:8" x14ac:dyDescent="0.4">
      <c r="A213" s="390"/>
      <c r="B213" s="390" t="s">
        <v>2159</v>
      </c>
      <c r="C213" s="390">
        <f t="shared" si="4"/>
        <v>1</v>
      </c>
      <c r="D213" s="390" t="s">
        <v>2315</v>
      </c>
      <c r="E213" s="582" t="s">
        <v>3451</v>
      </c>
      <c r="F213" s="203" t="str">
        <f>Практики!C48</f>
        <v>T-DEV-BLD-1-4</v>
      </c>
      <c r="G213" s="203" t="str">
        <f>Практики!F48</f>
        <v>Не заполнено</v>
      </c>
      <c r="H213" s="174">
        <f>Практики!Q48</f>
        <v>0</v>
      </c>
    </row>
    <row r="214" spans="1:8" x14ac:dyDescent="0.4">
      <c r="A214" s="390"/>
      <c r="B214" s="390"/>
      <c r="C214" s="390"/>
      <c r="D214" s="390"/>
      <c r="E214" s="582"/>
      <c r="F214" s="203" t="str">
        <f>Практики!C96</f>
        <v>T-DEV-CICD-1-2</v>
      </c>
      <c r="G214" s="203" t="str">
        <f>Практики!F96</f>
        <v>Не заполнено</v>
      </c>
      <c r="H214" s="174">
        <f>Практики!Q96</f>
        <v>0</v>
      </c>
    </row>
    <row r="215" spans="1:8" x14ac:dyDescent="0.4">
      <c r="A215" s="390"/>
      <c r="B215" s="390"/>
      <c r="C215" s="390"/>
      <c r="D215" s="390"/>
      <c r="E215" s="582"/>
      <c r="F215" s="203" t="str">
        <f>Практики!C102</f>
        <v>T-DEV-CICD-3-1</v>
      </c>
      <c r="G215" s="203" t="str">
        <f>Практики!F102</f>
        <v>Не заполнено</v>
      </c>
      <c r="H215" s="174">
        <f>Практики!Q102</f>
        <v>0</v>
      </c>
    </row>
    <row r="216" spans="1:8" ht="33.6" x14ac:dyDescent="0.4">
      <c r="A216" s="390"/>
      <c r="B216" s="174" t="s">
        <v>2159</v>
      </c>
      <c r="C216" s="174">
        <f t="shared" si="4"/>
        <v>1</v>
      </c>
      <c r="D216" s="174" t="s">
        <v>2314</v>
      </c>
      <c r="E216" s="208" t="s">
        <v>3452</v>
      </c>
      <c r="F216" s="203" t="str">
        <f>Практики!C17</f>
        <v>T-ADI-ART-1-1</v>
      </c>
      <c r="G216" s="203" t="str">
        <f>Практики!F17</f>
        <v>Не заполнено</v>
      </c>
      <c r="H216" s="174">
        <f>Практики!Q17</f>
        <v>0</v>
      </c>
    </row>
    <row r="217" spans="1:8" x14ac:dyDescent="0.4">
      <c r="A217" s="390"/>
      <c r="B217" s="174" t="s">
        <v>2159</v>
      </c>
      <c r="C217" s="174">
        <f t="shared" si="4"/>
        <v>1</v>
      </c>
      <c r="D217" s="174" t="s">
        <v>2376</v>
      </c>
      <c r="E217" s="208" t="s">
        <v>3453</v>
      </c>
      <c r="F217" s="203" t="str">
        <f>Практики!C97</f>
        <v>T-DEV-CICD-1-3</v>
      </c>
      <c r="G217" s="203" t="str">
        <f>Практики!F97</f>
        <v>Не заполнено</v>
      </c>
      <c r="H217" s="174">
        <f>Практики!Q97</f>
        <v>0</v>
      </c>
    </row>
    <row r="218" spans="1:8" x14ac:dyDescent="0.4">
      <c r="A218" s="390"/>
      <c r="B218" s="390" t="s">
        <v>2159</v>
      </c>
      <c r="C218" s="390">
        <f t="shared" si="4"/>
        <v>1</v>
      </c>
      <c r="D218" s="390" t="s">
        <v>2316</v>
      </c>
      <c r="E218" s="582" t="s">
        <v>3454</v>
      </c>
      <c r="F218" s="203" t="str">
        <f>Практики!C45</f>
        <v>T-DEV-BLD-1-1</v>
      </c>
      <c r="G218" s="203" t="str">
        <f>Практики!F45</f>
        <v>Не заполнено</v>
      </c>
      <c r="H218" s="174">
        <f>Практики!Q45</f>
        <v>0</v>
      </c>
    </row>
    <row r="219" spans="1:8" x14ac:dyDescent="0.4">
      <c r="A219" s="390"/>
      <c r="B219" s="390"/>
      <c r="C219" s="390"/>
      <c r="D219" s="390"/>
      <c r="E219" s="582"/>
      <c r="F219" s="203" t="str">
        <f>Практики!C95</f>
        <v>T-DEV-CICD-1-1</v>
      </c>
      <c r="G219" s="203" t="str">
        <f>Практики!F95</f>
        <v>Не заполнено</v>
      </c>
      <c r="H219" s="174">
        <f>Практики!Q95</f>
        <v>0</v>
      </c>
    </row>
    <row r="220" spans="1:8" ht="33.6" x14ac:dyDescent="0.4">
      <c r="A220" s="390"/>
      <c r="B220" s="174" t="s">
        <v>2159</v>
      </c>
      <c r="C220" s="174">
        <f t="shared" si="4"/>
        <v>1</v>
      </c>
      <c r="D220" s="174" t="s">
        <v>2317</v>
      </c>
      <c r="E220" s="208" t="s">
        <v>3455</v>
      </c>
      <c r="F220" s="203" t="str">
        <f>Практики!C47</f>
        <v>T-DEV-BLD-1-3</v>
      </c>
      <c r="G220" s="203" t="str">
        <f>Практики!F47</f>
        <v>Не заполнено</v>
      </c>
      <c r="H220" s="174">
        <f>Практики!Q47</f>
        <v>0</v>
      </c>
    </row>
    <row r="221" spans="1:8" x14ac:dyDescent="0.4">
      <c r="A221" s="174" t="s">
        <v>3456</v>
      </c>
      <c r="B221" s="174"/>
      <c r="C221" s="174" t="str">
        <f t="shared" si="4"/>
        <v/>
      </c>
      <c r="D221" s="174"/>
      <c r="E221" s="581" t="s">
        <v>3205</v>
      </c>
      <c r="F221" s="581"/>
      <c r="G221" s="581"/>
      <c r="H221" s="581"/>
    </row>
    <row r="222" spans="1:8" ht="84" x14ac:dyDescent="0.4">
      <c r="A222" s="390"/>
      <c r="B222" s="174"/>
      <c r="C222" s="174" t="str">
        <f t="shared" si="4"/>
        <v/>
      </c>
      <c r="D222" s="174" t="s">
        <v>3457</v>
      </c>
      <c r="E222" s="208" t="s">
        <v>3458</v>
      </c>
      <c r="F222" s="203"/>
      <c r="G222" s="203"/>
      <c r="H222" s="174"/>
    </row>
    <row r="223" spans="1:8" ht="67.2" x14ac:dyDescent="0.4">
      <c r="A223" s="390"/>
      <c r="B223" s="174"/>
      <c r="C223" s="174" t="str">
        <f t="shared" si="4"/>
        <v/>
      </c>
      <c r="D223" s="174" t="s">
        <v>3459</v>
      </c>
      <c r="E223" s="208" t="s">
        <v>3460</v>
      </c>
      <c r="F223" s="203"/>
      <c r="G223" s="203"/>
      <c r="H223" s="174"/>
    </row>
    <row r="224" spans="1:8" ht="84" x14ac:dyDescent="0.4">
      <c r="A224" s="390"/>
      <c r="B224" s="174"/>
      <c r="C224" s="174" t="str">
        <f t="shared" si="4"/>
        <v/>
      </c>
      <c r="D224" s="174" t="s">
        <v>3461</v>
      </c>
      <c r="E224" s="208" t="s">
        <v>3462</v>
      </c>
      <c r="F224" s="203"/>
      <c r="G224" s="203"/>
      <c r="H224" s="174"/>
    </row>
    <row r="225" spans="1:8" ht="100.8" x14ac:dyDescent="0.4">
      <c r="A225" s="390"/>
      <c r="B225" s="174"/>
      <c r="C225" s="174" t="str">
        <f t="shared" si="4"/>
        <v/>
      </c>
      <c r="D225" s="174" t="s">
        <v>3463</v>
      </c>
      <c r="E225" s="208" t="s">
        <v>3464</v>
      </c>
      <c r="F225" s="203"/>
      <c r="G225" s="203"/>
      <c r="H225" s="174"/>
    </row>
    <row r="226" spans="1:8" ht="67.2" x14ac:dyDescent="0.4">
      <c r="A226" s="390"/>
      <c r="B226" s="174"/>
      <c r="C226" s="174" t="str">
        <f t="shared" si="4"/>
        <v/>
      </c>
      <c r="D226" s="174" t="s">
        <v>3465</v>
      </c>
      <c r="E226" s="208" t="s">
        <v>3466</v>
      </c>
      <c r="F226" s="203"/>
      <c r="G226" s="203"/>
      <c r="H226" s="174"/>
    </row>
    <row r="227" spans="1:8" ht="50.4" x14ac:dyDescent="0.4">
      <c r="A227" s="390"/>
      <c r="B227" s="174"/>
      <c r="C227" s="174" t="str">
        <f t="shared" si="4"/>
        <v/>
      </c>
      <c r="D227" s="174" t="s">
        <v>3467</v>
      </c>
      <c r="E227" s="208" t="s">
        <v>3468</v>
      </c>
      <c r="F227" s="203"/>
      <c r="G227" s="203"/>
      <c r="H227" s="174"/>
    </row>
    <row r="228" spans="1:8" ht="20.399999999999999" x14ac:dyDescent="0.4">
      <c r="A228" s="174" t="s">
        <v>3469</v>
      </c>
      <c r="B228" s="174"/>
      <c r="C228" s="174" t="str">
        <f t="shared" si="4"/>
        <v/>
      </c>
      <c r="D228" s="174"/>
      <c r="E228" s="580" t="s">
        <v>3005</v>
      </c>
      <c r="F228" s="580"/>
      <c r="G228" s="580"/>
      <c r="H228" s="580"/>
    </row>
    <row r="229" spans="1:8" x14ac:dyDescent="0.4">
      <c r="A229" s="174" t="s">
        <v>3470</v>
      </c>
      <c r="B229" s="174"/>
      <c r="C229" s="174" t="str">
        <f t="shared" si="4"/>
        <v/>
      </c>
      <c r="D229" s="174"/>
      <c r="E229" s="581" t="s">
        <v>3187</v>
      </c>
      <c r="F229" s="581"/>
      <c r="G229" s="581"/>
      <c r="H229" s="581"/>
    </row>
    <row r="230" spans="1:8" x14ac:dyDescent="0.4">
      <c r="A230" s="174"/>
      <c r="B230" s="174"/>
      <c r="C230" s="174" t="str">
        <f t="shared" si="4"/>
        <v/>
      </c>
      <c r="D230" s="174" t="s">
        <v>3471</v>
      </c>
      <c r="E230" s="208" t="s">
        <v>3472</v>
      </c>
      <c r="F230" s="203"/>
      <c r="G230" s="203"/>
      <c r="H230" s="174"/>
    </row>
    <row r="231" spans="1:8" x14ac:dyDescent="0.4">
      <c r="A231" s="174" t="s">
        <v>3473</v>
      </c>
      <c r="B231" s="174"/>
      <c r="C231" s="174" t="str">
        <f t="shared" si="4"/>
        <v/>
      </c>
      <c r="D231" s="174"/>
      <c r="E231" s="581" t="s">
        <v>3195</v>
      </c>
      <c r="F231" s="581"/>
      <c r="G231" s="581"/>
      <c r="H231" s="581"/>
    </row>
    <row r="232" spans="1:8" ht="33.6" x14ac:dyDescent="0.4">
      <c r="A232" s="390"/>
      <c r="B232" s="174" t="s">
        <v>2159</v>
      </c>
      <c r="C232" s="174" t="str">
        <f t="shared" si="4"/>
        <v/>
      </c>
      <c r="D232" s="174" t="s">
        <v>2377</v>
      </c>
      <c r="E232" s="208" t="s">
        <v>3474</v>
      </c>
      <c r="F232" s="203"/>
      <c r="G232" s="203"/>
      <c r="H232" s="174"/>
    </row>
    <row r="233" spans="1:8" x14ac:dyDescent="0.4">
      <c r="A233" s="390"/>
      <c r="B233" s="390" t="s">
        <v>2159</v>
      </c>
      <c r="C233" s="390">
        <f t="shared" si="4"/>
        <v>1</v>
      </c>
      <c r="D233" s="390" t="s">
        <v>2318</v>
      </c>
      <c r="E233" s="582" t="s">
        <v>3475</v>
      </c>
      <c r="F233" s="203" t="str">
        <f>Практики!C55</f>
        <v>T-DEV-SCM-1-1</v>
      </c>
      <c r="G233" s="203" t="str">
        <f>Практики!F55</f>
        <v>Не заполнено</v>
      </c>
      <c r="H233" s="174">
        <f>Практики!Q55</f>
        <v>0</v>
      </c>
    </row>
    <row r="234" spans="1:8" x14ac:dyDescent="0.4">
      <c r="A234" s="390"/>
      <c r="B234" s="390"/>
      <c r="C234" s="390"/>
      <c r="D234" s="390"/>
      <c r="E234" s="582"/>
      <c r="F234" s="203" t="str">
        <f>Практики!C57</f>
        <v>T-DEV-SCM-1-3</v>
      </c>
      <c r="G234" s="203" t="str">
        <f>Практики!F57</f>
        <v>Не заполнено</v>
      </c>
      <c r="H234" s="174">
        <f>Практики!Q57</f>
        <v>0</v>
      </c>
    </row>
    <row r="235" spans="1:8" x14ac:dyDescent="0.4">
      <c r="A235" s="390"/>
      <c r="B235" s="390"/>
      <c r="C235" s="390"/>
      <c r="D235" s="390"/>
      <c r="E235" s="582"/>
      <c r="F235" s="203" t="str">
        <f>Практики!C59</f>
        <v>T-DEV-SCM-1-5</v>
      </c>
      <c r="G235" s="203" t="str">
        <f>Практики!F59</f>
        <v>Не заполнено</v>
      </c>
      <c r="H235" s="174">
        <f>Практики!Q59</f>
        <v>0</v>
      </c>
    </row>
    <row r="236" spans="1:8" x14ac:dyDescent="0.4">
      <c r="A236" s="390"/>
      <c r="B236" s="390"/>
      <c r="C236" s="390"/>
      <c r="D236" s="390"/>
      <c r="E236" s="582"/>
      <c r="F236" s="203" t="str">
        <f>Практики!C60</f>
        <v>T-DEV-SCM-1-6</v>
      </c>
      <c r="G236" s="203" t="str">
        <f>Практики!F60</f>
        <v>Не заполнено</v>
      </c>
      <c r="H236" s="174">
        <f>Практики!Q60</f>
        <v>0</v>
      </c>
    </row>
    <row r="237" spans="1:8" ht="33.6" x14ac:dyDescent="0.4">
      <c r="A237" s="390"/>
      <c r="B237" s="174" t="s">
        <v>2159</v>
      </c>
      <c r="C237" s="174">
        <f t="shared" si="4"/>
        <v>1</v>
      </c>
      <c r="D237" s="174" t="s">
        <v>2319</v>
      </c>
      <c r="E237" s="208" t="s">
        <v>3476</v>
      </c>
      <c r="F237" s="203" t="str">
        <f>Практики!C89</f>
        <v>T-DEV-SRC-3-3</v>
      </c>
      <c r="G237" s="203" t="str">
        <f>Практики!F89</f>
        <v>Не заполнено</v>
      </c>
      <c r="H237" s="174">
        <f>Практики!Q89</f>
        <v>0</v>
      </c>
    </row>
    <row r="238" spans="1:8" x14ac:dyDescent="0.4">
      <c r="A238" s="174" t="s">
        <v>3477</v>
      </c>
      <c r="B238" s="174"/>
      <c r="C238" s="174" t="str">
        <f t="shared" si="4"/>
        <v/>
      </c>
      <c r="D238" s="174"/>
      <c r="E238" s="581" t="s">
        <v>3205</v>
      </c>
      <c r="F238" s="581"/>
      <c r="G238" s="581"/>
      <c r="H238" s="581"/>
    </row>
    <row r="239" spans="1:8" ht="117.6" x14ac:dyDescent="0.4">
      <c r="A239" s="390"/>
      <c r="B239" s="174"/>
      <c r="C239" s="174" t="str">
        <f t="shared" si="4"/>
        <v/>
      </c>
      <c r="D239" s="174" t="s">
        <v>3478</v>
      </c>
      <c r="E239" s="208" t="s">
        <v>3479</v>
      </c>
      <c r="F239" s="203"/>
      <c r="G239" s="203"/>
      <c r="H239" s="174"/>
    </row>
    <row r="240" spans="1:8" ht="50.4" x14ac:dyDescent="0.4">
      <c r="A240" s="390"/>
      <c r="B240" s="174"/>
      <c r="C240" s="174" t="str">
        <f t="shared" si="4"/>
        <v/>
      </c>
      <c r="D240" s="174" t="s">
        <v>3480</v>
      </c>
      <c r="E240" s="208" t="s">
        <v>3481</v>
      </c>
      <c r="F240" s="203"/>
      <c r="G240" s="203"/>
      <c r="H240" s="174"/>
    </row>
    <row r="241" spans="1:8" ht="33.6" x14ac:dyDescent="0.4">
      <c r="A241" s="390"/>
      <c r="B241" s="174"/>
      <c r="C241" s="174" t="str">
        <f t="shared" si="4"/>
        <v/>
      </c>
      <c r="D241" s="174" t="s">
        <v>3482</v>
      </c>
      <c r="E241" s="208" t="s">
        <v>3483</v>
      </c>
      <c r="F241" s="203"/>
      <c r="G241" s="203"/>
      <c r="H241" s="174"/>
    </row>
    <row r="242" spans="1:8" ht="20.399999999999999" x14ac:dyDescent="0.4">
      <c r="A242" s="174" t="s">
        <v>3484</v>
      </c>
      <c r="B242" s="174"/>
      <c r="C242" s="174" t="str">
        <f t="shared" si="4"/>
        <v/>
      </c>
      <c r="D242" s="174"/>
      <c r="E242" s="580" t="s">
        <v>3016</v>
      </c>
      <c r="F242" s="580"/>
      <c r="G242" s="580"/>
      <c r="H242" s="580"/>
    </row>
    <row r="243" spans="1:8" x14ac:dyDescent="0.4">
      <c r="A243" s="390"/>
      <c r="B243" s="174"/>
      <c r="C243" s="174" t="str">
        <f t="shared" si="4"/>
        <v/>
      </c>
      <c r="D243" s="174" t="s">
        <v>3485</v>
      </c>
      <c r="E243" s="208" t="s">
        <v>3187</v>
      </c>
      <c r="F243" s="203"/>
      <c r="G243" s="203"/>
      <c r="H243" s="174"/>
    </row>
    <row r="244" spans="1:8" x14ac:dyDescent="0.4">
      <c r="A244" s="390"/>
      <c r="B244" s="174"/>
      <c r="C244" s="174" t="str">
        <f t="shared" si="4"/>
        <v/>
      </c>
      <c r="D244" s="174" t="s">
        <v>3486</v>
      </c>
      <c r="E244" s="208" t="s">
        <v>3487</v>
      </c>
      <c r="F244" s="203"/>
      <c r="G244" s="203"/>
      <c r="H244" s="174"/>
    </row>
    <row r="245" spans="1:8" x14ac:dyDescent="0.4">
      <c r="A245" s="174" t="s">
        <v>3488</v>
      </c>
      <c r="B245" s="174"/>
      <c r="C245" s="174" t="str">
        <f t="shared" si="4"/>
        <v/>
      </c>
      <c r="D245" s="174"/>
      <c r="E245" s="581" t="s">
        <v>3195</v>
      </c>
      <c r="F245" s="581"/>
      <c r="G245" s="581"/>
      <c r="H245" s="581"/>
    </row>
    <row r="246" spans="1:8" x14ac:dyDescent="0.4">
      <c r="A246" s="390"/>
      <c r="B246" s="390" t="s">
        <v>2159</v>
      </c>
      <c r="C246" s="390">
        <f t="shared" ref="C246:C309" si="5">IF(F246&lt;&gt;"",1,"")</f>
        <v>1</v>
      </c>
      <c r="D246" s="390" t="s">
        <v>2323</v>
      </c>
      <c r="E246" s="582" t="s">
        <v>3489</v>
      </c>
      <c r="F246" s="203" t="str">
        <f>Практики!C42</f>
        <v>T-DEV-SM-3-2</v>
      </c>
      <c r="G246" s="203" t="str">
        <f>Практики!F42</f>
        <v>Не заполнено</v>
      </c>
      <c r="H246" s="174">
        <f>Практики!Q42</f>
        <v>0</v>
      </c>
    </row>
    <row r="247" spans="1:8" x14ac:dyDescent="0.4">
      <c r="A247" s="390"/>
      <c r="B247" s="390"/>
      <c r="C247" s="390"/>
      <c r="D247" s="390"/>
      <c r="E247" s="582"/>
      <c r="F247" s="203" t="str">
        <f>Практики!C158</f>
        <v>T-CODE-SECDN-1-4</v>
      </c>
      <c r="G247" s="203" t="str">
        <f>Практики!F158</f>
        <v>Не заполнено</v>
      </c>
      <c r="H247" s="174">
        <f>Практики!Q158</f>
        <v>0</v>
      </c>
    </row>
    <row r="248" spans="1:8" x14ac:dyDescent="0.4">
      <c r="A248" s="390"/>
      <c r="B248" s="390"/>
      <c r="C248" s="390"/>
      <c r="D248" s="390"/>
      <c r="E248" s="582"/>
      <c r="F248" s="203" t="str">
        <f>Практики!C221</f>
        <v>T-PROD-SM-3-3</v>
      </c>
      <c r="G248" s="203" t="str">
        <f>Практики!F221</f>
        <v>Не заполнено</v>
      </c>
      <c r="H248" s="174">
        <f>Практики!Q221</f>
        <v>0</v>
      </c>
    </row>
    <row r="249" spans="1:8" x14ac:dyDescent="0.4">
      <c r="A249" s="390"/>
      <c r="B249" s="390" t="s">
        <v>2159</v>
      </c>
      <c r="C249" s="390">
        <f t="shared" si="5"/>
        <v>1</v>
      </c>
      <c r="D249" s="390" t="s">
        <v>2321</v>
      </c>
      <c r="E249" s="582" t="s">
        <v>3490</v>
      </c>
      <c r="F249" s="203" t="str">
        <f>Практики!C36</f>
        <v>T-DEV-SM-0-1</v>
      </c>
      <c r="G249" s="203" t="str">
        <f>Практики!F36</f>
        <v>Не заполнено</v>
      </c>
      <c r="H249" s="174">
        <f>Практики!Q36</f>
        <v>0</v>
      </c>
    </row>
    <row r="250" spans="1:8" x14ac:dyDescent="0.4">
      <c r="A250" s="390"/>
      <c r="B250" s="390"/>
      <c r="C250" s="390"/>
      <c r="D250" s="390"/>
      <c r="E250" s="582"/>
      <c r="F250" s="203" t="str">
        <f>Практики!C214</f>
        <v>T-PROD-SM-0-1</v>
      </c>
      <c r="G250" s="203" t="str">
        <f>Практики!F214</f>
        <v>Не заполнено</v>
      </c>
      <c r="H250" s="174">
        <f>Практики!Q214</f>
        <v>0</v>
      </c>
    </row>
    <row r="251" spans="1:8" x14ac:dyDescent="0.4">
      <c r="A251" s="390"/>
      <c r="B251" s="390" t="s">
        <v>2159</v>
      </c>
      <c r="C251" s="390">
        <f t="shared" si="5"/>
        <v>1</v>
      </c>
      <c r="D251" s="390" t="s">
        <v>2324</v>
      </c>
      <c r="E251" s="582" t="s">
        <v>3491</v>
      </c>
      <c r="F251" s="203" t="str">
        <f>Практики!C154</f>
        <v>T-CODE-SECDN-0-1</v>
      </c>
      <c r="G251" s="203" t="str">
        <f>Практики!F154</f>
        <v>Не заполнено</v>
      </c>
      <c r="H251" s="174">
        <f>Практики!Q154</f>
        <v>0</v>
      </c>
    </row>
    <row r="252" spans="1:8" x14ac:dyDescent="0.4">
      <c r="A252" s="390"/>
      <c r="B252" s="390"/>
      <c r="C252" s="390"/>
      <c r="D252" s="390"/>
      <c r="E252" s="582"/>
      <c r="F252" s="203" t="str">
        <f>Практики!C155</f>
        <v>T-CODE-SECDN-1-1</v>
      </c>
      <c r="G252" s="203" t="str">
        <f>Практики!F155</f>
        <v>Не заполнено</v>
      </c>
      <c r="H252" s="174">
        <f>Практики!Q155</f>
        <v>0</v>
      </c>
    </row>
    <row r="253" spans="1:8" x14ac:dyDescent="0.4">
      <c r="A253" s="390"/>
      <c r="B253" s="390" t="s">
        <v>2159</v>
      </c>
      <c r="C253" s="390">
        <f t="shared" si="5"/>
        <v>1</v>
      </c>
      <c r="D253" s="390" t="s">
        <v>2322</v>
      </c>
      <c r="E253" s="582" t="s">
        <v>3492</v>
      </c>
      <c r="F253" s="203" t="str">
        <f>Практики!C39</f>
        <v>T-DEV-SM-2-1</v>
      </c>
      <c r="G253" s="203" t="str">
        <f>Практики!F39</f>
        <v>Не заполнено</v>
      </c>
      <c r="H253" s="174">
        <f>Практики!Q39</f>
        <v>0</v>
      </c>
    </row>
    <row r="254" spans="1:8" x14ac:dyDescent="0.4">
      <c r="A254" s="390"/>
      <c r="B254" s="390"/>
      <c r="C254" s="390"/>
      <c r="D254" s="390"/>
      <c r="E254" s="582"/>
      <c r="F254" s="203" t="str">
        <f>Практики!C40</f>
        <v>T-DEV-SM-2-2</v>
      </c>
      <c r="G254" s="203" t="str">
        <f>Практики!F40</f>
        <v>Не заполнено</v>
      </c>
      <c r="H254" s="174">
        <f>Практики!Q40</f>
        <v>0</v>
      </c>
    </row>
    <row r="255" spans="1:8" x14ac:dyDescent="0.4">
      <c r="A255" s="390"/>
      <c r="B255" s="390"/>
      <c r="C255" s="390"/>
      <c r="D255" s="390"/>
      <c r="E255" s="582"/>
      <c r="F255" s="203" t="str">
        <f>Практики!C217</f>
        <v>T-PROD-SM-2-1</v>
      </c>
      <c r="G255" s="203" t="str">
        <f>Практики!F217</f>
        <v>Не заполнено</v>
      </c>
      <c r="H255" s="174">
        <f>Практики!Q217</f>
        <v>0</v>
      </c>
    </row>
    <row r="256" spans="1:8" x14ac:dyDescent="0.4">
      <c r="A256" s="390"/>
      <c r="B256" s="390"/>
      <c r="C256" s="390"/>
      <c r="D256" s="390"/>
      <c r="E256" s="582"/>
      <c r="F256" s="203" t="str">
        <f>Практики!C219</f>
        <v>T-PROD-SM-3-1</v>
      </c>
      <c r="G256" s="203" t="str">
        <f>Практики!F219</f>
        <v>Не заполнено</v>
      </c>
      <c r="H256" s="174">
        <f>Практики!Q219</f>
        <v>0</v>
      </c>
    </row>
    <row r="257" spans="1:8" x14ac:dyDescent="0.4">
      <c r="A257" s="174" t="s">
        <v>3493</v>
      </c>
      <c r="B257" s="174"/>
      <c r="C257" s="174" t="str">
        <f t="shared" si="5"/>
        <v/>
      </c>
      <c r="D257" s="174"/>
      <c r="E257" s="581" t="s">
        <v>3205</v>
      </c>
      <c r="F257" s="581"/>
      <c r="G257" s="581"/>
      <c r="H257" s="581"/>
    </row>
    <row r="258" spans="1:8" ht="151.19999999999999" x14ac:dyDescent="0.4">
      <c r="A258" s="390"/>
      <c r="B258" s="174"/>
      <c r="C258" s="174" t="str">
        <f t="shared" si="5"/>
        <v/>
      </c>
      <c r="D258" s="174" t="s">
        <v>3494</v>
      </c>
      <c r="E258" s="208" t="s">
        <v>3495</v>
      </c>
      <c r="F258" s="203"/>
      <c r="G258" s="203"/>
      <c r="H258" s="174"/>
    </row>
    <row r="259" spans="1:8" ht="50.4" x14ac:dyDescent="0.4">
      <c r="A259" s="390"/>
      <c r="B259" s="174"/>
      <c r="C259" s="174" t="str">
        <f t="shared" si="5"/>
        <v/>
      </c>
      <c r="D259" s="174" t="s">
        <v>3496</v>
      </c>
      <c r="E259" s="208" t="s">
        <v>3497</v>
      </c>
      <c r="F259" s="203"/>
      <c r="G259" s="203"/>
      <c r="H259" s="174"/>
    </row>
    <row r="260" spans="1:8" ht="20.399999999999999" x14ac:dyDescent="0.4">
      <c r="A260" s="174" t="s">
        <v>3498</v>
      </c>
      <c r="B260" s="174"/>
      <c r="C260" s="174" t="str">
        <f t="shared" si="5"/>
        <v/>
      </c>
      <c r="D260" s="174"/>
      <c r="E260" s="580" t="s">
        <v>3499</v>
      </c>
      <c r="F260" s="580"/>
      <c r="G260" s="580"/>
      <c r="H260" s="580"/>
    </row>
    <row r="261" spans="1:8" x14ac:dyDescent="0.4">
      <c r="A261" s="174" t="s">
        <v>3500</v>
      </c>
      <c r="B261" s="174"/>
      <c r="C261" s="174" t="str">
        <f t="shared" si="5"/>
        <v/>
      </c>
      <c r="D261" s="174"/>
      <c r="E261" s="581" t="s">
        <v>3187</v>
      </c>
      <c r="F261" s="581"/>
      <c r="G261" s="581"/>
      <c r="H261" s="581"/>
    </row>
    <row r="262" spans="1:8" ht="33.6" x14ac:dyDescent="0.4">
      <c r="A262" s="174"/>
      <c r="B262" s="174"/>
      <c r="C262" s="174" t="str">
        <f t="shared" si="5"/>
        <v/>
      </c>
      <c r="D262" s="174" t="s">
        <v>3501</v>
      </c>
      <c r="E262" s="208" t="s">
        <v>3502</v>
      </c>
      <c r="F262" s="203"/>
      <c r="G262" s="203"/>
      <c r="H262" s="174"/>
    </row>
    <row r="263" spans="1:8" x14ac:dyDescent="0.4">
      <c r="A263" s="174" t="s">
        <v>3503</v>
      </c>
      <c r="B263" s="390" t="s">
        <v>2159</v>
      </c>
      <c r="C263" s="174" t="str">
        <f t="shared" si="5"/>
        <v/>
      </c>
      <c r="D263" s="174"/>
      <c r="E263" s="581" t="s">
        <v>3195</v>
      </c>
      <c r="F263" s="581"/>
      <c r="G263" s="581"/>
      <c r="H263" s="581"/>
    </row>
    <row r="264" spans="1:8" x14ac:dyDescent="0.4">
      <c r="A264" s="390"/>
      <c r="B264" s="390"/>
      <c r="C264" s="390">
        <f t="shared" si="5"/>
        <v>1</v>
      </c>
      <c r="D264" s="390" t="s">
        <v>2378</v>
      </c>
      <c r="E264" s="582" t="s">
        <v>3504</v>
      </c>
      <c r="F264" s="203" t="str">
        <f>Практики!C6</f>
        <v>T-ADI-DEP-1-3</v>
      </c>
      <c r="G264" s="203" t="str">
        <f>Практики!F6</f>
        <v>Не заполнено</v>
      </c>
      <c r="H264" s="174">
        <f>Практики!Q6</f>
        <v>0</v>
      </c>
    </row>
    <row r="265" spans="1:8" x14ac:dyDescent="0.4">
      <c r="A265" s="390"/>
      <c r="B265" s="390"/>
      <c r="C265" s="390"/>
      <c r="D265" s="390"/>
      <c r="E265" s="582"/>
      <c r="F265" s="203" t="str">
        <f>Практики!C145</f>
        <v>T-CODE-IMG-1-1</v>
      </c>
      <c r="G265" s="203" t="str">
        <f>Практики!F145</f>
        <v>Не заполнено</v>
      </c>
      <c r="H265" s="174">
        <f>Практики!Q145</f>
        <v>0</v>
      </c>
    </row>
    <row r="266" spans="1:8" x14ac:dyDescent="0.4">
      <c r="A266" s="390"/>
      <c r="B266" s="390" t="s">
        <v>2159</v>
      </c>
      <c r="C266" s="390">
        <f t="shared" si="5"/>
        <v>1</v>
      </c>
      <c r="D266" s="390" t="s">
        <v>2325</v>
      </c>
      <c r="E266" s="582" t="s">
        <v>3505</v>
      </c>
      <c r="F266" s="203" t="str">
        <f>Практики!C11</f>
        <v>T-ADI-DEP-3-1</v>
      </c>
      <c r="G266" s="203" t="str">
        <f>Практики!F11</f>
        <v>Не заполнено</v>
      </c>
      <c r="H266" s="174">
        <f>Практики!Q11</f>
        <v>0</v>
      </c>
    </row>
    <row r="267" spans="1:8" x14ac:dyDescent="0.4">
      <c r="A267" s="390"/>
      <c r="B267" s="390"/>
      <c r="C267" s="390"/>
      <c r="D267" s="390"/>
      <c r="E267" s="582"/>
      <c r="F267" s="203" t="str">
        <f>Практики!C24</f>
        <v>T-ADI-ART-3-1</v>
      </c>
      <c r="G267" s="203" t="str">
        <f>Практики!F24</f>
        <v>Не заполнено</v>
      </c>
      <c r="H267" s="174">
        <f>Практики!Q24</f>
        <v>0</v>
      </c>
    </row>
    <row r="268" spans="1:8" ht="50.4" x14ac:dyDescent="0.4">
      <c r="A268" s="390"/>
      <c r="B268" s="174" t="s">
        <v>2159</v>
      </c>
      <c r="C268" s="174">
        <f t="shared" si="5"/>
        <v>1</v>
      </c>
      <c r="D268" s="174" t="s">
        <v>2379</v>
      </c>
      <c r="E268" s="208" t="s">
        <v>3506</v>
      </c>
      <c r="F268" s="203" t="str">
        <f>Практики!C149</f>
        <v>T-CODE-IMG-2-2</v>
      </c>
      <c r="G268" s="203" t="str">
        <f>Практики!F149</f>
        <v>Не заполнено</v>
      </c>
      <c r="H268" s="174">
        <f>Практики!Q149</f>
        <v>0</v>
      </c>
    </row>
    <row r="269" spans="1:8" x14ac:dyDescent="0.4">
      <c r="A269" s="390"/>
      <c r="B269" s="390" t="s">
        <v>2159</v>
      </c>
      <c r="C269" s="390">
        <f t="shared" si="5"/>
        <v>1</v>
      </c>
      <c r="D269" s="390" t="s">
        <v>2326</v>
      </c>
      <c r="E269" s="582" t="s">
        <v>3507</v>
      </c>
      <c r="F269" s="203" t="str">
        <f>Практики!C130</f>
        <v>T-CODE-SC-0-1</v>
      </c>
      <c r="G269" s="203" t="str">
        <f>Практики!F130</f>
        <v>Не заполнено</v>
      </c>
      <c r="H269" s="174">
        <f>Практики!Q130</f>
        <v>0</v>
      </c>
    </row>
    <row r="270" spans="1:8" x14ac:dyDescent="0.4">
      <c r="A270" s="390"/>
      <c r="B270" s="390"/>
      <c r="C270" s="390"/>
      <c r="D270" s="390"/>
      <c r="E270" s="582"/>
      <c r="F270" s="203" t="str">
        <f>Практики!C144</f>
        <v>T-CODE-IMG-0-1</v>
      </c>
      <c r="G270" s="203" t="str">
        <f>Практики!F144</f>
        <v>Не заполнено</v>
      </c>
      <c r="H270" s="174">
        <f>Практики!Q144</f>
        <v>0</v>
      </c>
    </row>
    <row r="271" spans="1:8" x14ac:dyDescent="0.4">
      <c r="A271" s="390"/>
      <c r="B271" s="390"/>
      <c r="C271" s="390"/>
      <c r="D271" s="390"/>
      <c r="E271" s="582"/>
      <c r="F271" s="203" t="str">
        <f>Практики!C146</f>
        <v>T-CODE-IMG-1-2</v>
      </c>
      <c r="G271" s="203" t="str">
        <f>Практики!F146</f>
        <v>Не заполнено</v>
      </c>
      <c r="H271" s="174">
        <f>Практики!Q146</f>
        <v>0</v>
      </c>
    </row>
    <row r="272" spans="1:8" x14ac:dyDescent="0.4">
      <c r="A272" s="390"/>
      <c r="B272" s="390"/>
      <c r="C272" s="390"/>
      <c r="D272" s="390"/>
      <c r="E272" s="582"/>
      <c r="F272" s="203" t="str">
        <f>Практики!C148</f>
        <v>T-CODE-IMG-2-1</v>
      </c>
      <c r="G272" s="203" t="str">
        <f>Практики!F148</f>
        <v>Не заполнено</v>
      </c>
      <c r="H272" s="174">
        <f>Практики!Q148</f>
        <v>0</v>
      </c>
    </row>
    <row r="273" spans="1:8" x14ac:dyDescent="0.4">
      <c r="A273" s="390"/>
      <c r="B273" s="390" t="s">
        <v>2159</v>
      </c>
      <c r="C273" s="390">
        <f t="shared" si="5"/>
        <v>1</v>
      </c>
      <c r="D273" s="390" t="s">
        <v>2887</v>
      </c>
      <c r="E273" s="582" t="s">
        <v>3508</v>
      </c>
      <c r="F273" s="203" t="str">
        <f>Практики!C132</f>
        <v>T-CODE-SC-1-2</v>
      </c>
      <c r="G273" s="203" t="str">
        <f>Практики!F132</f>
        <v>Не заполнено</v>
      </c>
      <c r="H273" s="174">
        <f>Практики!Q132</f>
        <v>0</v>
      </c>
    </row>
    <row r="274" spans="1:8" x14ac:dyDescent="0.4">
      <c r="A274" s="390"/>
      <c r="B274" s="390"/>
      <c r="C274" s="390"/>
      <c r="D274" s="390"/>
      <c r="E274" s="582"/>
      <c r="F274" s="203" t="str">
        <f>Практики!C134</f>
        <v>T-CODE-SC-2-1</v>
      </c>
      <c r="G274" s="203" t="str">
        <f>Практики!F134</f>
        <v>Не заполнено</v>
      </c>
      <c r="H274" s="174">
        <f>Практики!Q134</f>
        <v>0</v>
      </c>
    </row>
    <row r="275" spans="1:8" x14ac:dyDescent="0.4">
      <c r="A275" s="390"/>
      <c r="B275" s="390"/>
      <c r="C275" s="390"/>
      <c r="D275" s="390"/>
      <c r="E275" s="582"/>
      <c r="F275" s="203" t="str">
        <f>Практики!C147</f>
        <v>T-CODE-IMG-1-3</v>
      </c>
      <c r="G275" s="203" t="str">
        <f>Практики!F147</f>
        <v>Не заполнено</v>
      </c>
      <c r="H275" s="174">
        <f>Практики!Q147</f>
        <v>0</v>
      </c>
    </row>
    <row r="276" spans="1:8" x14ac:dyDescent="0.4">
      <c r="A276" s="390"/>
      <c r="B276" s="390"/>
      <c r="C276" s="390"/>
      <c r="D276" s="390"/>
      <c r="E276" s="582"/>
      <c r="F276" s="203" t="str">
        <f>Практики!C152</f>
        <v>T-CODE-IMG-4-1</v>
      </c>
      <c r="G276" s="203" t="str">
        <f>Практики!F152</f>
        <v>Не заполнено</v>
      </c>
      <c r="H276" s="174">
        <f>Практики!Q152</f>
        <v>0</v>
      </c>
    </row>
    <row r="277" spans="1:8" x14ac:dyDescent="0.4">
      <c r="A277" s="390"/>
      <c r="B277" s="390"/>
      <c r="C277" s="390"/>
      <c r="D277" s="390"/>
      <c r="E277" s="582"/>
      <c r="F277" s="203" t="str">
        <f>Практики!C153</f>
        <v>T-CODE-IMG-4-2</v>
      </c>
      <c r="G277" s="203" t="str">
        <f>Практики!F153</f>
        <v>Не заполнено</v>
      </c>
      <c r="H277" s="174">
        <f>Практики!Q153</f>
        <v>0</v>
      </c>
    </row>
    <row r="278" spans="1:8" x14ac:dyDescent="0.4">
      <c r="A278" s="390"/>
      <c r="B278" s="390"/>
      <c r="C278" s="390"/>
      <c r="D278" s="390"/>
      <c r="E278" s="582"/>
      <c r="F278" s="203" t="str">
        <f>Практики!C350</f>
        <v>P-DEFECT-MNG-0-1</v>
      </c>
      <c r="G278" s="203" t="str">
        <f>Практики!F350</f>
        <v>Не заполнено</v>
      </c>
      <c r="H278" s="174">
        <f>Практики!Q350</f>
        <v>0</v>
      </c>
    </row>
    <row r="279" spans="1:8" x14ac:dyDescent="0.4">
      <c r="A279" s="174" t="s">
        <v>3509</v>
      </c>
      <c r="B279" s="174"/>
      <c r="C279" s="174" t="str">
        <f t="shared" si="5"/>
        <v/>
      </c>
      <c r="D279" s="174"/>
      <c r="E279" s="581" t="s">
        <v>3205</v>
      </c>
      <c r="F279" s="581"/>
      <c r="G279" s="581"/>
      <c r="H279" s="581"/>
    </row>
    <row r="280" spans="1:8" ht="117.6" x14ac:dyDescent="0.4">
      <c r="A280" s="390"/>
      <c r="B280" s="174"/>
      <c r="C280" s="174" t="str">
        <f t="shared" si="5"/>
        <v/>
      </c>
      <c r="D280" s="174" t="s">
        <v>3510</v>
      </c>
      <c r="E280" s="208" t="s">
        <v>3511</v>
      </c>
      <c r="F280" s="203"/>
      <c r="G280" s="203"/>
      <c r="H280" s="174"/>
    </row>
    <row r="281" spans="1:8" ht="50.4" x14ac:dyDescent="0.4">
      <c r="A281" s="390"/>
      <c r="B281" s="174"/>
      <c r="C281" s="174" t="str">
        <f t="shared" si="5"/>
        <v/>
      </c>
      <c r="D281" s="174" t="s">
        <v>3512</v>
      </c>
      <c r="E281" s="208" t="s">
        <v>3513</v>
      </c>
      <c r="F281" s="203"/>
      <c r="G281" s="203"/>
      <c r="H281" s="174"/>
    </row>
    <row r="282" spans="1:8" ht="84" x14ac:dyDescent="0.4">
      <c r="A282" s="390"/>
      <c r="B282" s="174"/>
      <c r="C282" s="174" t="str">
        <f t="shared" si="5"/>
        <v/>
      </c>
      <c r="D282" s="174" t="s">
        <v>3514</v>
      </c>
      <c r="E282" s="208" t="s">
        <v>3515</v>
      </c>
      <c r="F282" s="203"/>
      <c r="G282" s="203"/>
      <c r="H282" s="174"/>
    </row>
    <row r="283" spans="1:8" ht="50.4" x14ac:dyDescent="0.4">
      <c r="A283" s="390"/>
      <c r="B283" s="174"/>
      <c r="C283" s="174" t="str">
        <f t="shared" si="5"/>
        <v/>
      </c>
      <c r="D283" s="174" t="s">
        <v>3516</v>
      </c>
      <c r="E283" s="208" t="s">
        <v>3517</v>
      </c>
      <c r="F283" s="203"/>
      <c r="G283" s="203"/>
      <c r="H283" s="174"/>
    </row>
    <row r="284" spans="1:8" ht="151.19999999999999" x14ac:dyDescent="0.4">
      <c r="A284" s="390"/>
      <c r="B284" s="174"/>
      <c r="C284" s="174" t="str">
        <f t="shared" si="5"/>
        <v/>
      </c>
      <c r="D284" s="174" t="s">
        <v>3518</v>
      </c>
      <c r="E284" s="208" t="s">
        <v>3519</v>
      </c>
      <c r="F284" s="203"/>
      <c r="G284" s="203"/>
      <c r="H284" s="174"/>
    </row>
    <row r="285" spans="1:8" ht="20.399999999999999" x14ac:dyDescent="0.4">
      <c r="A285" s="174" t="s">
        <v>3520</v>
      </c>
      <c r="B285" s="174"/>
      <c r="C285" s="174" t="str">
        <f t="shared" si="5"/>
        <v/>
      </c>
      <c r="D285" s="174"/>
      <c r="E285" s="580" t="s">
        <v>3521</v>
      </c>
      <c r="F285" s="580"/>
      <c r="G285" s="580"/>
      <c r="H285" s="580"/>
    </row>
    <row r="286" spans="1:8" x14ac:dyDescent="0.4">
      <c r="A286" s="174" t="s">
        <v>3522</v>
      </c>
      <c r="B286" s="174"/>
      <c r="C286" s="174" t="str">
        <f t="shared" si="5"/>
        <v/>
      </c>
      <c r="D286" s="174"/>
      <c r="E286" s="581" t="s">
        <v>3187</v>
      </c>
      <c r="F286" s="581"/>
      <c r="G286" s="581"/>
      <c r="H286" s="581"/>
    </row>
    <row r="287" spans="1:8" ht="33.6" x14ac:dyDescent="0.4">
      <c r="A287" s="174"/>
      <c r="B287" s="174"/>
      <c r="C287" s="174" t="str">
        <f t="shared" si="5"/>
        <v/>
      </c>
      <c r="D287" s="174" t="s">
        <v>3523</v>
      </c>
      <c r="E287" s="208" t="s">
        <v>3524</v>
      </c>
      <c r="F287" s="203"/>
      <c r="G287" s="203"/>
      <c r="H287" s="174"/>
    </row>
    <row r="288" spans="1:8" x14ac:dyDescent="0.4">
      <c r="A288" s="174" t="s">
        <v>3525</v>
      </c>
      <c r="B288" s="174"/>
      <c r="C288" s="174" t="str">
        <f t="shared" si="5"/>
        <v/>
      </c>
      <c r="D288" s="174"/>
      <c r="E288" s="581" t="s">
        <v>3195</v>
      </c>
      <c r="F288" s="581"/>
      <c r="G288" s="581"/>
      <c r="H288" s="581"/>
    </row>
    <row r="289" spans="1:8" ht="50.4" x14ac:dyDescent="0.4">
      <c r="A289" s="390"/>
      <c r="B289" s="174" t="s">
        <v>2159</v>
      </c>
      <c r="C289" s="174" t="str">
        <f t="shared" si="5"/>
        <v/>
      </c>
      <c r="D289" s="174" t="s">
        <v>3526</v>
      </c>
      <c r="E289" s="208" t="s">
        <v>3527</v>
      </c>
      <c r="F289" s="203"/>
      <c r="G289" s="203"/>
      <c r="H289" s="174"/>
    </row>
    <row r="290" spans="1:8" ht="33.6" x14ac:dyDescent="0.4">
      <c r="A290" s="390"/>
      <c r="B290" s="174" t="s">
        <v>2159</v>
      </c>
      <c r="C290" s="174">
        <f t="shared" si="5"/>
        <v>1</v>
      </c>
      <c r="D290" s="174" t="s">
        <v>2380</v>
      </c>
      <c r="E290" s="208" t="s">
        <v>3528</v>
      </c>
      <c r="F290" s="203" t="str">
        <f>Практики!C116</f>
        <v>T-CODE-SPC-3-4</v>
      </c>
      <c r="G290" s="203" t="str">
        <f>Практики!F116</f>
        <v>Не заполнено</v>
      </c>
      <c r="H290" s="174">
        <f>Практики!Q116</f>
        <v>0</v>
      </c>
    </row>
    <row r="291" spans="1:8" ht="33.6" x14ac:dyDescent="0.4">
      <c r="A291" s="390"/>
      <c r="B291" s="174" t="s">
        <v>2159</v>
      </c>
      <c r="C291" s="174" t="str">
        <f t="shared" si="5"/>
        <v/>
      </c>
      <c r="D291" s="174" t="s">
        <v>2381</v>
      </c>
      <c r="E291" s="208" t="s">
        <v>3529</v>
      </c>
      <c r="F291" s="203"/>
      <c r="G291" s="203"/>
      <c r="H291" s="174"/>
    </row>
    <row r="292" spans="1:8" x14ac:dyDescent="0.4">
      <c r="A292" s="390"/>
      <c r="B292" s="390" t="s">
        <v>2159</v>
      </c>
      <c r="C292" s="390">
        <f t="shared" si="5"/>
        <v>1</v>
      </c>
      <c r="D292" s="390" t="s">
        <v>2328</v>
      </c>
      <c r="E292" s="582" t="s">
        <v>3530</v>
      </c>
      <c r="F292" s="203" t="str">
        <f>Практики!C109</f>
        <v>T-CODE-SPC-2-1</v>
      </c>
      <c r="G292" s="203" t="str">
        <f>Практики!F109</f>
        <v>Не заполнено</v>
      </c>
      <c r="H292" s="174">
        <f>Практики!Q109</f>
        <v>0</v>
      </c>
    </row>
    <row r="293" spans="1:8" x14ac:dyDescent="0.4">
      <c r="A293" s="390"/>
      <c r="B293" s="390"/>
      <c r="C293" s="390"/>
      <c r="D293" s="390"/>
      <c r="E293" s="582"/>
      <c r="F293" s="203" t="str">
        <f>Практики!C112</f>
        <v>T-CODE-SPC-2-4</v>
      </c>
      <c r="G293" s="203" t="str">
        <f>Практики!F112</f>
        <v>Не заполнено</v>
      </c>
      <c r="H293" s="174">
        <f>Практики!Q112</f>
        <v>0</v>
      </c>
    </row>
    <row r="294" spans="1:8" x14ac:dyDescent="0.4">
      <c r="A294" s="390"/>
      <c r="B294" s="390"/>
      <c r="C294" s="390"/>
      <c r="D294" s="390"/>
      <c r="E294" s="582"/>
      <c r="F294" s="203" t="str">
        <f>Практики!C114</f>
        <v>T-CODE-SPC-3-2</v>
      </c>
      <c r="G294" s="203" t="str">
        <f>Практики!F114</f>
        <v>Не заполнено</v>
      </c>
      <c r="H294" s="174">
        <f>Практики!Q114</f>
        <v>0</v>
      </c>
    </row>
    <row r="295" spans="1:8" x14ac:dyDescent="0.4">
      <c r="A295" s="390"/>
      <c r="B295" s="390" t="s">
        <v>2159</v>
      </c>
      <c r="C295" s="390">
        <f t="shared" si="5"/>
        <v>1</v>
      </c>
      <c r="D295" s="390" t="s">
        <v>2327</v>
      </c>
      <c r="E295" s="582" t="s">
        <v>3531</v>
      </c>
      <c r="F295" s="203" t="str">
        <f>Практики!C109</f>
        <v>T-CODE-SPC-2-1</v>
      </c>
      <c r="G295" s="203" t="str">
        <f>Практики!F109</f>
        <v>Не заполнено</v>
      </c>
      <c r="H295" s="174">
        <f>Практики!Q109</f>
        <v>0</v>
      </c>
    </row>
    <row r="296" spans="1:8" x14ac:dyDescent="0.4">
      <c r="A296" s="390"/>
      <c r="B296" s="390"/>
      <c r="C296" s="390"/>
      <c r="D296" s="390"/>
      <c r="E296" s="582"/>
      <c r="F296" s="203" t="str">
        <f>Практики!C114</f>
        <v>T-CODE-SPC-3-2</v>
      </c>
      <c r="G296" s="203" t="str">
        <f>Практики!F114</f>
        <v>Не заполнено</v>
      </c>
      <c r="H296" s="174">
        <f>Практики!Q114</f>
        <v>0</v>
      </c>
    </row>
    <row r="297" spans="1:8" x14ac:dyDescent="0.4">
      <c r="A297" s="390"/>
      <c r="B297" s="390"/>
      <c r="C297" s="390"/>
      <c r="D297" s="390"/>
      <c r="E297" s="582"/>
      <c r="F297" s="203" t="str">
        <f>Практики!C116</f>
        <v>T-CODE-SPC-3-4</v>
      </c>
      <c r="G297" s="203" t="str">
        <f>Практики!F116</f>
        <v>Не заполнено</v>
      </c>
      <c r="H297" s="174">
        <f>Практики!Q116</f>
        <v>0</v>
      </c>
    </row>
    <row r="298" spans="1:8" x14ac:dyDescent="0.4">
      <c r="A298" s="390"/>
      <c r="B298" s="390"/>
      <c r="C298" s="390"/>
      <c r="D298" s="390"/>
      <c r="E298" s="582"/>
      <c r="F298" s="203" t="str">
        <f>Практики!C117</f>
        <v>T-CODE-SPC-3-5</v>
      </c>
      <c r="G298" s="203" t="str">
        <f>Практики!F117</f>
        <v>Не заполнено</v>
      </c>
      <c r="H298" s="174">
        <f>Практики!Q117</f>
        <v>0</v>
      </c>
    </row>
    <row r="299" spans="1:8" x14ac:dyDescent="0.4">
      <c r="A299" s="174" t="s">
        <v>3532</v>
      </c>
      <c r="B299" s="174"/>
      <c r="C299" s="174" t="str">
        <f t="shared" si="5"/>
        <v/>
      </c>
      <c r="D299" s="174"/>
      <c r="E299" s="581" t="s">
        <v>3205</v>
      </c>
      <c r="F299" s="581"/>
      <c r="G299" s="581"/>
      <c r="H299" s="581"/>
    </row>
    <row r="300" spans="1:8" ht="84" x14ac:dyDescent="0.4">
      <c r="A300" s="390"/>
      <c r="B300" s="174"/>
      <c r="C300" s="174" t="str">
        <f t="shared" si="5"/>
        <v/>
      </c>
      <c r="D300" s="174" t="s">
        <v>3533</v>
      </c>
      <c r="E300" s="208" t="s">
        <v>3534</v>
      </c>
      <c r="F300" s="203"/>
      <c r="G300" s="203"/>
      <c r="H300" s="174"/>
    </row>
    <row r="301" spans="1:8" ht="67.2" x14ac:dyDescent="0.4">
      <c r="A301" s="390"/>
      <c r="B301" s="174"/>
      <c r="C301" s="174" t="str">
        <f t="shared" si="5"/>
        <v/>
      </c>
      <c r="D301" s="174" t="s">
        <v>3535</v>
      </c>
      <c r="E301" s="208" t="s">
        <v>3536</v>
      </c>
      <c r="F301" s="203"/>
      <c r="G301" s="203"/>
      <c r="H301" s="174"/>
    </row>
    <row r="302" spans="1:8" ht="84" x14ac:dyDescent="0.4">
      <c r="A302" s="390"/>
      <c r="B302" s="174"/>
      <c r="C302" s="174" t="str">
        <f t="shared" si="5"/>
        <v/>
      </c>
      <c r="D302" s="174" t="s">
        <v>3537</v>
      </c>
      <c r="E302" s="208" t="s">
        <v>3538</v>
      </c>
      <c r="F302" s="203"/>
      <c r="G302" s="203"/>
      <c r="H302" s="174"/>
    </row>
    <row r="303" spans="1:8" ht="33.6" x14ac:dyDescent="0.4">
      <c r="A303" s="390"/>
      <c r="B303" s="174"/>
      <c r="C303" s="174" t="str">
        <f t="shared" si="5"/>
        <v/>
      </c>
      <c r="D303" s="174" t="s">
        <v>3539</v>
      </c>
      <c r="E303" s="208" t="s">
        <v>3540</v>
      </c>
      <c r="F303" s="203"/>
      <c r="G303" s="203"/>
      <c r="H303" s="174"/>
    </row>
    <row r="304" spans="1:8" ht="33.6" x14ac:dyDescent="0.4">
      <c r="A304" s="390"/>
      <c r="B304" s="174"/>
      <c r="C304" s="174" t="str">
        <f t="shared" si="5"/>
        <v/>
      </c>
      <c r="D304" s="174" t="s">
        <v>3541</v>
      </c>
      <c r="E304" s="208" t="s">
        <v>3542</v>
      </c>
      <c r="F304" s="203"/>
      <c r="G304" s="203"/>
      <c r="H304" s="174"/>
    </row>
    <row r="305" spans="1:8" ht="20.399999999999999" x14ac:dyDescent="0.4">
      <c r="A305" s="174" t="s">
        <v>3543</v>
      </c>
      <c r="B305" s="174"/>
      <c r="C305" s="174" t="str">
        <f t="shared" si="5"/>
        <v/>
      </c>
      <c r="D305" s="174"/>
      <c r="E305" s="580" t="s">
        <v>2065</v>
      </c>
      <c r="F305" s="580"/>
      <c r="G305" s="580"/>
      <c r="H305" s="580"/>
    </row>
    <row r="306" spans="1:8" x14ac:dyDescent="0.4">
      <c r="A306" s="174" t="s">
        <v>3544</v>
      </c>
      <c r="B306" s="174"/>
      <c r="C306" s="174" t="str">
        <f t="shared" si="5"/>
        <v/>
      </c>
      <c r="D306" s="174"/>
      <c r="E306" s="581" t="s">
        <v>3187</v>
      </c>
      <c r="F306" s="581"/>
      <c r="G306" s="581"/>
      <c r="H306" s="581"/>
    </row>
    <row r="307" spans="1:8" ht="33.6" x14ac:dyDescent="0.4">
      <c r="A307" s="174"/>
      <c r="B307" s="174"/>
      <c r="C307" s="174" t="str">
        <f t="shared" si="5"/>
        <v/>
      </c>
      <c r="D307" s="174" t="s">
        <v>3545</v>
      </c>
      <c r="E307" s="208" t="s">
        <v>3546</v>
      </c>
      <c r="F307" s="203"/>
      <c r="G307" s="203"/>
      <c r="H307" s="174"/>
    </row>
    <row r="308" spans="1:8" x14ac:dyDescent="0.4">
      <c r="A308" s="174" t="s">
        <v>3547</v>
      </c>
      <c r="B308" s="174"/>
      <c r="C308" s="174" t="str">
        <f t="shared" si="5"/>
        <v/>
      </c>
      <c r="D308" s="174"/>
      <c r="E308" s="581" t="s">
        <v>3195</v>
      </c>
      <c r="F308" s="581"/>
      <c r="G308" s="581"/>
      <c r="H308" s="581"/>
    </row>
    <row r="309" spans="1:8" ht="33.6" x14ac:dyDescent="0.4">
      <c r="A309" s="390"/>
      <c r="B309" s="174" t="s">
        <v>2159</v>
      </c>
      <c r="C309" s="174">
        <f t="shared" si="5"/>
        <v>1</v>
      </c>
      <c r="D309" s="174" t="s">
        <v>2329</v>
      </c>
      <c r="E309" s="208" t="s">
        <v>3548</v>
      </c>
      <c r="F309" s="203" t="str">
        <f>Практики!C194</f>
        <v>T-PREPROD-SECTEST-2-1</v>
      </c>
      <c r="G309" s="203" t="str">
        <f>Практики!F194</f>
        <v>Не заполнено</v>
      </c>
      <c r="H309" s="174">
        <f>Практики!Q194</f>
        <v>0</v>
      </c>
    </row>
    <row r="310" spans="1:8" ht="33.6" x14ac:dyDescent="0.4">
      <c r="A310" s="390"/>
      <c r="B310" s="174" t="s">
        <v>2159</v>
      </c>
      <c r="C310" s="174">
        <f t="shared" ref="C310:C373" si="6">IF(F310&lt;&gt;"",1,"")</f>
        <v>1</v>
      </c>
      <c r="D310" s="174" t="s">
        <v>2330</v>
      </c>
      <c r="E310" s="208" t="s">
        <v>3549</v>
      </c>
      <c r="F310" s="203" t="str">
        <f>Практики!C192</f>
        <v>T-PREPROD-SECTEST-0-1</v>
      </c>
      <c r="G310" s="203" t="str">
        <f>Практики!F192</f>
        <v>Не заполнено</v>
      </c>
      <c r="H310" s="174">
        <f>Практики!Q192</f>
        <v>0</v>
      </c>
    </row>
    <row r="311" spans="1:8" ht="33.6" x14ac:dyDescent="0.4">
      <c r="A311" s="390"/>
      <c r="B311" s="174" t="s">
        <v>2159</v>
      </c>
      <c r="C311" s="174" t="str">
        <f t="shared" si="6"/>
        <v/>
      </c>
      <c r="D311" s="174" t="s">
        <v>2382</v>
      </c>
      <c r="E311" s="208" t="s">
        <v>3550</v>
      </c>
      <c r="F311" s="203"/>
      <c r="G311" s="203"/>
      <c r="H311" s="174"/>
    </row>
    <row r="312" spans="1:8" ht="33.6" x14ac:dyDescent="0.4">
      <c r="A312" s="390"/>
      <c r="B312" s="174" t="s">
        <v>2159</v>
      </c>
      <c r="C312" s="174" t="str">
        <f t="shared" si="6"/>
        <v/>
      </c>
      <c r="D312" s="174" t="s">
        <v>2383</v>
      </c>
      <c r="E312" s="208" t="s">
        <v>3551</v>
      </c>
      <c r="F312" s="203"/>
      <c r="G312" s="203"/>
      <c r="H312" s="174"/>
    </row>
    <row r="313" spans="1:8" ht="33.6" x14ac:dyDescent="0.4">
      <c r="A313" s="390"/>
      <c r="B313" s="174" t="s">
        <v>2159</v>
      </c>
      <c r="C313" s="174">
        <f t="shared" si="6"/>
        <v>1</v>
      </c>
      <c r="D313" s="174" t="s">
        <v>3552</v>
      </c>
      <c r="E313" s="208" t="s">
        <v>3553</v>
      </c>
      <c r="F313" s="203" t="str">
        <f>Практики!C350</f>
        <v>P-DEFECT-MNG-0-1</v>
      </c>
      <c r="G313" s="203" t="str">
        <f>Практики!F350</f>
        <v>Не заполнено</v>
      </c>
      <c r="H313" s="174">
        <f>Практики!Q350</f>
        <v>0</v>
      </c>
    </row>
    <row r="314" spans="1:8" x14ac:dyDescent="0.4">
      <c r="A314" s="174" t="s">
        <v>3554</v>
      </c>
      <c r="B314" s="174"/>
      <c r="C314" s="174" t="str">
        <f t="shared" si="6"/>
        <v/>
      </c>
      <c r="D314" s="174"/>
      <c r="E314" s="581" t="s">
        <v>3205</v>
      </c>
      <c r="F314" s="581"/>
      <c r="G314" s="581"/>
      <c r="H314" s="581"/>
    </row>
    <row r="315" spans="1:8" ht="117.6" x14ac:dyDescent="0.4">
      <c r="A315" s="390"/>
      <c r="B315" s="174"/>
      <c r="C315" s="174" t="str">
        <f t="shared" si="6"/>
        <v/>
      </c>
      <c r="D315" s="174" t="s">
        <v>3555</v>
      </c>
      <c r="E315" s="208" t="s">
        <v>3556</v>
      </c>
      <c r="F315" s="203"/>
      <c r="G315" s="203"/>
      <c r="H315" s="174"/>
    </row>
    <row r="316" spans="1:8" ht="117.6" x14ac:dyDescent="0.4">
      <c r="A316" s="390"/>
      <c r="B316" s="174"/>
      <c r="C316" s="174" t="str">
        <f t="shared" si="6"/>
        <v/>
      </c>
      <c r="D316" s="390" t="s">
        <v>3557</v>
      </c>
      <c r="E316" s="208" t="s">
        <v>3558</v>
      </c>
      <c r="F316" s="203"/>
      <c r="G316" s="203"/>
      <c r="H316" s="174"/>
    </row>
    <row r="317" spans="1:8" ht="33.6" x14ac:dyDescent="0.4">
      <c r="A317" s="390"/>
      <c r="B317" s="174"/>
      <c r="C317" s="174" t="str">
        <f t="shared" si="6"/>
        <v/>
      </c>
      <c r="D317" s="390"/>
      <c r="E317" s="208" t="s">
        <v>3559</v>
      </c>
      <c r="F317" s="203"/>
      <c r="G317" s="203"/>
      <c r="H317" s="174"/>
    </row>
    <row r="318" spans="1:8" ht="84" x14ac:dyDescent="0.4">
      <c r="A318" s="390"/>
      <c r="B318" s="174"/>
      <c r="C318" s="174" t="str">
        <f t="shared" si="6"/>
        <v/>
      </c>
      <c r="D318" s="174" t="s">
        <v>3560</v>
      </c>
      <c r="E318" s="208" t="s">
        <v>3561</v>
      </c>
      <c r="F318" s="203"/>
      <c r="G318" s="203"/>
      <c r="H318" s="174"/>
    </row>
    <row r="319" spans="1:8" ht="134.4" x14ac:dyDescent="0.4">
      <c r="A319" s="390"/>
      <c r="B319" s="174"/>
      <c r="C319" s="174" t="str">
        <f t="shared" si="6"/>
        <v/>
      </c>
      <c r="D319" s="174" t="s">
        <v>3562</v>
      </c>
      <c r="E319" s="208" t="s">
        <v>3563</v>
      </c>
      <c r="F319" s="203"/>
      <c r="G319" s="203"/>
      <c r="H319" s="174"/>
    </row>
    <row r="320" spans="1:8" ht="20.399999999999999" x14ac:dyDescent="0.4">
      <c r="A320" s="174" t="s">
        <v>3564</v>
      </c>
      <c r="B320" s="174"/>
      <c r="C320" s="174" t="str">
        <f t="shared" si="6"/>
        <v/>
      </c>
      <c r="D320" s="174"/>
      <c r="E320" s="580" t="s">
        <v>3059</v>
      </c>
      <c r="F320" s="580"/>
      <c r="G320" s="580"/>
      <c r="H320" s="580"/>
    </row>
    <row r="321" spans="1:8" x14ac:dyDescent="0.4">
      <c r="A321" s="174" t="s">
        <v>3565</v>
      </c>
      <c r="B321" s="174"/>
      <c r="C321" s="174" t="str">
        <f t="shared" si="6"/>
        <v/>
      </c>
      <c r="D321" s="174"/>
      <c r="E321" s="581" t="s">
        <v>3187</v>
      </c>
      <c r="F321" s="581"/>
      <c r="G321" s="581"/>
      <c r="H321" s="581"/>
    </row>
    <row r="322" spans="1:8" x14ac:dyDescent="0.4">
      <c r="A322" s="390"/>
      <c r="B322" s="174"/>
      <c r="C322" s="174" t="str">
        <f t="shared" si="6"/>
        <v/>
      </c>
      <c r="D322" s="174" t="s">
        <v>3566</v>
      </c>
      <c r="E322" s="208" t="s">
        <v>3567</v>
      </c>
      <c r="F322" s="203"/>
      <c r="G322" s="203"/>
      <c r="H322" s="174"/>
    </row>
    <row r="323" spans="1:8" ht="33.6" x14ac:dyDescent="0.4">
      <c r="A323" s="390"/>
      <c r="B323" s="174"/>
      <c r="C323" s="174" t="str">
        <f t="shared" si="6"/>
        <v/>
      </c>
      <c r="D323" s="174" t="s">
        <v>3568</v>
      </c>
      <c r="E323" s="208" t="s">
        <v>3569</v>
      </c>
      <c r="F323" s="203"/>
      <c r="G323" s="203"/>
      <c r="H323" s="174"/>
    </row>
    <row r="324" spans="1:8" x14ac:dyDescent="0.4">
      <c r="A324" s="174" t="s">
        <v>3570</v>
      </c>
      <c r="B324" s="174"/>
      <c r="C324" s="174" t="str">
        <f t="shared" si="6"/>
        <v/>
      </c>
      <c r="D324" s="174"/>
      <c r="E324" s="581" t="s">
        <v>3195</v>
      </c>
      <c r="F324" s="581"/>
      <c r="G324" s="581"/>
      <c r="H324" s="581"/>
    </row>
    <row r="325" spans="1:8" x14ac:dyDescent="0.4">
      <c r="A325" s="390"/>
      <c r="B325" s="174" t="s">
        <v>2159</v>
      </c>
      <c r="C325" s="174" t="str">
        <f t="shared" si="6"/>
        <v/>
      </c>
      <c r="D325" s="174" t="s">
        <v>3571</v>
      </c>
      <c r="E325" s="208" t="s">
        <v>3572</v>
      </c>
      <c r="F325" s="203"/>
      <c r="G325" s="203"/>
      <c r="H325" s="174"/>
    </row>
    <row r="326" spans="1:8" ht="33.6" x14ac:dyDescent="0.4">
      <c r="A326" s="390"/>
      <c r="B326" s="174" t="s">
        <v>2159</v>
      </c>
      <c r="C326" s="174">
        <f t="shared" si="6"/>
        <v>1</v>
      </c>
      <c r="D326" s="174" t="s">
        <v>2331</v>
      </c>
      <c r="E326" s="208" t="s">
        <v>3573</v>
      </c>
      <c r="F326" s="203" t="str">
        <f>Практики!C190</f>
        <v>T-PREPROD-PENTEST-2-1</v>
      </c>
      <c r="G326" s="203" t="str">
        <f>Практики!F190</f>
        <v>Не заполнено</v>
      </c>
      <c r="H326" s="174">
        <f>Практики!Q190</f>
        <v>0</v>
      </c>
    </row>
    <row r="327" spans="1:8" x14ac:dyDescent="0.4">
      <c r="A327" s="390"/>
      <c r="B327" s="574" t="s">
        <v>2159</v>
      </c>
      <c r="C327" s="574">
        <f t="shared" si="6"/>
        <v>1</v>
      </c>
      <c r="D327" s="574" t="s">
        <v>3574</v>
      </c>
      <c r="E327" s="583" t="s">
        <v>3575</v>
      </c>
      <c r="F327" s="203" t="str">
        <f>Практики!C183</f>
        <v>T-PREPROD-DAST-4-1</v>
      </c>
      <c r="G327" s="203" t="str">
        <f>Практики!F183</f>
        <v>Не заполнено</v>
      </c>
      <c r="H327" s="174">
        <f>Практики!Q183</f>
        <v>0</v>
      </c>
    </row>
    <row r="328" spans="1:8" x14ac:dyDescent="0.4">
      <c r="A328" s="390"/>
      <c r="B328" s="575"/>
      <c r="C328" s="575"/>
      <c r="D328" s="575"/>
      <c r="E328" s="584"/>
      <c r="F328" s="203" t="str">
        <f>Практики!C245</f>
        <v>T-PROD-DAST-4-1</v>
      </c>
      <c r="G328" s="203" t="str">
        <f>Практики!F245</f>
        <v>Не заполнено</v>
      </c>
      <c r="H328" s="174">
        <f>Практики!Q245</f>
        <v>0</v>
      </c>
    </row>
    <row r="329" spans="1:8" x14ac:dyDescent="0.4">
      <c r="A329" s="390"/>
      <c r="B329" s="390" t="s">
        <v>2159</v>
      </c>
      <c r="C329" s="390">
        <f t="shared" si="6"/>
        <v>1</v>
      </c>
      <c r="D329" s="390" t="s">
        <v>2888</v>
      </c>
      <c r="E329" s="582" t="s">
        <v>3576</v>
      </c>
      <c r="F329" s="203" t="str">
        <f>Практики!C186</f>
        <v>T-PREPROD-PENTEST-0-1</v>
      </c>
      <c r="G329" s="203" t="str">
        <f>Практики!F186</f>
        <v>Не заполнено</v>
      </c>
      <c r="H329" s="174">
        <f>Практики!Q186</f>
        <v>0</v>
      </c>
    </row>
    <row r="330" spans="1:8" x14ac:dyDescent="0.4">
      <c r="A330" s="390"/>
      <c r="B330" s="390"/>
      <c r="C330" s="390"/>
      <c r="D330" s="390"/>
      <c r="E330" s="582"/>
      <c r="F330" s="203" t="str">
        <f>Практики!C187</f>
        <v>T-PREPROD-PENTEST-1-1</v>
      </c>
      <c r="G330" s="203" t="str">
        <f>Практики!F187</f>
        <v>Не заполнено</v>
      </c>
      <c r="H330" s="174">
        <f>Практики!Q187</f>
        <v>0</v>
      </c>
    </row>
    <row r="331" spans="1:8" x14ac:dyDescent="0.4">
      <c r="A331" s="390"/>
      <c r="B331" s="390"/>
      <c r="C331" s="390"/>
      <c r="D331" s="390"/>
      <c r="E331" s="582"/>
      <c r="F331" s="203" t="str">
        <f>Практики!C188</f>
        <v>T-PREPROD-PENTEST-1-2</v>
      </c>
      <c r="G331" s="203" t="str">
        <f>Практики!F188</f>
        <v>Не заполнено</v>
      </c>
      <c r="H331" s="174">
        <f>Практики!Q188</f>
        <v>0</v>
      </c>
    </row>
    <row r="332" spans="1:8" x14ac:dyDescent="0.4">
      <c r="A332" s="390"/>
      <c r="B332" s="390"/>
      <c r="C332" s="390"/>
      <c r="D332" s="390"/>
      <c r="E332" s="582"/>
      <c r="F332" s="203" t="str">
        <f>Практики!C189</f>
        <v>T-PREPROD-PENTEST-1-3</v>
      </c>
      <c r="G332" s="203" t="str">
        <f>Практики!F189</f>
        <v>Не заполнено</v>
      </c>
      <c r="H332" s="174">
        <f>Практики!Q189</f>
        <v>0</v>
      </c>
    </row>
    <row r="333" spans="1:8" x14ac:dyDescent="0.4">
      <c r="A333" s="390"/>
      <c r="B333" s="390"/>
      <c r="C333" s="390"/>
      <c r="D333" s="390"/>
      <c r="E333" s="582"/>
      <c r="F333" s="203" t="str">
        <f>Практики!C225</f>
        <v>T-PROD-PENTEST-0-1</v>
      </c>
      <c r="G333" s="203" t="str">
        <f>Практики!F225</f>
        <v>Не заполнено</v>
      </c>
      <c r="H333" s="174">
        <f>Практики!Q225</f>
        <v>0</v>
      </c>
    </row>
    <row r="334" spans="1:8" x14ac:dyDescent="0.4">
      <c r="A334" s="390"/>
      <c r="B334" s="390"/>
      <c r="C334" s="390"/>
      <c r="D334" s="390"/>
      <c r="E334" s="582"/>
      <c r="F334" s="203" t="str">
        <f>Практики!C227</f>
        <v>T-PROD-PENTEST-1-2</v>
      </c>
      <c r="G334" s="203" t="str">
        <f>Практики!F227</f>
        <v>Не заполнено</v>
      </c>
      <c r="H334" s="174">
        <f>Практики!Q227</f>
        <v>0</v>
      </c>
    </row>
    <row r="335" spans="1:8" x14ac:dyDescent="0.4">
      <c r="A335" s="390"/>
      <c r="B335" s="390"/>
      <c r="C335" s="390"/>
      <c r="D335" s="390"/>
      <c r="E335" s="582"/>
      <c r="F335" s="203" t="str">
        <f>Практики!C228</f>
        <v>T-PROD-PENTEST-1-3</v>
      </c>
      <c r="G335" s="203" t="str">
        <f>Практики!F228</f>
        <v>Не заполнено</v>
      </c>
      <c r="H335" s="174">
        <f>Практики!Q228</f>
        <v>0</v>
      </c>
    </row>
    <row r="336" spans="1:8" x14ac:dyDescent="0.4">
      <c r="A336" s="390"/>
      <c r="B336" s="390"/>
      <c r="C336" s="390"/>
      <c r="D336" s="390"/>
      <c r="E336" s="582"/>
      <c r="F336" s="203" t="str">
        <f>Практики!C230</f>
        <v>T-PROD-PENTEST-3-1</v>
      </c>
      <c r="G336" s="203" t="str">
        <f>Практики!F230</f>
        <v>Не заполнено</v>
      </c>
      <c r="H336" s="174">
        <f>Практики!Q230</f>
        <v>0</v>
      </c>
    </row>
    <row r="337" spans="1:8" ht="50.4" x14ac:dyDescent="0.4">
      <c r="A337" s="390"/>
      <c r="B337" s="174" t="s">
        <v>2159</v>
      </c>
      <c r="C337" s="174" t="str">
        <f t="shared" si="6"/>
        <v/>
      </c>
      <c r="D337" s="174" t="s">
        <v>2384</v>
      </c>
      <c r="E337" s="208" t="s">
        <v>3577</v>
      </c>
      <c r="F337" s="203"/>
      <c r="G337" s="203"/>
      <c r="H337" s="174"/>
    </row>
    <row r="338" spans="1:8" x14ac:dyDescent="0.4">
      <c r="A338" s="174" t="s">
        <v>3578</v>
      </c>
      <c r="B338" s="174"/>
      <c r="C338" s="174" t="str">
        <f t="shared" si="6"/>
        <v/>
      </c>
      <c r="D338" s="174"/>
      <c r="E338" s="581" t="s">
        <v>3205</v>
      </c>
      <c r="F338" s="581"/>
      <c r="G338" s="581"/>
      <c r="H338" s="581"/>
    </row>
    <row r="339" spans="1:8" ht="134.4" x14ac:dyDescent="0.4">
      <c r="A339" s="390"/>
      <c r="B339" s="174"/>
      <c r="C339" s="174" t="str">
        <f t="shared" si="6"/>
        <v/>
      </c>
      <c r="D339" s="174" t="s">
        <v>3579</v>
      </c>
      <c r="E339" s="208" t="s">
        <v>3580</v>
      </c>
      <c r="F339" s="203"/>
      <c r="G339" s="203"/>
      <c r="H339" s="174"/>
    </row>
    <row r="340" spans="1:8" ht="151.19999999999999" x14ac:dyDescent="0.4">
      <c r="A340" s="390"/>
      <c r="B340" s="174"/>
      <c r="C340" s="174" t="str">
        <f t="shared" si="6"/>
        <v/>
      </c>
      <c r="D340" s="174" t="s">
        <v>3581</v>
      </c>
      <c r="E340" s="208" t="s">
        <v>3582</v>
      </c>
      <c r="F340" s="203"/>
      <c r="G340" s="203"/>
      <c r="H340" s="174"/>
    </row>
    <row r="341" spans="1:8" ht="33.6" x14ac:dyDescent="0.4">
      <c r="A341" s="390"/>
      <c r="B341" s="174"/>
      <c r="C341" s="174" t="str">
        <f t="shared" si="6"/>
        <v/>
      </c>
      <c r="D341" s="174" t="s">
        <v>3583</v>
      </c>
      <c r="E341" s="208" t="s">
        <v>3584</v>
      </c>
      <c r="F341" s="203"/>
      <c r="G341" s="203"/>
      <c r="H341" s="174"/>
    </row>
    <row r="342" spans="1:8" ht="20.399999999999999" x14ac:dyDescent="0.4">
      <c r="A342" s="174" t="s">
        <v>3585</v>
      </c>
      <c r="B342" s="174"/>
      <c r="C342" s="174" t="str">
        <f t="shared" si="6"/>
        <v/>
      </c>
      <c r="D342" s="174"/>
      <c r="E342" s="580" t="s">
        <v>3067</v>
      </c>
      <c r="F342" s="580"/>
      <c r="G342" s="580"/>
      <c r="H342" s="580"/>
    </row>
    <row r="343" spans="1:8" x14ac:dyDescent="0.4">
      <c r="A343" s="174" t="s">
        <v>3586</v>
      </c>
      <c r="B343" s="174"/>
      <c r="C343" s="174" t="str">
        <f t="shared" si="6"/>
        <v/>
      </c>
      <c r="D343" s="174"/>
      <c r="E343" s="581" t="s">
        <v>3187</v>
      </c>
      <c r="F343" s="581"/>
      <c r="G343" s="581"/>
      <c r="H343" s="581"/>
    </row>
    <row r="344" spans="1:8" x14ac:dyDescent="0.4">
      <c r="A344" s="174"/>
      <c r="B344" s="174"/>
      <c r="C344" s="174" t="str">
        <f t="shared" si="6"/>
        <v/>
      </c>
      <c r="D344" s="174" t="s">
        <v>3587</v>
      </c>
      <c r="E344" s="208" t="s">
        <v>3588</v>
      </c>
      <c r="F344" s="203"/>
      <c r="G344" s="203"/>
      <c r="H344" s="174"/>
    </row>
    <row r="345" spans="1:8" x14ac:dyDescent="0.4">
      <c r="A345" s="174" t="s">
        <v>3589</v>
      </c>
      <c r="B345" s="174"/>
      <c r="C345" s="174" t="str">
        <f t="shared" si="6"/>
        <v/>
      </c>
      <c r="D345" s="174"/>
      <c r="E345" s="581" t="s">
        <v>3195</v>
      </c>
      <c r="F345" s="581"/>
      <c r="G345" s="581"/>
      <c r="H345" s="581"/>
    </row>
    <row r="346" spans="1:8" x14ac:dyDescent="0.4">
      <c r="A346" s="390"/>
      <c r="B346" s="174" t="s">
        <v>2159</v>
      </c>
      <c r="C346" s="174" t="str">
        <f t="shared" si="6"/>
        <v/>
      </c>
      <c r="D346" s="174" t="s">
        <v>2385</v>
      </c>
      <c r="E346" s="208" t="s">
        <v>3590</v>
      </c>
      <c r="F346" s="203"/>
      <c r="G346" s="203"/>
      <c r="H346" s="174"/>
    </row>
    <row r="347" spans="1:8" ht="50.4" x14ac:dyDescent="0.4">
      <c r="A347" s="390"/>
      <c r="B347" s="174" t="s">
        <v>2159</v>
      </c>
      <c r="C347" s="174">
        <f t="shared" si="6"/>
        <v>1</v>
      </c>
      <c r="D347" s="174" t="s">
        <v>2893</v>
      </c>
      <c r="E347" s="208" t="s">
        <v>3591</v>
      </c>
      <c r="F347" s="203" t="str">
        <f>Практики!C357</f>
        <v>P-DEFECT-MNG-4-1</v>
      </c>
      <c r="G347" s="203" t="str">
        <f>Практики!F357</f>
        <v>Не заполнено</v>
      </c>
      <c r="H347" s="174">
        <f>Практики!Q357</f>
        <v>0</v>
      </c>
    </row>
    <row r="348" spans="1:8" x14ac:dyDescent="0.4">
      <c r="A348" s="390"/>
      <c r="B348" s="174" t="s">
        <v>2159</v>
      </c>
      <c r="C348" s="174" t="str">
        <f t="shared" si="6"/>
        <v/>
      </c>
      <c r="D348" s="174" t="s">
        <v>2386</v>
      </c>
      <c r="E348" s="208" t="s">
        <v>3592</v>
      </c>
      <c r="F348" s="203"/>
      <c r="G348" s="203"/>
      <c r="H348" s="174"/>
    </row>
    <row r="349" spans="1:8" x14ac:dyDescent="0.4">
      <c r="A349" s="390"/>
      <c r="B349" s="174" t="s">
        <v>2159</v>
      </c>
      <c r="C349" s="174">
        <f t="shared" si="6"/>
        <v>1</v>
      </c>
      <c r="D349" s="174" t="s">
        <v>2387</v>
      </c>
      <c r="E349" s="208" t="s">
        <v>3593</v>
      </c>
      <c r="F349" s="203" t="str">
        <f>Практики!C230</f>
        <v>T-PROD-PENTEST-3-1</v>
      </c>
      <c r="G349" s="203" t="str">
        <f>Практики!F230</f>
        <v>Не заполнено</v>
      </c>
      <c r="H349" s="174">
        <f>Практики!Q230</f>
        <v>0</v>
      </c>
    </row>
    <row r="350" spans="1:8" x14ac:dyDescent="0.4">
      <c r="A350" s="174" t="s">
        <v>3594</v>
      </c>
      <c r="B350" s="174"/>
      <c r="C350" s="174" t="str">
        <f t="shared" si="6"/>
        <v/>
      </c>
      <c r="D350" s="174"/>
      <c r="E350" s="581" t="s">
        <v>3205</v>
      </c>
      <c r="F350" s="581"/>
      <c r="G350" s="581"/>
      <c r="H350" s="581"/>
    </row>
    <row r="351" spans="1:8" ht="50.4" x14ac:dyDescent="0.4">
      <c r="A351" s="390"/>
      <c r="B351" s="174"/>
      <c r="C351" s="174" t="str">
        <f t="shared" si="6"/>
        <v/>
      </c>
      <c r="D351" s="174" t="s">
        <v>3595</v>
      </c>
      <c r="E351" s="208" t="s">
        <v>3596</v>
      </c>
      <c r="F351" s="203"/>
      <c r="G351" s="203"/>
      <c r="H351" s="174"/>
    </row>
    <row r="352" spans="1:8" ht="67.2" x14ac:dyDescent="0.4">
      <c r="A352" s="390"/>
      <c r="B352" s="174"/>
      <c r="C352" s="174" t="str">
        <f t="shared" si="6"/>
        <v/>
      </c>
      <c r="D352" s="174" t="s">
        <v>3597</v>
      </c>
      <c r="E352" s="208" t="s">
        <v>3598</v>
      </c>
      <c r="F352" s="203"/>
      <c r="G352" s="203"/>
      <c r="H352" s="174"/>
    </row>
    <row r="353" spans="1:8" ht="67.2" x14ac:dyDescent="0.4">
      <c r="A353" s="390"/>
      <c r="B353" s="174"/>
      <c r="C353" s="174" t="str">
        <f t="shared" si="6"/>
        <v/>
      </c>
      <c r="D353" s="174" t="s">
        <v>3599</v>
      </c>
      <c r="E353" s="208" t="s">
        <v>3600</v>
      </c>
      <c r="F353" s="203"/>
      <c r="G353" s="203"/>
      <c r="H353" s="174"/>
    </row>
    <row r="354" spans="1:8" x14ac:dyDescent="0.4">
      <c r="A354" s="390"/>
      <c r="B354" s="174"/>
      <c r="C354" s="174" t="str">
        <f t="shared" si="6"/>
        <v/>
      </c>
      <c r="D354" s="174" t="s">
        <v>3601</v>
      </c>
      <c r="E354" s="208" t="s">
        <v>3602</v>
      </c>
      <c r="F354" s="203"/>
      <c r="G354" s="203"/>
      <c r="H354" s="174"/>
    </row>
    <row r="355" spans="1:8" ht="20.399999999999999" x14ac:dyDescent="0.4">
      <c r="A355" s="174" t="s">
        <v>3603</v>
      </c>
      <c r="B355" s="174"/>
      <c r="C355" s="174" t="str">
        <f t="shared" si="6"/>
        <v/>
      </c>
      <c r="D355" s="174"/>
      <c r="E355" s="580" t="s">
        <v>3075</v>
      </c>
      <c r="F355" s="580"/>
      <c r="G355" s="580"/>
      <c r="H355" s="580"/>
    </row>
    <row r="356" spans="1:8" x14ac:dyDescent="0.4">
      <c r="A356" s="174" t="s">
        <v>3604</v>
      </c>
      <c r="B356" s="174"/>
      <c r="C356" s="174" t="str">
        <f t="shared" si="6"/>
        <v/>
      </c>
      <c r="D356" s="174"/>
      <c r="E356" s="581" t="s">
        <v>3187</v>
      </c>
      <c r="F356" s="581"/>
      <c r="G356" s="581"/>
      <c r="H356" s="581"/>
    </row>
    <row r="357" spans="1:8" x14ac:dyDescent="0.4">
      <c r="A357" s="174"/>
      <c r="B357" s="174"/>
      <c r="C357" s="174" t="str">
        <f t="shared" si="6"/>
        <v/>
      </c>
      <c r="D357" s="174" t="s">
        <v>3605</v>
      </c>
      <c r="E357" s="208" t="s">
        <v>3606</v>
      </c>
      <c r="F357" s="203"/>
      <c r="G357" s="203"/>
      <c r="H357" s="174"/>
    </row>
    <row r="358" spans="1:8" x14ac:dyDescent="0.4">
      <c r="A358" s="174" t="s">
        <v>3607</v>
      </c>
      <c r="B358" s="174"/>
      <c r="C358" s="174" t="str">
        <f t="shared" si="6"/>
        <v/>
      </c>
      <c r="D358" s="174"/>
      <c r="E358" s="581" t="s">
        <v>3195</v>
      </c>
      <c r="F358" s="581"/>
      <c r="G358" s="581"/>
      <c r="H358" s="581"/>
    </row>
    <row r="359" spans="1:8" x14ac:dyDescent="0.4">
      <c r="A359" s="390"/>
      <c r="B359" s="174" t="s">
        <v>2159</v>
      </c>
      <c r="C359" s="174" t="str">
        <f t="shared" si="6"/>
        <v/>
      </c>
      <c r="D359" s="174" t="s">
        <v>2388</v>
      </c>
      <c r="E359" s="208" t="s">
        <v>3608</v>
      </c>
      <c r="F359" s="203"/>
      <c r="G359" s="203"/>
      <c r="H359" s="174"/>
    </row>
    <row r="360" spans="1:8" ht="33.6" x14ac:dyDescent="0.4">
      <c r="A360" s="390"/>
      <c r="B360" s="174" t="s">
        <v>2159</v>
      </c>
      <c r="C360" s="174" t="str">
        <f t="shared" si="6"/>
        <v/>
      </c>
      <c r="D360" s="174" t="s">
        <v>2389</v>
      </c>
      <c r="E360" s="208" t="s">
        <v>3609</v>
      </c>
      <c r="F360" s="203"/>
      <c r="G360" s="203"/>
      <c r="H360" s="174"/>
    </row>
    <row r="361" spans="1:8" ht="33.6" x14ac:dyDescent="0.4">
      <c r="A361" s="390"/>
      <c r="B361" s="174" t="s">
        <v>2159</v>
      </c>
      <c r="C361" s="174" t="str">
        <f t="shared" si="6"/>
        <v/>
      </c>
      <c r="D361" s="174" t="s">
        <v>2390</v>
      </c>
      <c r="E361" s="208" t="s">
        <v>3610</v>
      </c>
      <c r="F361" s="203"/>
      <c r="G361" s="203"/>
      <c r="H361" s="174"/>
    </row>
    <row r="362" spans="1:8" ht="67.2" x14ac:dyDescent="0.4">
      <c r="A362" s="390"/>
      <c r="B362" s="174" t="s">
        <v>2159</v>
      </c>
      <c r="C362" s="174" t="str">
        <f t="shared" si="6"/>
        <v/>
      </c>
      <c r="D362" s="174" t="s">
        <v>2391</v>
      </c>
      <c r="E362" s="208" t="s">
        <v>3611</v>
      </c>
      <c r="F362" s="203"/>
      <c r="G362" s="203"/>
      <c r="H362" s="174"/>
    </row>
    <row r="363" spans="1:8" x14ac:dyDescent="0.4">
      <c r="A363" s="174" t="s">
        <v>3612</v>
      </c>
      <c r="B363" s="174"/>
      <c r="C363" s="174" t="str">
        <f t="shared" si="6"/>
        <v/>
      </c>
      <c r="D363" s="174"/>
      <c r="E363" s="581" t="s">
        <v>3205</v>
      </c>
      <c r="F363" s="581"/>
      <c r="G363" s="581"/>
      <c r="H363" s="581"/>
    </row>
    <row r="364" spans="1:8" ht="117.6" x14ac:dyDescent="0.4">
      <c r="A364" s="390"/>
      <c r="B364" s="174"/>
      <c r="C364" s="174" t="str">
        <f t="shared" si="6"/>
        <v/>
      </c>
      <c r="D364" s="174" t="s">
        <v>3613</v>
      </c>
      <c r="E364" s="208" t="s">
        <v>3614</v>
      </c>
      <c r="F364" s="203"/>
      <c r="G364" s="203"/>
      <c r="H364" s="174"/>
    </row>
    <row r="365" spans="1:8" ht="33.6" x14ac:dyDescent="0.4">
      <c r="A365" s="390"/>
      <c r="B365" s="174"/>
      <c r="C365" s="174" t="str">
        <f t="shared" si="6"/>
        <v/>
      </c>
      <c r="D365" s="174" t="s">
        <v>3615</v>
      </c>
      <c r="E365" s="208" t="s">
        <v>3616</v>
      </c>
      <c r="F365" s="203"/>
      <c r="G365" s="203"/>
      <c r="H365" s="174"/>
    </row>
    <row r="366" spans="1:8" ht="50.4" x14ac:dyDescent="0.4">
      <c r="A366" s="390"/>
      <c r="B366" s="174"/>
      <c r="C366" s="174" t="str">
        <f t="shared" si="6"/>
        <v/>
      </c>
      <c r="D366" s="174" t="s">
        <v>3617</v>
      </c>
      <c r="E366" s="208" t="s">
        <v>3618</v>
      </c>
      <c r="F366" s="203"/>
      <c r="G366" s="203"/>
      <c r="H366" s="174"/>
    </row>
    <row r="367" spans="1:8" ht="33.6" x14ac:dyDescent="0.4">
      <c r="A367" s="390"/>
      <c r="B367" s="174"/>
      <c r="C367" s="174" t="str">
        <f t="shared" si="6"/>
        <v/>
      </c>
      <c r="D367" s="174" t="s">
        <v>3619</v>
      </c>
      <c r="E367" s="208" t="s">
        <v>3620</v>
      </c>
      <c r="F367" s="203"/>
      <c r="G367" s="203"/>
      <c r="H367" s="174"/>
    </row>
    <row r="368" spans="1:8" ht="20.399999999999999" x14ac:dyDescent="0.4">
      <c r="A368" s="174" t="s">
        <v>3621</v>
      </c>
      <c r="B368" s="174"/>
      <c r="C368" s="174" t="str">
        <f t="shared" si="6"/>
        <v/>
      </c>
      <c r="D368" s="174"/>
      <c r="E368" s="580" t="s">
        <v>3084</v>
      </c>
      <c r="F368" s="580"/>
      <c r="G368" s="580"/>
      <c r="H368" s="580"/>
    </row>
    <row r="369" spans="1:8" x14ac:dyDescent="0.4">
      <c r="A369" s="174" t="s">
        <v>3622</v>
      </c>
      <c r="B369" s="174"/>
      <c r="C369" s="174" t="str">
        <f t="shared" si="6"/>
        <v/>
      </c>
      <c r="D369" s="174"/>
      <c r="E369" s="581" t="s">
        <v>3187</v>
      </c>
      <c r="F369" s="581"/>
      <c r="G369" s="581"/>
      <c r="H369" s="581"/>
    </row>
    <row r="370" spans="1:8" ht="33.6" x14ac:dyDescent="0.4">
      <c r="A370" s="174"/>
      <c r="B370" s="174"/>
      <c r="C370" s="174" t="str">
        <f t="shared" si="6"/>
        <v/>
      </c>
      <c r="D370" s="174" t="s">
        <v>3623</v>
      </c>
      <c r="E370" s="208" t="s">
        <v>3624</v>
      </c>
      <c r="F370" s="203"/>
      <c r="G370" s="203"/>
      <c r="H370" s="174"/>
    </row>
    <row r="371" spans="1:8" x14ac:dyDescent="0.4">
      <c r="A371" s="174" t="s">
        <v>3625</v>
      </c>
      <c r="B371" s="174"/>
      <c r="C371" s="174" t="str">
        <f t="shared" si="6"/>
        <v/>
      </c>
      <c r="D371" s="174"/>
      <c r="E371" s="581" t="s">
        <v>3195</v>
      </c>
      <c r="F371" s="581"/>
      <c r="G371" s="581"/>
      <c r="H371" s="581"/>
    </row>
    <row r="372" spans="1:8" x14ac:dyDescent="0.4">
      <c r="A372" s="390"/>
      <c r="B372" s="174" t="s">
        <v>2159</v>
      </c>
      <c r="C372" s="174" t="str">
        <f t="shared" si="6"/>
        <v/>
      </c>
      <c r="D372" s="174" t="s">
        <v>2392</v>
      </c>
      <c r="E372" s="208" t="s">
        <v>3626</v>
      </c>
      <c r="F372" s="203"/>
      <c r="G372" s="203"/>
      <c r="H372" s="174"/>
    </row>
    <row r="373" spans="1:8" ht="33.6" x14ac:dyDescent="0.4">
      <c r="A373" s="390"/>
      <c r="B373" s="174" t="s">
        <v>2159</v>
      </c>
      <c r="C373" s="174" t="str">
        <f t="shared" si="6"/>
        <v/>
      </c>
      <c r="D373" s="174" t="s">
        <v>2393</v>
      </c>
      <c r="E373" s="208" t="s">
        <v>3627</v>
      </c>
      <c r="F373" s="203"/>
      <c r="G373" s="203"/>
      <c r="H373" s="174"/>
    </row>
    <row r="374" spans="1:8" ht="33.6" x14ac:dyDescent="0.4">
      <c r="A374" s="390"/>
      <c r="B374" s="174" t="s">
        <v>2159</v>
      </c>
      <c r="C374" s="174" t="str">
        <f t="shared" ref="C374:C429" si="7">IF(F374&lt;&gt;"",1,"")</f>
        <v/>
      </c>
      <c r="D374" s="174" t="s">
        <v>2394</v>
      </c>
      <c r="E374" s="208" t="s">
        <v>3628</v>
      </c>
      <c r="F374" s="203"/>
      <c r="G374" s="203"/>
      <c r="H374" s="174"/>
    </row>
    <row r="375" spans="1:8" ht="50.4" x14ac:dyDescent="0.4">
      <c r="A375" s="390"/>
      <c r="B375" s="174" t="s">
        <v>2159</v>
      </c>
      <c r="C375" s="174" t="str">
        <f t="shared" si="7"/>
        <v/>
      </c>
      <c r="D375" s="174" t="s">
        <v>2395</v>
      </c>
      <c r="E375" s="208" t="s">
        <v>3629</v>
      </c>
      <c r="F375" s="203"/>
      <c r="G375" s="203"/>
      <c r="H375" s="174"/>
    </row>
    <row r="376" spans="1:8" ht="50.4" x14ac:dyDescent="0.4">
      <c r="A376" s="390"/>
      <c r="B376" s="174" t="s">
        <v>2159</v>
      </c>
      <c r="C376" s="174" t="str">
        <f t="shared" si="7"/>
        <v/>
      </c>
      <c r="D376" s="174" t="s">
        <v>2396</v>
      </c>
      <c r="E376" s="208" t="s">
        <v>3630</v>
      </c>
      <c r="F376" s="203"/>
      <c r="G376" s="203"/>
      <c r="H376" s="174"/>
    </row>
    <row r="377" spans="1:8" x14ac:dyDescent="0.4">
      <c r="A377" s="174" t="s">
        <v>3631</v>
      </c>
      <c r="B377" s="174"/>
      <c r="C377" s="174" t="str">
        <f t="shared" si="7"/>
        <v/>
      </c>
      <c r="D377" s="174"/>
      <c r="E377" s="581" t="s">
        <v>3205</v>
      </c>
      <c r="F377" s="581"/>
      <c r="G377" s="581"/>
      <c r="H377" s="581"/>
    </row>
    <row r="378" spans="1:8" ht="184.8" x14ac:dyDescent="0.4">
      <c r="A378" s="390"/>
      <c r="B378" s="174"/>
      <c r="C378" s="174" t="str">
        <f t="shared" si="7"/>
        <v/>
      </c>
      <c r="D378" s="174" t="s">
        <v>3632</v>
      </c>
      <c r="E378" s="208" t="s">
        <v>3633</v>
      </c>
      <c r="F378" s="203"/>
      <c r="G378" s="203"/>
      <c r="H378" s="174"/>
    </row>
    <row r="379" spans="1:8" ht="50.4" x14ac:dyDescent="0.4">
      <c r="A379" s="390"/>
      <c r="B379" s="174"/>
      <c r="C379" s="174" t="str">
        <f t="shared" si="7"/>
        <v/>
      </c>
      <c r="D379" s="174" t="s">
        <v>3634</v>
      </c>
      <c r="E379" s="208" t="s">
        <v>3635</v>
      </c>
      <c r="F379" s="203"/>
      <c r="G379" s="203"/>
      <c r="H379" s="174"/>
    </row>
    <row r="380" spans="1:8" ht="50.4" x14ac:dyDescent="0.4">
      <c r="A380" s="390"/>
      <c r="B380" s="174"/>
      <c r="C380" s="174" t="str">
        <f t="shared" si="7"/>
        <v/>
      </c>
      <c r="D380" s="174" t="s">
        <v>3636</v>
      </c>
      <c r="E380" s="208" t="s">
        <v>3637</v>
      </c>
      <c r="F380" s="203"/>
      <c r="G380" s="203"/>
      <c r="H380" s="174"/>
    </row>
    <row r="381" spans="1:8" ht="67.2" x14ac:dyDescent="0.4">
      <c r="A381" s="390"/>
      <c r="B381" s="174"/>
      <c r="C381" s="174" t="str">
        <f t="shared" si="7"/>
        <v/>
      </c>
      <c r="D381" s="174" t="s">
        <v>3638</v>
      </c>
      <c r="E381" s="208" t="s">
        <v>3639</v>
      </c>
      <c r="F381" s="203"/>
      <c r="G381" s="203"/>
      <c r="H381" s="174"/>
    </row>
    <row r="382" spans="1:8" ht="50.4" x14ac:dyDescent="0.4">
      <c r="A382" s="390"/>
      <c r="B382" s="174"/>
      <c r="C382" s="174" t="str">
        <f t="shared" si="7"/>
        <v/>
      </c>
      <c r="D382" s="174" t="s">
        <v>3640</v>
      </c>
      <c r="E382" s="208" t="s">
        <v>3641</v>
      </c>
      <c r="F382" s="203"/>
      <c r="G382" s="203"/>
      <c r="H382" s="174"/>
    </row>
    <row r="383" spans="1:8" ht="20.399999999999999" x14ac:dyDescent="0.4">
      <c r="A383" s="174" t="s">
        <v>3642</v>
      </c>
      <c r="B383" s="174"/>
      <c r="C383" s="174" t="str">
        <f t="shared" si="7"/>
        <v/>
      </c>
      <c r="D383" s="174"/>
      <c r="E383" s="580" t="s">
        <v>3092</v>
      </c>
      <c r="F383" s="580"/>
      <c r="G383" s="580"/>
      <c r="H383" s="580"/>
    </row>
    <row r="384" spans="1:8" x14ac:dyDescent="0.4">
      <c r="A384" s="174" t="s">
        <v>3643</v>
      </c>
      <c r="B384" s="174"/>
      <c r="C384" s="174" t="str">
        <f t="shared" si="7"/>
        <v/>
      </c>
      <c r="D384" s="174"/>
      <c r="E384" s="581" t="s">
        <v>3187</v>
      </c>
      <c r="F384" s="581"/>
      <c r="G384" s="581"/>
      <c r="H384" s="581"/>
    </row>
    <row r="385" spans="1:8" x14ac:dyDescent="0.4">
      <c r="A385" s="174"/>
      <c r="B385" s="174"/>
      <c r="C385" s="174" t="str">
        <f t="shared" si="7"/>
        <v/>
      </c>
      <c r="D385" s="174" t="s">
        <v>3644</v>
      </c>
      <c r="E385" s="208" t="s">
        <v>3645</v>
      </c>
      <c r="F385" s="203"/>
      <c r="G385" s="203"/>
      <c r="H385" s="174"/>
    </row>
    <row r="386" spans="1:8" x14ac:dyDescent="0.4">
      <c r="A386" s="174" t="s">
        <v>3646</v>
      </c>
      <c r="B386" s="174"/>
      <c r="C386" s="174" t="str">
        <f t="shared" si="7"/>
        <v/>
      </c>
      <c r="D386" s="174"/>
      <c r="E386" s="581" t="s">
        <v>3195</v>
      </c>
      <c r="F386" s="581"/>
      <c r="G386" s="581"/>
      <c r="H386" s="581"/>
    </row>
    <row r="387" spans="1:8" ht="33.6" x14ac:dyDescent="0.4">
      <c r="A387" s="390"/>
      <c r="B387" s="174" t="s">
        <v>2159</v>
      </c>
      <c r="C387" s="174" t="str">
        <f t="shared" si="7"/>
        <v/>
      </c>
      <c r="D387" s="174" t="s">
        <v>2397</v>
      </c>
      <c r="E387" s="208" t="s">
        <v>3647</v>
      </c>
      <c r="F387" s="203"/>
      <c r="G387" s="203"/>
      <c r="H387" s="174"/>
    </row>
    <row r="388" spans="1:8" ht="50.4" x14ac:dyDescent="0.4">
      <c r="A388" s="390"/>
      <c r="B388" s="174" t="s">
        <v>2159</v>
      </c>
      <c r="C388" s="174" t="str">
        <f t="shared" si="7"/>
        <v/>
      </c>
      <c r="D388" s="174" t="s">
        <v>2398</v>
      </c>
      <c r="E388" s="208" t="s">
        <v>3648</v>
      </c>
      <c r="F388" s="203"/>
      <c r="G388" s="203"/>
      <c r="H388" s="174"/>
    </row>
    <row r="389" spans="1:8" ht="33.6" x14ac:dyDescent="0.4">
      <c r="A389" s="390"/>
      <c r="B389" s="174" t="s">
        <v>2159</v>
      </c>
      <c r="C389" s="174" t="str">
        <f t="shared" si="7"/>
        <v/>
      </c>
      <c r="D389" s="174" t="s">
        <v>2399</v>
      </c>
      <c r="E389" s="208" t="s">
        <v>3649</v>
      </c>
      <c r="F389" s="203"/>
      <c r="G389" s="203"/>
      <c r="H389" s="174"/>
    </row>
    <row r="390" spans="1:8" ht="50.4" x14ac:dyDescent="0.4">
      <c r="A390" s="390"/>
      <c r="B390" s="174" t="s">
        <v>2159</v>
      </c>
      <c r="C390" s="174" t="str">
        <f t="shared" si="7"/>
        <v/>
      </c>
      <c r="D390" s="174" t="s">
        <v>2400</v>
      </c>
      <c r="E390" s="208" t="s">
        <v>3650</v>
      </c>
      <c r="F390" s="203"/>
      <c r="G390" s="203"/>
      <c r="H390" s="174"/>
    </row>
    <row r="391" spans="1:8" ht="50.4" x14ac:dyDescent="0.4">
      <c r="A391" s="390"/>
      <c r="B391" s="174" t="s">
        <v>2159</v>
      </c>
      <c r="C391" s="174" t="str">
        <f t="shared" si="7"/>
        <v/>
      </c>
      <c r="D391" s="174" t="s">
        <v>2401</v>
      </c>
      <c r="E391" s="208" t="s">
        <v>3651</v>
      </c>
      <c r="F391" s="203"/>
      <c r="G391" s="203"/>
      <c r="H391" s="174"/>
    </row>
    <row r="392" spans="1:8" x14ac:dyDescent="0.4">
      <c r="A392" s="174" t="s">
        <v>3652</v>
      </c>
      <c r="B392" s="174"/>
      <c r="C392" s="174" t="str">
        <f t="shared" si="7"/>
        <v/>
      </c>
      <c r="D392" s="174"/>
      <c r="E392" s="581" t="s">
        <v>3205</v>
      </c>
      <c r="F392" s="581"/>
      <c r="G392" s="581"/>
      <c r="H392" s="581"/>
    </row>
    <row r="393" spans="1:8" ht="84" x14ac:dyDescent="0.4">
      <c r="A393" s="390"/>
      <c r="B393" s="174"/>
      <c r="C393" s="174" t="str">
        <f t="shared" si="7"/>
        <v/>
      </c>
      <c r="D393" s="174" t="s">
        <v>3653</v>
      </c>
      <c r="E393" s="208" t="s">
        <v>3654</v>
      </c>
      <c r="F393" s="203"/>
      <c r="G393" s="203"/>
      <c r="H393" s="174"/>
    </row>
    <row r="394" spans="1:8" ht="50.4" x14ac:dyDescent="0.4">
      <c r="A394" s="390"/>
      <c r="B394" s="174"/>
      <c r="C394" s="174" t="str">
        <f t="shared" si="7"/>
        <v/>
      </c>
      <c r="D394" s="174" t="s">
        <v>3655</v>
      </c>
      <c r="E394" s="208" t="s">
        <v>3656</v>
      </c>
      <c r="F394" s="203"/>
      <c r="G394" s="203"/>
      <c r="H394" s="174"/>
    </row>
    <row r="395" spans="1:8" ht="100.8" x14ac:dyDescent="0.4">
      <c r="A395" s="390"/>
      <c r="B395" s="174"/>
      <c r="C395" s="174" t="str">
        <f t="shared" si="7"/>
        <v/>
      </c>
      <c r="D395" s="174" t="s">
        <v>3657</v>
      </c>
      <c r="E395" s="208" t="s">
        <v>3658</v>
      </c>
      <c r="F395" s="203"/>
      <c r="G395" s="203"/>
      <c r="H395" s="174"/>
    </row>
    <row r="396" spans="1:8" ht="84" x14ac:dyDescent="0.4">
      <c r="A396" s="390"/>
      <c r="B396" s="174"/>
      <c r="C396" s="174" t="str">
        <f t="shared" si="7"/>
        <v/>
      </c>
      <c r="D396" s="174" t="s">
        <v>3659</v>
      </c>
      <c r="E396" s="208" t="s">
        <v>3660</v>
      </c>
      <c r="F396" s="203"/>
      <c r="G396" s="203"/>
      <c r="H396" s="174"/>
    </row>
    <row r="397" spans="1:8" ht="20.399999999999999" x14ac:dyDescent="0.4">
      <c r="A397" s="174" t="s">
        <v>3661</v>
      </c>
      <c r="B397" s="174"/>
      <c r="C397" s="174" t="str">
        <f t="shared" si="7"/>
        <v/>
      </c>
      <c r="D397" s="174"/>
      <c r="E397" s="580" t="s">
        <v>3098</v>
      </c>
      <c r="F397" s="580"/>
      <c r="G397" s="580"/>
      <c r="H397" s="580"/>
    </row>
    <row r="398" spans="1:8" x14ac:dyDescent="0.4">
      <c r="A398" s="174" t="s">
        <v>3662</v>
      </c>
      <c r="B398" s="174"/>
      <c r="C398" s="174" t="str">
        <f t="shared" si="7"/>
        <v/>
      </c>
      <c r="D398" s="174"/>
      <c r="E398" s="581" t="s">
        <v>3187</v>
      </c>
      <c r="F398" s="581"/>
      <c r="G398" s="581"/>
      <c r="H398" s="581"/>
    </row>
    <row r="399" spans="1:8" ht="50.4" x14ac:dyDescent="0.4">
      <c r="A399" s="174"/>
      <c r="B399" s="174"/>
      <c r="C399" s="174" t="str">
        <f t="shared" si="7"/>
        <v/>
      </c>
      <c r="D399" s="174" t="s">
        <v>3663</v>
      </c>
      <c r="E399" s="208" t="s">
        <v>3664</v>
      </c>
      <c r="F399" s="203"/>
      <c r="G399" s="203"/>
      <c r="H399" s="174"/>
    </row>
    <row r="400" spans="1:8" x14ac:dyDescent="0.4">
      <c r="A400" s="174" t="s">
        <v>3665</v>
      </c>
      <c r="B400" s="174"/>
      <c r="C400" s="174" t="str">
        <f t="shared" si="7"/>
        <v/>
      </c>
      <c r="D400" s="174"/>
      <c r="E400" s="581" t="s">
        <v>3195</v>
      </c>
      <c r="F400" s="581"/>
      <c r="G400" s="581"/>
      <c r="H400" s="581"/>
    </row>
    <row r="401" spans="1:8" ht="33.6" x14ac:dyDescent="0.4">
      <c r="A401" s="390"/>
      <c r="B401" s="174" t="s">
        <v>2159</v>
      </c>
      <c r="C401" s="174">
        <f t="shared" si="7"/>
        <v>1</v>
      </c>
      <c r="D401" s="174" t="s">
        <v>3666</v>
      </c>
      <c r="E401" s="208" t="s">
        <v>3667</v>
      </c>
      <c r="F401" s="203" t="str">
        <f>Практики!C229</f>
        <v>T-PROD-PENTEST-2-1</v>
      </c>
      <c r="G401" s="203" t="str">
        <f>Практики!F229</f>
        <v>Не заполнено</v>
      </c>
      <c r="H401" s="174">
        <f>Практики!Q229</f>
        <v>0</v>
      </c>
    </row>
    <row r="402" spans="1:8" ht="50.4" x14ac:dyDescent="0.4">
      <c r="A402" s="390"/>
      <c r="B402" s="174" t="s">
        <v>2159</v>
      </c>
      <c r="C402" s="174">
        <f t="shared" si="7"/>
        <v>1</v>
      </c>
      <c r="D402" s="174" t="s">
        <v>2334</v>
      </c>
      <c r="E402" s="208" t="s">
        <v>3668</v>
      </c>
      <c r="F402" s="203" t="str">
        <f>Практики!C139</f>
        <v>T-CODE-SC-3-1</v>
      </c>
      <c r="G402" s="203" t="str">
        <f>Практики!F139</f>
        <v>Не заполнено</v>
      </c>
      <c r="H402" s="174">
        <f>Практики!Q139</f>
        <v>0</v>
      </c>
    </row>
    <row r="403" spans="1:8" x14ac:dyDescent="0.4">
      <c r="A403" s="390"/>
      <c r="B403" s="390" t="s">
        <v>2159</v>
      </c>
      <c r="C403" s="390">
        <f t="shared" si="7"/>
        <v>1</v>
      </c>
      <c r="D403" s="390" t="s">
        <v>2333</v>
      </c>
      <c r="E403" s="582" t="s">
        <v>3669</v>
      </c>
      <c r="F403" s="203" t="str">
        <f>Практики!C126</f>
        <v>T-CODE-SST-3-1</v>
      </c>
      <c r="G403" s="203" t="str">
        <f>Практики!F126</f>
        <v>Не заполнено</v>
      </c>
      <c r="H403" s="174">
        <f>Практики!Q126</f>
        <v>0</v>
      </c>
    </row>
    <row r="404" spans="1:8" x14ac:dyDescent="0.4">
      <c r="A404" s="390"/>
      <c r="B404" s="390"/>
      <c r="C404" s="390"/>
      <c r="D404" s="390"/>
      <c r="E404" s="582"/>
      <c r="F404" s="203" t="str">
        <f>Практики!C127</f>
        <v>T-CODE-SST-3-2</v>
      </c>
      <c r="G404" s="203" t="str">
        <f>Практики!F127</f>
        <v>Не заполнено</v>
      </c>
      <c r="H404" s="174">
        <f>Практики!Q127</f>
        <v>0</v>
      </c>
    </row>
    <row r="405" spans="1:8" x14ac:dyDescent="0.4">
      <c r="A405" s="390"/>
      <c r="B405" s="390"/>
      <c r="C405" s="390"/>
      <c r="D405" s="390"/>
      <c r="E405" s="582"/>
      <c r="F405" s="203" t="str">
        <f>Практики!C149</f>
        <v>T-CODE-IMG-2-2</v>
      </c>
      <c r="G405" s="203" t="str">
        <f>Практики!F149</f>
        <v>Не заполнено</v>
      </c>
      <c r="H405" s="174">
        <f>Практики!Q149</f>
        <v>0</v>
      </c>
    </row>
    <row r="406" spans="1:8" x14ac:dyDescent="0.4">
      <c r="A406" s="390"/>
      <c r="B406" s="390"/>
      <c r="C406" s="390"/>
      <c r="D406" s="390"/>
      <c r="E406" s="582"/>
      <c r="F406" s="203" t="str">
        <f>Практики!C225</f>
        <v>T-PROD-PENTEST-0-1</v>
      </c>
      <c r="G406" s="203" t="str">
        <f>Практики!F225</f>
        <v>Не заполнено</v>
      </c>
      <c r="H406" s="174">
        <f>Практики!Q225</f>
        <v>0</v>
      </c>
    </row>
    <row r="407" spans="1:8" x14ac:dyDescent="0.4">
      <c r="A407" s="390"/>
      <c r="B407" s="390"/>
      <c r="C407" s="390"/>
      <c r="D407" s="390"/>
      <c r="E407" s="582"/>
      <c r="F407" s="203" t="str">
        <f>Практики!C227</f>
        <v>T-PROD-PENTEST-1-2</v>
      </c>
      <c r="G407" s="203" t="str">
        <f>Практики!F227</f>
        <v>Не заполнено</v>
      </c>
      <c r="H407" s="174">
        <f>Практики!Q227</f>
        <v>0</v>
      </c>
    </row>
    <row r="408" spans="1:8" x14ac:dyDescent="0.4">
      <c r="A408" s="390"/>
      <c r="B408" s="390"/>
      <c r="C408" s="390"/>
      <c r="D408" s="390"/>
      <c r="E408" s="582"/>
      <c r="F408" s="203" t="str">
        <f>Практики!C228</f>
        <v>T-PROD-PENTEST-1-3</v>
      </c>
      <c r="G408" s="203" t="str">
        <f>Практики!F228</f>
        <v>Не заполнено</v>
      </c>
      <c r="H408" s="174">
        <f>Практики!Q228</f>
        <v>0</v>
      </c>
    </row>
    <row r="409" spans="1:8" x14ac:dyDescent="0.4">
      <c r="A409" s="390"/>
      <c r="B409" s="390"/>
      <c r="C409" s="390"/>
      <c r="D409" s="390"/>
      <c r="E409" s="582"/>
      <c r="F409" s="203" t="str">
        <f>Практики!C230</f>
        <v>T-PROD-PENTEST-3-1</v>
      </c>
      <c r="G409" s="203" t="str">
        <f>Практики!F230</f>
        <v>Не заполнено</v>
      </c>
      <c r="H409" s="174">
        <f>Практики!Q230</f>
        <v>0</v>
      </c>
    </row>
    <row r="410" spans="1:8" x14ac:dyDescent="0.4">
      <c r="A410" s="390"/>
      <c r="B410" s="390"/>
      <c r="C410" s="390"/>
      <c r="D410" s="390"/>
      <c r="E410" s="582"/>
      <c r="F410" s="203" t="str">
        <f>Практики!C233</f>
        <v>T-PROD-DAST-0-1</v>
      </c>
      <c r="G410" s="203" t="str">
        <f>Практики!F233</f>
        <v>Не заполнено</v>
      </c>
      <c r="H410" s="174">
        <f>Практики!Q233</f>
        <v>0</v>
      </c>
    </row>
    <row r="411" spans="1:8" x14ac:dyDescent="0.4">
      <c r="A411" s="390"/>
      <c r="B411" s="390"/>
      <c r="C411" s="390"/>
      <c r="D411" s="390"/>
      <c r="E411" s="582"/>
      <c r="F411" s="203" t="str">
        <f>Практики!C234</f>
        <v>T-PROD-DAST-1-1</v>
      </c>
      <c r="G411" s="203" t="str">
        <f>Практики!F234</f>
        <v>Не заполнено</v>
      </c>
      <c r="H411" s="174">
        <f>Практики!Q234</f>
        <v>0</v>
      </c>
    </row>
    <row r="412" spans="1:8" x14ac:dyDescent="0.4">
      <c r="A412" s="390"/>
      <c r="B412" s="390"/>
      <c r="C412" s="390"/>
      <c r="D412" s="390"/>
      <c r="E412" s="582"/>
      <c r="F412" s="203" t="str">
        <f>Практики!C235</f>
        <v>T-PROD-DAST-1-2</v>
      </c>
      <c r="G412" s="203" t="str">
        <f>Практики!F235</f>
        <v>Не заполнено</v>
      </c>
      <c r="H412" s="174">
        <f>Практики!Q235</f>
        <v>0</v>
      </c>
    </row>
    <row r="413" spans="1:8" x14ac:dyDescent="0.4">
      <c r="A413" s="390"/>
      <c r="B413" s="390"/>
      <c r="C413" s="390"/>
      <c r="D413" s="390"/>
      <c r="E413" s="582"/>
      <c r="F413" s="203" t="str">
        <f>Практики!C236</f>
        <v>T-PROD-DAST-1-3</v>
      </c>
      <c r="G413" s="203" t="str">
        <f>Практики!F236</f>
        <v>Не заполнено</v>
      </c>
      <c r="H413" s="174">
        <f>Практики!Q236</f>
        <v>0</v>
      </c>
    </row>
    <row r="414" spans="1:8" x14ac:dyDescent="0.4">
      <c r="A414" s="390"/>
      <c r="B414" s="390"/>
      <c r="C414" s="390"/>
      <c r="D414" s="390"/>
      <c r="E414" s="582"/>
      <c r="F414" s="203" t="str">
        <f>Практики!C237</f>
        <v>T-PROD-DAST-2-1</v>
      </c>
      <c r="G414" s="203" t="str">
        <f>Практики!F237</f>
        <v>Не заполнено</v>
      </c>
      <c r="H414" s="174">
        <f>Практики!Q237</f>
        <v>0</v>
      </c>
    </row>
    <row r="415" spans="1:8" x14ac:dyDescent="0.4">
      <c r="A415" s="390"/>
      <c r="B415" s="390"/>
      <c r="C415" s="390"/>
      <c r="D415" s="390"/>
      <c r="E415" s="582"/>
      <c r="F415" s="203" t="str">
        <f>Практики!C238</f>
        <v>T-PROD-DAST-2-2</v>
      </c>
      <c r="G415" s="203" t="str">
        <f>Практики!F238</f>
        <v>Не заполнено</v>
      </c>
      <c r="H415" s="174">
        <f>Практики!Q238</f>
        <v>0</v>
      </c>
    </row>
    <row r="416" spans="1:8" x14ac:dyDescent="0.4">
      <c r="A416" s="390"/>
      <c r="B416" s="390"/>
      <c r="C416" s="390"/>
      <c r="D416" s="390"/>
      <c r="E416" s="582"/>
      <c r="F416" s="203" t="str">
        <f>Практики!C239</f>
        <v>T-PROD-DAST-2-3</v>
      </c>
      <c r="G416" s="203" t="str">
        <f>Практики!F239</f>
        <v>Не заполнено</v>
      </c>
      <c r="H416" s="174">
        <f>Практики!Q239</f>
        <v>0</v>
      </c>
    </row>
    <row r="417" spans="1:8" x14ac:dyDescent="0.4">
      <c r="A417" s="390"/>
      <c r="B417" s="390"/>
      <c r="C417" s="390"/>
      <c r="D417" s="390"/>
      <c r="E417" s="582"/>
      <c r="F417" s="203" t="str">
        <f>Практики!C244</f>
        <v>T-PROD-DAST-3-4</v>
      </c>
      <c r="G417" s="203" t="str">
        <f>Практики!F244</f>
        <v>Не заполнено</v>
      </c>
      <c r="H417" s="174">
        <f>Практики!Q244</f>
        <v>0</v>
      </c>
    </row>
    <row r="418" spans="1:8" x14ac:dyDescent="0.4">
      <c r="A418" s="390"/>
      <c r="B418" s="174" t="s">
        <v>2159</v>
      </c>
      <c r="C418" s="174">
        <f t="shared" si="7"/>
        <v>1</v>
      </c>
      <c r="D418" s="174" t="s">
        <v>3670</v>
      </c>
      <c r="E418" s="208" t="s">
        <v>3671</v>
      </c>
      <c r="F418" s="203" t="str">
        <f>Практики!C357</f>
        <v>P-DEFECT-MNG-4-1</v>
      </c>
      <c r="G418" s="203" t="str">
        <f>Практики!F357</f>
        <v>Не заполнено</v>
      </c>
      <c r="H418" s="174">
        <f>Практики!Q357</f>
        <v>0</v>
      </c>
    </row>
    <row r="419" spans="1:8" x14ac:dyDescent="0.4">
      <c r="A419" s="174" t="s">
        <v>3672</v>
      </c>
      <c r="B419" s="174"/>
      <c r="C419" s="174" t="str">
        <f t="shared" si="7"/>
        <v/>
      </c>
      <c r="D419" s="174"/>
      <c r="E419" s="581" t="s">
        <v>3205</v>
      </c>
      <c r="F419" s="581"/>
      <c r="G419" s="581"/>
      <c r="H419" s="581"/>
    </row>
    <row r="420" spans="1:8" ht="100.8" x14ac:dyDescent="0.4">
      <c r="A420" s="390"/>
      <c r="B420" s="174"/>
      <c r="C420" s="174" t="str">
        <f t="shared" si="7"/>
        <v/>
      </c>
      <c r="D420" s="174" t="s">
        <v>3673</v>
      </c>
      <c r="E420" s="208" t="s">
        <v>3674</v>
      </c>
      <c r="F420" s="203"/>
      <c r="G420" s="203"/>
      <c r="H420" s="174"/>
    </row>
    <row r="421" spans="1:8" ht="33.6" x14ac:dyDescent="0.4">
      <c r="A421" s="390"/>
      <c r="B421" s="174"/>
      <c r="C421" s="174" t="str">
        <f t="shared" si="7"/>
        <v/>
      </c>
      <c r="D421" s="174" t="s">
        <v>3675</v>
      </c>
      <c r="E421" s="208" t="s">
        <v>3676</v>
      </c>
      <c r="F421" s="203"/>
      <c r="G421" s="203"/>
      <c r="H421" s="174"/>
    </row>
    <row r="422" spans="1:8" ht="20.399999999999999" x14ac:dyDescent="0.4">
      <c r="A422" s="174" t="s">
        <v>3677</v>
      </c>
      <c r="B422" s="174"/>
      <c r="C422" s="174" t="str">
        <f t="shared" si="7"/>
        <v/>
      </c>
      <c r="D422" s="174"/>
      <c r="E422" s="580" t="s">
        <v>3103</v>
      </c>
      <c r="F422" s="580"/>
      <c r="G422" s="580"/>
      <c r="H422" s="580"/>
    </row>
    <row r="423" spans="1:8" x14ac:dyDescent="0.4">
      <c r="A423" s="174" t="s">
        <v>3678</v>
      </c>
      <c r="B423" s="174"/>
      <c r="C423" s="174" t="str">
        <f t="shared" si="7"/>
        <v/>
      </c>
      <c r="D423" s="174"/>
      <c r="E423" s="581" t="s">
        <v>3187</v>
      </c>
      <c r="F423" s="581"/>
      <c r="G423" s="581"/>
      <c r="H423" s="581"/>
    </row>
    <row r="424" spans="1:8" x14ac:dyDescent="0.4">
      <c r="A424" s="174"/>
      <c r="B424" s="174"/>
      <c r="C424" s="174" t="str">
        <f t="shared" si="7"/>
        <v/>
      </c>
      <c r="D424" s="174" t="s">
        <v>3679</v>
      </c>
      <c r="E424" s="208" t="s">
        <v>3680</v>
      </c>
      <c r="F424" s="203"/>
      <c r="G424" s="203"/>
      <c r="H424" s="174"/>
    </row>
    <row r="425" spans="1:8" x14ac:dyDescent="0.4">
      <c r="A425" s="174" t="s">
        <v>3681</v>
      </c>
      <c r="B425" s="174"/>
      <c r="C425" s="174" t="str">
        <f t="shared" si="7"/>
        <v/>
      </c>
      <c r="D425" s="174"/>
      <c r="E425" s="581" t="s">
        <v>3195</v>
      </c>
      <c r="F425" s="581"/>
      <c r="G425" s="581"/>
      <c r="H425" s="581"/>
    </row>
    <row r="426" spans="1:8" x14ac:dyDescent="0.4">
      <c r="A426" s="390"/>
      <c r="B426" s="174" t="s">
        <v>2159</v>
      </c>
      <c r="C426" s="174" t="str">
        <f t="shared" si="7"/>
        <v/>
      </c>
      <c r="D426" s="174" t="s">
        <v>2402</v>
      </c>
      <c r="E426" s="208" t="s">
        <v>3682</v>
      </c>
      <c r="F426" s="203"/>
      <c r="G426" s="203"/>
      <c r="H426" s="174"/>
    </row>
    <row r="427" spans="1:8" x14ac:dyDescent="0.4">
      <c r="A427" s="390"/>
      <c r="B427" s="174" t="s">
        <v>2159</v>
      </c>
      <c r="C427" s="174" t="str">
        <f t="shared" si="7"/>
        <v/>
      </c>
      <c r="D427" s="174" t="s">
        <v>2403</v>
      </c>
      <c r="E427" s="208" t="s">
        <v>3683</v>
      </c>
      <c r="F427" s="203"/>
      <c r="G427" s="203"/>
      <c r="H427" s="174"/>
    </row>
    <row r="428" spans="1:8" x14ac:dyDescent="0.4">
      <c r="A428" s="174" t="s">
        <v>3684</v>
      </c>
      <c r="B428" s="174"/>
      <c r="C428" s="174" t="str">
        <f t="shared" si="7"/>
        <v/>
      </c>
      <c r="D428" s="174"/>
      <c r="E428" s="581" t="s">
        <v>3205</v>
      </c>
      <c r="F428" s="581"/>
      <c r="G428" s="581"/>
      <c r="H428" s="581"/>
    </row>
    <row r="429" spans="1:8" ht="50.4" x14ac:dyDescent="0.4">
      <c r="A429" s="174"/>
      <c r="B429" s="174"/>
      <c r="C429" s="174" t="str">
        <f t="shared" si="7"/>
        <v/>
      </c>
      <c r="D429" s="174" t="s">
        <v>3685</v>
      </c>
      <c r="E429" s="208" t="s">
        <v>3686</v>
      </c>
      <c r="F429" s="203"/>
      <c r="G429" s="203"/>
      <c r="H429" s="174"/>
    </row>
    <row r="430" spans="1:8" x14ac:dyDescent="0.4">
      <c r="A430" s="221"/>
      <c r="E430" s="222"/>
    </row>
    <row r="431" spans="1:8" x14ac:dyDescent="0.4">
      <c r="A431" s="221"/>
      <c r="E431" s="222"/>
    </row>
    <row r="432" spans="1:8" x14ac:dyDescent="0.4">
      <c r="A432" s="221"/>
      <c r="E432" s="222"/>
    </row>
    <row r="433" spans="1:5" x14ac:dyDescent="0.4">
      <c r="A433" s="221"/>
      <c r="E433" s="222"/>
    </row>
    <row r="434" spans="1:5" x14ac:dyDescent="0.4">
      <c r="A434" s="221"/>
      <c r="E434" s="222"/>
    </row>
    <row r="435" spans="1:5" x14ac:dyDescent="0.4">
      <c r="A435" s="221"/>
      <c r="E435" s="222"/>
    </row>
    <row r="436" spans="1:5" x14ac:dyDescent="0.4">
      <c r="A436" s="221"/>
      <c r="E436" s="222"/>
    </row>
    <row r="437" spans="1:5" x14ac:dyDescent="0.4">
      <c r="A437" s="221"/>
      <c r="E437" s="222"/>
    </row>
    <row r="438" spans="1:5" x14ac:dyDescent="0.4">
      <c r="A438" s="221"/>
      <c r="E438" s="222"/>
    </row>
    <row r="439" spans="1:5" x14ac:dyDescent="0.4">
      <c r="A439" s="221"/>
      <c r="E439" s="222"/>
    </row>
    <row r="440" spans="1:5" x14ac:dyDescent="0.4">
      <c r="A440" s="221"/>
      <c r="E440" s="222"/>
    </row>
    <row r="441" spans="1:5" x14ac:dyDescent="0.4">
      <c r="A441" s="221"/>
      <c r="E441" s="222"/>
    </row>
    <row r="442" spans="1:5" x14ac:dyDescent="0.4">
      <c r="A442" s="221"/>
      <c r="E442" s="222"/>
    </row>
    <row r="443" spans="1:5" x14ac:dyDescent="0.4">
      <c r="A443" s="221"/>
      <c r="E443" s="222"/>
    </row>
    <row r="444" spans="1:5" x14ac:dyDescent="0.4">
      <c r="A444" s="221"/>
      <c r="E444" s="222"/>
    </row>
    <row r="445" spans="1:5" x14ac:dyDescent="0.4">
      <c r="A445" s="221"/>
      <c r="E445" s="222"/>
    </row>
    <row r="446" spans="1:5" x14ac:dyDescent="0.4">
      <c r="A446" s="221"/>
      <c r="E446" s="222"/>
    </row>
    <row r="447" spans="1:5" x14ac:dyDescent="0.4">
      <c r="A447" s="221"/>
      <c r="E447" s="222"/>
    </row>
    <row r="448" spans="1:5" x14ac:dyDescent="0.4">
      <c r="A448" s="221"/>
      <c r="E448" s="222"/>
    </row>
    <row r="449" spans="1:5" x14ac:dyDescent="0.4">
      <c r="A449" s="221"/>
      <c r="E449" s="222"/>
    </row>
    <row r="450" spans="1:5" x14ac:dyDescent="0.4">
      <c r="A450" s="221"/>
      <c r="E450" s="222"/>
    </row>
    <row r="451" spans="1:5" x14ac:dyDescent="0.4">
      <c r="A451" s="221"/>
      <c r="E451" s="222"/>
    </row>
    <row r="452" spans="1:5" x14ac:dyDescent="0.4">
      <c r="A452" s="221"/>
      <c r="E452" s="222"/>
    </row>
    <row r="453" spans="1:5" x14ac:dyDescent="0.4">
      <c r="A453" s="221"/>
      <c r="E453" s="222"/>
    </row>
    <row r="454" spans="1:5" x14ac:dyDescent="0.4">
      <c r="A454" s="221"/>
      <c r="E454" s="222"/>
    </row>
    <row r="455" spans="1:5" x14ac:dyDescent="0.4">
      <c r="A455" s="221"/>
      <c r="E455" s="222"/>
    </row>
    <row r="456" spans="1:5" x14ac:dyDescent="0.4">
      <c r="A456" s="221"/>
      <c r="E456" s="222"/>
    </row>
    <row r="457" spans="1:5" x14ac:dyDescent="0.4">
      <c r="A457" s="221"/>
      <c r="E457" s="222"/>
    </row>
    <row r="458" spans="1:5" x14ac:dyDescent="0.4">
      <c r="A458" s="221"/>
      <c r="E458" s="222"/>
    </row>
    <row r="459" spans="1:5" x14ac:dyDescent="0.4">
      <c r="A459" s="221"/>
      <c r="E459" s="222"/>
    </row>
    <row r="460" spans="1:5" x14ac:dyDescent="0.4">
      <c r="A460" s="221"/>
      <c r="E460" s="222"/>
    </row>
    <row r="461" spans="1:5" x14ac:dyDescent="0.4">
      <c r="A461" s="221"/>
      <c r="E461" s="222"/>
    </row>
    <row r="462" spans="1:5" x14ac:dyDescent="0.4">
      <c r="A462" s="221"/>
      <c r="E462" s="222"/>
    </row>
    <row r="463" spans="1:5" x14ac:dyDescent="0.4">
      <c r="A463" s="221"/>
      <c r="E463" s="222"/>
    </row>
    <row r="464" spans="1:5" x14ac:dyDescent="0.4">
      <c r="A464" s="221"/>
      <c r="E464" s="222"/>
    </row>
    <row r="465" spans="1:5" x14ac:dyDescent="0.4">
      <c r="A465" s="221"/>
      <c r="E465" s="222"/>
    </row>
    <row r="466" spans="1:5" x14ac:dyDescent="0.4">
      <c r="A466" s="221"/>
      <c r="E466" s="222"/>
    </row>
    <row r="467" spans="1:5" x14ac:dyDescent="0.4">
      <c r="A467" s="221"/>
      <c r="E467" s="222"/>
    </row>
    <row r="468" spans="1:5" x14ac:dyDescent="0.4">
      <c r="A468" s="221"/>
      <c r="E468" s="222"/>
    </row>
    <row r="469" spans="1:5" x14ac:dyDescent="0.4">
      <c r="A469" s="221"/>
      <c r="E469" s="222"/>
    </row>
    <row r="470" spans="1:5" x14ac:dyDescent="0.4">
      <c r="A470" s="221"/>
      <c r="E470" s="222"/>
    </row>
    <row r="471" spans="1:5" x14ac:dyDescent="0.4">
      <c r="A471" s="221"/>
      <c r="E471" s="222"/>
    </row>
    <row r="472" spans="1:5" x14ac:dyDescent="0.4">
      <c r="A472" s="221"/>
      <c r="E472" s="222"/>
    </row>
    <row r="473" spans="1:5" x14ac:dyDescent="0.4">
      <c r="A473" s="221"/>
      <c r="E473" s="222"/>
    </row>
    <row r="474" spans="1:5" x14ac:dyDescent="0.4">
      <c r="A474" s="221"/>
      <c r="E474" s="222"/>
    </row>
    <row r="475" spans="1:5" x14ac:dyDescent="0.4">
      <c r="A475" s="221"/>
      <c r="E475" s="222"/>
    </row>
    <row r="476" spans="1:5" x14ac:dyDescent="0.4">
      <c r="A476" s="221"/>
      <c r="E476" s="222"/>
    </row>
    <row r="477" spans="1:5" x14ac:dyDescent="0.4">
      <c r="A477" s="221"/>
      <c r="E477" s="222"/>
    </row>
    <row r="478" spans="1:5" x14ac:dyDescent="0.4">
      <c r="A478" s="221"/>
      <c r="E478" s="222"/>
    </row>
    <row r="479" spans="1:5" x14ac:dyDescent="0.4">
      <c r="A479" s="221"/>
      <c r="E479" s="222"/>
    </row>
    <row r="480" spans="1:5" x14ac:dyDescent="0.4">
      <c r="A480" s="221"/>
      <c r="E480" s="222"/>
    </row>
    <row r="481" spans="1:5" x14ac:dyDescent="0.4">
      <c r="A481" s="221"/>
      <c r="E481" s="222"/>
    </row>
    <row r="482" spans="1:5" x14ac:dyDescent="0.4">
      <c r="A482" s="221"/>
      <c r="E482" s="222"/>
    </row>
    <row r="483" spans="1:5" x14ac:dyDescent="0.4">
      <c r="A483" s="221"/>
      <c r="E483" s="222"/>
    </row>
    <row r="484" spans="1:5" x14ac:dyDescent="0.4">
      <c r="A484" s="221"/>
      <c r="E484" s="222"/>
    </row>
    <row r="485" spans="1:5" x14ac:dyDescent="0.4">
      <c r="A485" s="221"/>
      <c r="E485" s="222"/>
    </row>
    <row r="486" spans="1:5" x14ac:dyDescent="0.4">
      <c r="A486" s="221"/>
      <c r="E486" s="222"/>
    </row>
    <row r="487" spans="1:5" x14ac:dyDescent="0.4">
      <c r="A487" s="221"/>
      <c r="E487" s="222"/>
    </row>
    <row r="488" spans="1:5" x14ac:dyDescent="0.4">
      <c r="A488" s="221"/>
      <c r="E488" s="222"/>
    </row>
    <row r="489" spans="1:5" x14ac:dyDescent="0.4">
      <c r="A489" s="221"/>
      <c r="E489" s="222"/>
    </row>
    <row r="490" spans="1:5" x14ac:dyDescent="0.4">
      <c r="A490" s="221"/>
      <c r="E490" s="222"/>
    </row>
    <row r="491" spans="1:5" x14ac:dyDescent="0.4">
      <c r="A491" s="221"/>
      <c r="E491" s="222"/>
    </row>
    <row r="492" spans="1:5" x14ac:dyDescent="0.4">
      <c r="A492" s="221"/>
      <c r="E492" s="222"/>
    </row>
    <row r="493" spans="1:5" x14ac:dyDescent="0.4">
      <c r="A493" s="221"/>
      <c r="E493" s="222"/>
    </row>
    <row r="494" spans="1:5" x14ac:dyDescent="0.4">
      <c r="A494" s="221"/>
      <c r="E494" s="222"/>
    </row>
    <row r="495" spans="1:5" x14ac:dyDescent="0.4">
      <c r="A495" s="221"/>
      <c r="E495" s="222"/>
    </row>
    <row r="496" spans="1:5" x14ac:dyDescent="0.4">
      <c r="A496" s="221"/>
      <c r="E496" s="222"/>
    </row>
    <row r="497" spans="1:5" x14ac:dyDescent="0.4">
      <c r="A497" s="221"/>
      <c r="E497" s="222"/>
    </row>
    <row r="498" spans="1:5" x14ac:dyDescent="0.4">
      <c r="A498" s="221"/>
      <c r="E498" s="222"/>
    </row>
    <row r="499" spans="1:5" x14ac:dyDescent="0.4">
      <c r="A499" s="221"/>
      <c r="E499" s="222"/>
    </row>
    <row r="500" spans="1:5" x14ac:dyDescent="0.4">
      <c r="A500" s="221"/>
      <c r="E500" s="222"/>
    </row>
    <row r="501" spans="1:5" x14ac:dyDescent="0.4">
      <c r="A501" s="221"/>
      <c r="E501" s="222"/>
    </row>
    <row r="502" spans="1:5" x14ac:dyDescent="0.4">
      <c r="A502" s="221"/>
      <c r="E502" s="222"/>
    </row>
    <row r="503" spans="1:5" x14ac:dyDescent="0.4">
      <c r="A503" s="221"/>
      <c r="E503" s="222"/>
    </row>
    <row r="504" spans="1:5" x14ac:dyDescent="0.4">
      <c r="A504" s="221"/>
      <c r="E504" s="222"/>
    </row>
    <row r="505" spans="1:5" x14ac:dyDescent="0.4">
      <c r="A505" s="221"/>
      <c r="E505" s="222"/>
    </row>
    <row r="506" spans="1:5" x14ac:dyDescent="0.4">
      <c r="A506" s="221"/>
      <c r="E506" s="222"/>
    </row>
    <row r="507" spans="1:5" x14ac:dyDescent="0.4">
      <c r="A507" s="221"/>
      <c r="E507" s="222"/>
    </row>
    <row r="508" spans="1:5" x14ac:dyDescent="0.4">
      <c r="A508" s="221"/>
      <c r="E508" s="222"/>
    </row>
    <row r="509" spans="1:5" x14ac:dyDescent="0.4">
      <c r="A509" s="221"/>
      <c r="E509" s="222"/>
    </row>
    <row r="510" spans="1:5" x14ac:dyDescent="0.4">
      <c r="A510" s="221"/>
      <c r="E510" s="222"/>
    </row>
    <row r="511" spans="1:5" x14ac:dyDescent="0.4">
      <c r="A511" s="221"/>
      <c r="E511" s="222"/>
    </row>
    <row r="512" spans="1:5" x14ac:dyDescent="0.4">
      <c r="A512" s="221"/>
      <c r="E512" s="222"/>
    </row>
    <row r="513" spans="1:5" x14ac:dyDescent="0.4">
      <c r="A513" s="221"/>
      <c r="E513" s="222"/>
    </row>
    <row r="514" spans="1:5" x14ac:dyDescent="0.4">
      <c r="A514" s="221"/>
      <c r="E514" s="222"/>
    </row>
    <row r="515" spans="1:5" x14ac:dyDescent="0.4">
      <c r="A515" s="221"/>
      <c r="E515" s="222"/>
    </row>
    <row r="516" spans="1:5" x14ac:dyDescent="0.4">
      <c r="A516" s="221"/>
      <c r="E516" s="222"/>
    </row>
    <row r="517" spans="1:5" x14ac:dyDescent="0.4">
      <c r="A517" s="221"/>
      <c r="E517" s="222"/>
    </row>
    <row r="518" spans="1:5" x14ac:dyDescent="0.4">
      <c r="A518" s="221"/>
      <c r="E518" s="222"/>
    </row>
    <row r="519" spans="1:5" x14ac:dyDescent="0.4">
      <c r="A519" s="221"/>
      <c r="E519" s="222"/>
    </row>
    <row r="520" spans="1:5" x14ac:dyDescent="0.4">
      <c r="A520" s="221"/>
      <c r="E520" s="222"/>
    </row>
    <row r="521" spans="1:5" x14ac:dyDescent="0.4">
      <c r="A521" s="221"/>
      <c r="E521" s="222"/>
    </row>
    <row r="522" spans="1:5" x14ac:dyDescent="0.4">
      <c r="A522" s="221"/>
      <c r="E522" s="222"/>
    </row>
    <row r="523" spans="1:5" x14ac:dyDescent="0.4">
      <c r="A523" s="221"/>
      <c r="E523" s="222"/>
    </row>
    <row r="524" spans="1:5" x14ac:dyDescent="0.4">
      <c r="A524" s="221"/>
      <c r="E524" s="222"/>
    </row>
    <row r="525" spans="1:5" x14ac:dyDescent="0.4">
      <c r="A525" s="221"/>
      <c r="E525" s="222"/>
    </row>
    <row r="526" spans="1:5" x14ac:dyDescent="0.4">
      <c r="A526" s="221"/>
      <c r="E526" s="222"/>
    </row>
    <row r="527" spans="1:5" x14ac:dyDescent="0.4">
      <c r="A527" s="221"/>
      <c r="E527" s="222"/>
    </row>
    <row r="528" spans="1:5" x14ac:dyDescent="0.4">
      <c r="A528" s="221"/>
      <c r="E528" s="222"/>
    </row>
    <row r="529" spans="1:5" x14ac:dyDescent="0.4">
      <c r="A529" s="221"/>
      <c r="E529" s="222"/>
    </row>
    <row r="530" spans="1:5" x14ac:dyDescent="0.4">
      <c r="A530" s="221"/>
      <c r="E530" s="222"/>
    </row>
    <row r="531" spans="1:5" x14ac:dyDescent="0.4">
      <c r="A531" s="221"/>
      <c r="E531" s="222"/>
    </row>
    <row r="532" spans="1:5" x14ac:dyDescent="0.4">
      <c r="A532" s="221"/>
      <c r="E532" s="222"/>
    </row>
    <row r="533" spans="1:5" x14ac:dyDescent="0.4">
      <c r="A533" s="221"/>
      <c r="E533" s="222"/>
    </row>
    <row r="534" spans="1:5" x14ac:dyDescent="0.4">
      <c r="A534" s="221"/>
      <c r="E534" s="222"/>
    </row>
    <row r="535" spans="1:5" x14ac:dyDescent="0.4">
      <c r="A535" s="221"/>
      <c r="E535" s="222"/>
    </row>
    <row r="536" spans="1:5" x14ac:dyDescent="0.4">
      <c r="A536" s="221"/>
      <c r="E536" s="222"/>
    </row>
    <row r="537" spans="1:5" x14ac:dyDescent="0.4">
      <c r="A537" s="221"/>
      <c r="E537" s="222"/>
    </row>
    <row r="538" spans="1:5" x14ac:dyDescent="0.4">
      <c r="A538" s="221"/>
      <c r="E538" s="222"/>
    </row>
    <row r="539" spans="1:5" x14ac:dyDescent="0.4">
      <c r="A539" s="221"/>
      <c r="E539" s="222"/>
    </row>
    <row r="540" spans="1:5" x14ac:dyDescent="0.4">
      <c r="A540" s="221"/>
      <c r="E540" s="222"/>
    </row>
    <row r="541" spans="1:5" x14ac:dyDescent="0.4">
      <c r="A541" s="221"/>
      <c r="E541" s="222"/>
    </row>
    <row r="542" spans="1:5" x14ac:dyDescent="0.4">
      <c r="A542" s="221"/>
      <c r="E542" s="222"/>
    </row>
    <row r="543" spans="1:5" x14ac:dyDescent="0.4">
      <c r="A543" s="221"/>
      <c r="E543" s="222"/>
    </row>
    <row r="544" spans="1:5" x14ac:dyDescent="0.4">
      <c r="A544" s="221"/>
      <c r="E544" s="222"/>
    </row>
    <row r="545" spans="1:5" x14ac:dyDescent="0.4">
      <c r="A545" s="221"/>
      <c r="E545" s="222"/>
    </row>
    <row r="546" spans="1:5" x14ac:dyDescent="0.4">
      <c r="A546" s="221"/>
      <c r="E546" s="222"/>
    </row>
    <row r="547" spans="1:5" x14ac:dyDescent="0.4">
      <c r="A547" s="221"/>
      <c r="E547" s="222"/>
    </row>
    <row r="548" spans="1:5" x14ac:dyDescent="0.4">
      <c r="A548" s="221"/>
      <c r="E548" s="222"/>
    </row>
    <row r="549" spans="1:5" x14ac:dyDescent="0.4">
      <c r="A549" s="221"/>
      <c r="E549" s="222"/>
    </row>
    <row r="550" spans="1:5" x14ac:dyDescent="0.4">
      <c r="A550" s="221"/>
      <c r="E550" s="222"/>
    </row>
    <row r="551" spans="1:5" x14ac:dyDescent="0.4">
      <c r="A551" s="221"/>
      <c r="E551" s="222"/>
    </row>
    <row r="552" spans="1:5" x14ac:dyDescent="0.4">
      <c r="A552" s="221"/>
      <c r="E552" s="222"/>
    </row>
    <row r="553" spans="1:5" x14ac:dyDescent="0.4">
      <c r="A553" s="221"/>
      <c r="E553" s="222"/>
    </row>
    <row r="554" spans="1:5" x14ac:dyDescent="0.4">
      <c r="A554" s="221"/>
      <c r="E554" s="222"/>
    </row>
    <row r="555" spans="1:5" x14ac:dyDescent="0.4">
      <c r="A555" s="221"/>
      <c r="E555" s="222"/>
    </row>
    <row r="556" spans="1:5" x14ac:dyDescent="0.4">
      <c r="A556" s="221"/>
      <c r="E556" s="222"/>
    </row>
    <row r="557" spans="1:5" x14ac:dyDescent="0.4">
      <c r="A557" s="221"/>
      <c r="E557" s="222"/>
    </row>
    <row r="558" spans="1:5" x14ac:dyDescent="0.4">
      <c r="A558" s="221"/>
      <c r="E558" s="222"/>
    </row>
    <row r="559" spans="1:5" x14ac:dyDescent="0.4">
      <c r="A559" s="221"/>
      <c r="E559" s="222"/>
    </row>
    <row r="560" spans="1:5" x14ac:dyDescent="0.4">
      <c r="A560" s="221"/>
      <c r="E560" s="222"/>
    </row>
    <row r="561" spans="1:5" x14ac:dyDescent="0.4">
      <c r="A561" s="221"/>
      <c r="E561" s="222"/>
    </row>
  </sheetData>
  <autoFilter ref="A1:H427" xr:uid="{00000000-0009-0000-0000-000010000000}"/>
  <mergeCells count="265">
    <mergeCell ref="C183:C184"/>
    <mergeCell ref="E279:H279"/>
    <mergeCell ref="E299:H299"/>
    <mergeCell ref="E324:H324"/>
    <mergeCell ref="E338:H338"/>
    <mergeCell ref="E363:H363"/>
    <mergeCell ref="E187:H187"/>
    <mergeCell ref="E221:H221"/>
    <mergeCell ref="E257:H257"/>
    <mergeCell ref="E392:H392"/>
    <mergeCell ref="E82:H82"/>
    <mergeCell ref="A51:A54"/>
    <mergeCell ref="A57:A58"/>
    <mergeCell ref="A60:A63"/>
    <mergeCell ref="A83:A86"/>
    <mergeCell ref="A106:A114"/>
    <mergeCell ref="A157:A161"/>
    <mergeCell ref="A166:A186"/>
    <mergeCell ref="E305:H305"/>
    <mergeCell ref="E320:H320"/>
    <mergeCell ref="E162:H162"/>
    <mergeCell ref="E205:H205"/>
    <mergeCell ref="E228:H228"/>
    <mergeCell ref="E156:H156"/>
    <mergeCell ref="E163:H163"/>
    <mergeCell ref="E165:H165"/>
    <mergeCell ref="D170:D181"/>
    <mergeCell ref="E170:E181"/>
    <mergeCell ref="D183:D184"/>
    <mergeCell ref="E183:E184"/>
    <mergeCell ref="B170:B181"/>
    <mergeCell ref="C170:C181"/>
    <mergeCell ref="B183:B184"/>
    <mergeCell ref="B32:B33"/>
    <mergeCell ref="C32:C33"/>
    <mergeCell ref="C46:C47"/>
    <mergeCell ref="B46:B47"/>
    <mergeCell ref="B60:B61"/>
    <mergeCell ref="C60:C61"/>
    <mergeCell ref="B106:B108"/>
    <mergeCell ref="C106:C108"/>
    <mergeCell ref="E68:H68"/>
    <mergeCell ref="E59:H59"/>
    <mergeCell ref="E56:H56"/>
    <mergeCell ref="E55:H55"/>
    <mergeCell ref="E50:H50"/>
    <mergeCell ref="E101:H101"/>
    <mergeCell ref="E87:H87"/>
    <mergeCell ref="D46:D47"/>
    <mergeCell ref="E2:H2"/>
    <mergeCell ref="E3:H3"/>
    <mergeCell ref="E7:H7"/>
    <mergeCell ref="E20:H20"/>
    <mergeCell ref="E19:H19"/>
    <mergeCell ref="E13:H13"/>
    <mergeCell ref="E123:H123"/>
    <mergeCell ref="C27:C29"/>
    <mergeCell ref="E88:H88"/>
    <mergeCell ref="E60:E61"/>
    <mergeCell ref="A89:A90"/>
    <mergeCell ref="E91:H91"/>
    <mergeCell ref="A92:A95"/>
    <mergeCell ref="E96:H96"/>
    <mergeCell ref="A97:A100"/>
    <mergeCell ref="E102:H102"/>
    <mergeCell ref="A4:A6"/>
    <mergeCell ref="A8:A12"/>
    <mergeCell ref="A14:A18"/>
    <mergeCell ref="A21:A23"/>
    <mergeCell ref="A25:A33"/>
    <mergeCell ref="A35:A40"/>
    <mergeCell ref="A45:A49"/>
    <mergeCell ref="E46:E47"/>
    <mergeCell ref="E32:E33"/>
    <mergeCell ref="E24:H24"/>
    <mergeCell ref="E34:H34"/>
    <mergeCell ref="E41:H41"/>
    <mergeCell ref="E42:H42"/>
    <mergeCell ref="E27:E29"/>
    <mergeCell ref="B27:B29"/>
    <mergeCell ref="D27:D29"/>
    <mergeCell ref="D32:D33"/>
    <mergeCell ref="D60:D61"/>
    <mergeCell ref="A65:A67"/>
    <mergeCell ref="E69:H69"/>
    <mergeCell ref="A70:A71"/>
    <mergeCell ref="E72:H72"/>
    <mergeCell ref="A73:A81"/>
    <mergeCell ref="B75:B77"/>
    <mergeCell ref="C75:C77"/>
    <mergeCell ref="D75:D77"/>
    <mergeCell ref="E75:E77"/>
    <mergeCell ref="B79:B81"/>
    <mergeCell ref="C79:C81"/>
    <mergeCell ref="D79:D81"/>
    <mergeCell ref="E79:E81"/>
    <mergeCell ref="A103:A104"/>
    <mergeCell ref="E105:H105"/>
    <mergeCell ref="D106:D108"/>
    <mergeCell ref="E106:E108"/>
    <mergeCell ref="E115:H115"/>
    <mergeCell ref="A116:A122"/>
    <mergeCell ref="E124:H124"/>
    <mergeCell ref="E126:H126"/>
    <mergeCell ref="A127:A130"/>
    <mergeCell ref="E131:H131"/>
    <mergeCell ref="E134:H134"/>
    <mergeCell ref="E136:H136"/>
    <mergeCell ref="A137:A139"/>
    <mergeCell ref="E140:H140"/>
    <mergeCell ref="A141:A142"/>
    <mergeCell ref="E144:H144"/>
    <mergeCell ref="E146:H146"/>
    <mergeCell ref="A147:A155"/>
    <mergeCell ref="B149:B150"/>
    <mergeCell ref="C149:C150"/>
    <mergeCell ref="D149:D150"/>
    <mergeCell ref="E149:E150"/>
    <mergeCell ref="B151:B153"/>
    <mergeCell ref="C151:C153"/>
    <mergeCell ref="D151:D153"/>
    <mergeCell ref="E151:E153"/>
    <mergeCell ref="E143:H143"/>
    <mergeCell ref="E133:H133"/>
    <mergeCell ref="A188:A193"/>
    <mergeCell ref="E195:H195"/>
    <mergeCell ref="E197:H197"/>
    <mergeCell ref="A198:A200"/>
    <mergeCell ref="E201:H201"/>
    <mergeCell ref="A202:A204"/>
    <mergeCell ref="E206:H206"/>
    <mergeCell ref="A209:A220"/>
    <mergeCell ref="B210:B211"/>
    <mergeCell ref="C210:C211"/>
    <mergeCell ref="D210:D211"/>
    <mergeCell ref="E210:E211"/>
    <mergeCell ref="B213:B215"/>
    <mergeCell ref="C213:C215"/>
    <mergeCell ref="D213:D215"/>
    <mergeCell ref="E213:E215"/>
    <mergeCell ref="B218:B219"/>
    <mergeCell ref="C218:C219"/>
    <mergeCell ref="D218:D219"/>
    <mergeCell ref="E218:E219"/>
    <mergeCell ref="E194:H194"/>
    <mergeCell ref="A222:A227"/>
    <mergeCell ref="E229:H229"/>
    <mergeCell ref="E231:H231"/>
    <mergeCell ref="A232:A237"/>
    <mergeCell ref="B233:B236"/>
    <mergeCell ref="C233:C236"/>
    <mergeCell ref="D233:D236"/>
    <mergeCell ref="E233:E236"/>
    <mergeCell ref="E238:H238"/>
    <mergeCell ref="A239:A241"/>
    <mergeCell ref="E242:H242"/>
    <mergeCell ref="A243:A244"/>
    <mergeCell ref="E245:H245"/>
    <mergeCell ref="A246:A256"/>
    <mergeCell ref="B246:B248"/>
    <mergeCell ref="C246:C248"/>
    <mergeCell ref="D246:D248"/>
    <mergeCell ref="E246:E248"/>
    <mergeCell ref="B249:B250"/>
    <mergeCell ref="C249:C250"/>
    <mergeCell ref="D249:D250"/>
    <mergeCell ref="E249:E250"/>
    <mergeCell ref="B251:B252"/>
    <mergeCell ref="C251:C252"/>
    <mergeCell ref="D251:D252"/>
    <mergeCell ref="E251:E252"/>
    <mergeCell ref="B253:B256"/>
    <mergeCell ref="C253:C256"/>
    <mergeCell ref="D253:D256"/>
    <mergeCell ref="E253:E256"/>
    <mergeCell ref="A258:A259"/>
    <mergeCell ref="E261:H261"/>
    <mergeCell ref="B263:B265"/>
    <mergeCell ref="E263:H263"/>
    <mergeCell ref="A264:A278"/>
    <mergeCell ref="C264:C265"/>
    <mergeCell ref="D264:D265"/>
    <mergeCell ref="E264:E265"/>
    <mergeCell ref="B266:B267"/>
    <mergeCell ref="C266:C267"/>
    <mergeCell ref="D266:D267"/>
    <mergeCell ref="E266:E267"/>
    <mergeCell ref="B269:B272"/>
    <mergeCell ref="C269:C272"/>
    <mergeCell ref="D269:D272"/>
    <mergeCell ref="E269:E272"/>
    <mergeCell ref="B273:B278"/>
    <mergeCell ref="C273:C278"/>
    <mergeCell ref="D273:D278"/>
    <mergeCell ref="E273:E278"/>
    <mergeCell ref="E260:H260"/>
    <mergeCell ref="A280:A284"/>
    <mergeCell ref="E286:H286"/>
    <mergeCell ref="E288:H288"/>
    <mergeCell ref="A289:A298"/>
    <mergeCell ref="B292:B294"/>
    <mergeCell ref="C292:C294"/>
    <mergeCell ref="D292:D294"/>
    <mergeCell ref="E292:E294"/>
    <mergeCell ref="B295:B298"/>
    <mergeCell ref="C295:C298"/>
    <mergeCell ref="D295:D298"/>
    <mergeCell ref="E295:E298"/>
    <mergeCell ref="E285:H285"/>
    <mergeCell ref="A300:A304"/>
    <mergeCell ref="E306:H306"/>
    <mergeCell ref="E308:H308"/>
    <mergeCell ref="A309:A313"/>
    <mergeCell ref="E314:H314"/>
    <mergeCell ref="A315:A319"/>
    <mergeCell ref="D316:D317"/>
    <mergeCell ref="E321:H321"/>
    <mergeCell ref="A322:A323"/>
    <mergeCell ref="A325:A337"/>
    <mergeCell ref="B327:B328"/>
    <mergeCell ref="C327:C328"/>
    <mergeCell ref="D327:D328"/>
    <mergeCell ref="E327:E328"/>
    <mergeCell ref="B329:B336"/>
    <mergeCell ref="C329:C336"/>
    <mergeCell ref="D329:D336"/>
    <mergeCell ref="E329:E336"/>
    <mergeCell ref="A339:A341"/>
    <mergeCell ref="E342:H342"/>
    <mergeCell ref="E345:H345"/>
    <mergeCell ref="A346:A349"/>
    <mergeCell ref="E350:H350"/>
    <mergeCell ref="A351:A354"/>
    <mergeCell ref="E355:H355"/>
    <mergeCell ref="E358:H358"/>
    <mergeCell ref="A359:A362"/>
    <mergeCell ref="E343:H343"/>
    <mergeCell ref="E356:H356"/>
    <mergeCell ref="A364:A367"/>
    <mergeCell ref="E368:H368"/>
    <mergeCell ref="E371:H371"/>
    <mergeCell ref="A372:A376"/>
    <mergeCell ref="E377:H377"/>
    <mergeCell ref="A378:A382"/>
    <mergeCell ref="E383:H383"/>
    <mergeCell ref="E386:H386"/>
    <mergeCell ref="A387:A391"/>
    <mergeCell ref="E369:H369"/>
    <mergeCell ref="E384:H384"/>
    <mergeCell ref="A420:A421"/>
    <mergeCell ref="E422:H422"/>
    <mergeCell ref="E425:H425"/>
    <mergeCell ref="A426:A427"/>
    <mergeCell ref="E428:H428"/>
    <mergeCell ref="A393:A396"/>
    <mergeCell ref="E397:H397"/>
    <mergeCell ref="E400:H400"/>
    <mergeCell ref="A401:A418"/>
    <mergeCell ref="B403:B417"/>
    <mergeCell ref="C403:C417"/>
    <mergeCell ref="D403:D417"/>
    <mergeCell ref="E403:E417"/>
    <mergeCell ref="E419:H419"/>
    <mergeCell ref="E423:H423"/>
    <mergeCell ref="E398:H398"/>
  </mergeCells>
  <conditionalFormatting sqref="F8">
    <cfRule type="containsText" dxfId="4" priority="1" operator="containsText" text="Неверно">
      <formula>NOT(ISERROR(SEARCH("Неверно",F8)))</formula>
    </cfRule>
    <cfRule type="containsText" dxfId="3" priority="2" operator="containsText" text="Частично">
      <formula>NOT(ISERROR(SEARCH("Частично",F8)))</formula>
    </cfRule>
    <cfRule type="beginsWith" dxfId="2" priority="3" operator="beginsWith" text="Выполняется">
      <formula>LEFT(F8,LEN("Выполняется"))="Выполняется"</formula>
    </cfRule>
    <cfRule type="containsText" dxfId="1" priority="4" operator="containsText" text="Верно">
      <formula>NOT(ISERROR(SEARCH("Верно",F8)))</formula>
    </cfRule>
    <cfRule type="containsText" dxfId="0" priority="5" operator="containsText" text="Не выполняется">
      <formula>NOT(ISERROR(SEARCH("Не выполняется",F8)))</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L194"/>
  <sheetViews>
    <sheetView workbookViewId="0">
      <pane xSplit="1" ySplit="1" topLeftCell="B2" activePane="bottomRight" state="frozen"/>
      <selection pane="topRight" activeCell="B1" sqref="B1"/>
      <selection pane="bottomLeft" activeCell="A2" sqref="A2"/>
      <selection pane="bottomRight" activeCell="A2" sqref="A2:E2"/>
    </sheetView>
  </sheetViews>
  <sheetFormatPr defaultColWidth="8.88671875" defaultRowHeight="16.8" x14ac:dyDescent="0.4"/>
  <cols>
    <col min="1" max="1" width="9.109375" style="132" bestFit="1" customWidth="1"/>
    <col min="2" max="2" width="95" style="146" customWidth="1"/>
    <col min="3" max="3" width="22" style="132" bestFit="1" customWidth="1"/>
    <col min="4" max="4" width="16" style="132" customWidth="1"/>
    <col min="5" max="5" width="16.5546875" style="132" bestFit="1" customWidth="1"/>
    <col min="6" max="6" width="29.109375" style="132" hidden="1" customWidth="1"/>
    <col min="7" max="7" width="32.5546875" style="132" hidden="1" customWidth="1"/>
    <col min="8" max="8" width="8.88671875" style="133"/>
    <col min="9" max="9" width="12.33203125" style="133" bestFit="1" customWidth="1"/>
    <col min="10" max="10" width="27.44140625" style="133" bestFit="1" customWidth="1"/>
    <col min="11" max="11" width="21.5546875" style="133" bestFit="1" customWidth="1"/>
    <col min="12" max="16384" width="8.88671875" style="133"/>
  </cols>
  <sheetData>
    <row r="1" spans="1:11" x14ac:dyDescent="0.4">
      <c r="A1" s="206" t="s">
        <v>2</v>
      </c>
      <c r="B1" s="206" t="s">
        <v>2159</v>
      </c>
      <c r="C1" s="206" t="s">
        <v>3890</v>
      </c>
      <c r="D1" s="206" t="s">
        <v>3889</v>
      </c>
      <c r="E1" s="206" t="s">
        <v>1427</v>
      </c>
      <c r="F1" s="214" t="s">
        <v>3892</v>
      </c>
      <c r="G1" s="214" t="s">
        <v>3893</v>
      </c>
      <c r="I1" s="173" t="s">
        <v>2124</v>
      </c>
      <c r="J1" s="173" t="s">
        <v>3891</v>
      </c>
      <c r="K1" s="173" t="s">
        <v>2125</v>
      </c>
    </row>
    <row r="2" spans="1:11" s="216" customFormat="1" ht="20.399999999999999" x14ac:dyDescent="0.4">
      <c r="A2" s="591" t="s">
        <v>3873</v>
      </c>
      <c r="B2" s="592"/>
      <c r="C2" s="592"/>
      <c r="D2" s="592"/>
      <c r="E2" s="593"/>
      <c r="F2" s="174"/>
      <c r="G2" s="174"/>
      <c r="I2" s="217">
        <f>COUNTA(F2:F256)</f>
        <v>62</v>
      </c>
      <c r="J2" s="217">
        <f>COUNTA(G2:G194)</f>
        <v>126</v>
      </c>
      <c r="K2" s="218">
        <f>(I2/J2)*100</f>
        <v>49.206349206349202</v>
      </c>
    </row>
    <row r="3" spans="1:11" s="216" customFormat="1" ht="19.2" x14ac:dyDescent="0.4">
      <c r="A3" s="594" t="s">
        <v>3874</v>
      </c>
      <c r="B3" s="595"/>
      <c r="C3" s="595"/>
      <c r="D3" s="595"/>
      <c r="E3" s="596"/>
      <c r="F3" s="174"/>
      <c r="G3" s="174"/>
    </row>
    <row r="4" spans="1:11" x14ac:dyDescent="0.4">
      <c r="A4" s="174" t="s">
        <v>3691</v>
      </c>
      <c r="B4" s="215" t="s">
        <v>3694</v>
      </c>
      <c r="C4" s="174" t="str">
        <f>Практики!C297</f>
        <v>P-EDU-KB-2-1</v>
      </c>
      <c r="D4" s="174" t="str">
        <f>Практики!F297</f>
        <v>Не заполнено</v>
      </c>
      <c r="E4" s="174">
        <f>Практики!Q297</f>
        <v>0</v>
      </c>
      <c r="F4" s="174">
        <v>0</v>
      </c>
      <c r="G4" s="174">
        <v>0</v>
      </c>
    </row>
    <row r="5" spans="1:11" x14ac:dyDescent="0.4">
      <c r="A5" s="174" t="s">
        <v>713</v>
      </c>
      <c r="B5" s="215" t="s">
        <v>3695</v>
      </c>
      <c r="C5" s="174"/>
      <c r="D5" s="174"/>
      <c r="E5" s="174"/>
      <c r="F5" s="174"/>
      <c r="G5" s="174">
        <v>0</v>
      </c>
    </row>
    <row r="6" spans="1:11" x14ac:dyDescent="0.4">
      <c r="A6" s="390" t="s">
        <v>1343</v>
      </c>
      <c r="B6" s="590" t="s">
        <v>3696</v>
      </c>
      <c r="C6" s="174" t="str">
        <f>Практики!C328</f>
        <v>P-REQ-CR-1-1</v>
      </c>
      <c r="D6" s="174" t="str">
        <f>Практики!F328</f>
        <v>Не заполнено</v>
      </c>
      <c r="E6" s="174">
        <f>Практики!Q328</f>
        <v>0</v>
      </c>
      <c r="F6" s="390">
        <v>0</v>
      </c>
      <c r="G6" s="390">
        <v>0</v>
      </c>
    </row>
    <row r="7" spans="1:11" x14ac:dyDescent="0.4">
      <c r="A7" s="390"/>
      <c r="B7" s="590"/>
      <c r="C7" s="174" t="str">
        <f>Практики!C329</f>
        <v>P-REQ-CR-2-1</v>
      </c>
      <c r="D7" s="174" t="str">
        <f>Практики!F329</f>
        <v>Не заполнено</v>
      </c>
      <c r="E7" s="174">
        <f>Практики!Q329</f>
        <v>0</v>
      </c>
      <c r="F7" s="390"/>
      <c r="G7" s="390"/>
    </row>
    <row r="8" spans="1:11" x14ac:dyDescent="0.4">
      <c r="A8" s="390"/>
      <c r="B8" s="590"/>
      <c r="C8" s="174" t="str">
        <f>Практики!C330</f>
        <v>P-REQ-CR-3-1</v>
      </c>
      <c r="D8" s="174" t="str">
        <f>Практики!F330</f>
        <v>Не заполнено</v>
      </c>
      <c r="E8" s="174">
        <f>Практики!Q330</f>
        <v>0</v>
      </c>
      <c r="F8" s="390"/>
      <c r="G8" s="390"/>
    </row>
    <row r="9" spans="1:11" x14ac:dyDescent="0.4">
      <c r="A9" s="390"/>
      <c r="B9" s="590"/>
      <c r="C9" s="174" t="str">
        <f>Практики!C331</f>
        <v>P-REQ-CR-4-1</v>
      </c>
      <c r="D9" s="174" t="str">
        <f>Практики!F331</f>
        <v>Не заполнено</v>
      </c>
      <c r="E9" s="174">
        <f>Практики!Q331</f>
        <v>0</v>
      </c>
      <c r="F9" s="390"/>
      <c r="G9" s="390"/>
    </row>
    <row r="10" spans="1:11" x14ac:dyDescent="0.4">
      <c r="A10" s="174" t="s">
        <v>714</v>
      </c>
      <c r="B10" s="215" t="s">
        <v>3697</v>
      </c>
      <c r="C10" s="174" t="str">
        <f>Практики!C378</f>
        <v>P-MET-EX-3-3</v>
      </c>
      <c r="D10" s="174" t="str">
        <f>Практики!F378</f>
        <v>Не заполнено</v>
      </c>
      <c r="E10" s="174">
        <f>Практики!Q378</f>
        <v>0</v>
      </c>
      <c r="F10" s="174">
        <v>0</v>
      </c>
      <c r="G10" s="174">
        <v>0</v>
      </c>
    </row>
    <row r="11" spans="1:11" x14ac:dyDescent="0.4">
      <c r="A11" s="390" t="s">
        <v>544</v>
      </c>
      <c r="B11" s="590" t="s">
        <v>3698</v>
      </c>
      <c r="C11" s="174" t="str">
        <f>Практики!C330</f>
        <v>P-REQ-CR-3-1</v>
      </c>
      <c r="D11" s="174" t="str">
        <f>Практики!F330</f>
        <v>Не заполнено</v>
      </c>
      <c r="E11" s="174">
        <f>Практики!Q330</f>
        <v>0</v>
      </c>
      <c r="F11" s="390">
        <v>0</v>
      </c>
      <c r="G11" s="390">
        <v>0</v>
      </c>
    </row>
    <row r="12" spans="1:11" x14ac:dyDescent="0.4">
      <c r="A12" s="390"/>
      <c r="B12" s="590"/>
      <c r="C12" s="174" t="str">
        <f>Практики!C356</f>
        <v>P-DEFECT-MNG-3-3</v>
      </c>
      <c r="D12" s="174" t="str">
        <f>Практики!F356</f>
        <v>Не заполнено</v>
      </c>
      <c r="E12" s="174">
        <f>Практики!Q356</f>
        <v>0</v>
      </c>
      <c r="F12" s="390"/>
      <c r="G12" s="390"/>
    </row>
    <row r="13" spans="1:11" x14ac:dyDescent="0.4">
      <c r="A13" s="174" t="s">
        <v>672</v>
      </c>
      <c r="B13" s="215" t="s">
        <v>3699</v>
      </c>
      <c r="C13" s="174" t="str">
        <f>Практики!C382</f>
        <v>P-ROLE-SC-0-1</v>
      </c>
      <c r="D13" s="174" t="str">
        <f>Практики!F382</f>
        <v>Не заполнено</v>
      </c>
      <c r="E13" s="174">
        <f>Практики!Q382</f>
        <v>0</v>
      </c>
      <c r="F13" s="174">
        <v>0</v>
      </c>
      <c r="G13" s="174">
        <v>0</v>
      </c>
    </row>
    <row r="14" spans="1:11" x14ac:dyDescent="0.4">
      <c r="A14" s="174" t="s">
        <v>3692</v>
      </c>
      <c r="B14" s="215" t="s">
        <v>3700</v>
      </c>
      <c r="C14" s="174"/>
      <c r="D14" s="174"/>
      <c r="E14" s="174"/>
      <c r="F14" s="174"/>
      <c r="G14" s="174">
        <v>0</v>
      </c>
    </row>
    <row r="15" spans="1:11" x14ac:dyDescent="0.4">
      <c r="A15" s="174" t="s">
        <v>715</v>
      </c>
      <c r="B15" s="215" t="s">
        <v>3701</v>
      </c>
      <c r="C15" s="174"/>
      <c r="D15" s="174"/>
      <c r="E15" s="174"/>
      <c r="F15" s="174"/>
      <c r="G15" s="174">
        <v>0</v>
      </c>
    </row>
    <row r="16" spans="1:11" x14ac:dyDescent="0.4">
      <c r="A16" s="390" t="s">
        <v>1345</v>
      </c>
      <c r="B16" s="590" t="s">
        <v>3702</v>
      </c>
      <c r="C16" s="174" t="str">
        <f>Практики!C201</f>
        <v>T-PREPROD-VULN-2-2</v>
      </c>
      <c r="D16" s="174" t="str">
        <f>Практики!F201</f>
        <v>Не заполнено</v>
      </c>
      <c r="E16" s="174">
        <f>Практики!Q201</f>
        <v>0</v>
      </c>
      <c r="F16" s="390">
        <v>0</v>
      </c>
      <c r="G16" s="390">
        <v>0</v>
      </c>
    </row>
    <row r="17" spans="1:7" x14ac:dyDescent="0.4">
      <c r="A17" s="390"/>
      <c r="B17" s="590"/>
      <c r="C17" s="174" t="str">
        <f>Практики!C272</f>
        <v>T-PROD-VULN-2-2</v>
      </c>
      <c r="D17" s="174" t="str">
        <f>Практики!F272</f>
        <v>Не заполнено</v>
      </c>
      <c r="E17" s="174">
        <f>Практики!Q272</f>
        <v>0</v>
      </c>
      <c r="F17" s="390"/>
      <c r="G17" s="390"/>
    </row>
    <row r="18" spans="1:7" x14ac:dyDescent="0.4">
      <c r="A18" s="390"/>
      <c r="B18" s="590"/>
      <c r="C18" s="174" t="str">
        <f>Практики!C362</f>
        <v>P-DEFECT-CNS-3-1</v>
      </c>
      <c r="D18" s="174" t="str">
        <f>Практики!F362</f>
        <v>Не заполнено</v>
      </c>
      <c r="E18" s="174">
        <f>Практики!Q362</f>
        <v>0</v>
      </c>
      <c r="F18" s="390"/>
      <c r="G18" s="390"/>
    </row>
    <row r="19" spans="1:7" x14ac:dyDescent="0.4">
      <c r="A19" s="390"/>
      <c r="B19" s="590"/>
      <c r="C19" s="174" t="str">
        <f>Практики!C363</f>
        <v>P-DEFECT-CNS-3-2</v>
      </c>
      <c r="D19" s="174" t="str">
        <f>Практики!F363</f>
        <v>Не заполнено</v>
      </c>
      <c r="E19" s="174">
        <f>Практики!Q363</f>
        <v>0</v>
      </c>
      <c r="F19" s="390"/>
      <c r="G19" s="390"/>
    </row>
    <row r="20" spans="1:7" x14ac:dyDescent="0.4">
      <c r="A20" s="390"/>
      <c r="B20" s="590"/>
      <c r="C20" s="174" t="str">
        <f>Практики!C364</f>
        <v>P-DEFECT-CNS-4-1</v>
      </c>
      <c r="D20" s="174" t="str">
        <f>Практики!F364</f>
        <v>Не заполнено</v>
      </c>
      <c r="E20" s="174">
        <f>Практики!Q364</f>
        <v>0</v>
      </c>
      <c r="F20" s="390"/>
      <c r="G20" s="390"/>
    </row>
    <row r="21" spans="1:7" x14ac:dyDescent="0.4">
      <c r="A21" s="174" t="s">
        <v>3693</v>
      </c>
      <c r="B21" s="215" t="s">
        <v>3703</v>
      </c>
      <c r="C21" s="174"/>
      <c r="D21" s="174"/>
      <c r="E21" s="174"/>
      <c r="F21" s="174"/>
      <c r="G21" s="174">
        <v>0</v>
      </c>
    </row>
    <row r="22" spans="1:7" x14ac:dyDescent="0.4">
      <c r="A22" s="390" t="s">
        <v>645</v>
      </c>
      <c r="B22" s="590" t="s">
        <v>3704</v>
      </c>
      <c r="C22" s="174" t="str">
        <f>Практики!C369</f>
        <v>P-MET-SET-2-1</v>
      </c>
      <c r="D22" s="174" t="str">
        <f>Практики!F369</f>
        <v>Не заполнено</v>
      </c>
      <c r="E22" s="174">
        <f>Практики!Q369</f>
        <v>0</v>
      </c>
      <c r="F22" s="390">
        <v>0</v>
      </c>
      <c r="G22" s="390">
        <v>0</v>
      </c>
    </row>
    <row r="23" spans="1:7" x14ac:dyDescent="0.4">
      <c r="A23" s="390"/>
      <c r="B23" s="590"/>
      <c r="C23" s="174" t="str">
        <f>Практики!C371</f>
        <v>P-MET-SET-3-1</v>
      </c>
      <c r="D23" s="174" t="str">
        <f>Практики!F371</f>
        <v>Не заполнено</v>
      </c>
      <c r="E23" s="174">
        <f>Практики!Q371</f>
        <v>0</v>
      </c>
      <c r="F23" s="390"/>
      <c r="G23" s="390"/>
    </row>
    <row r="24" spans="1:7" x14ac:dyDescent="0.4">
      <c r="A24" s="390"/>
      <c r="B24" s="590"/>
      <c r="C24" s="174" t="str">
        <f>Практики!C374</f>
        <v>P-MET-EX-2-1</v>
      </c>
      <c r="D24" s="174" t="str">
        <f>Практики!F374</f>
        <v>Не заполнено</v>
      </c>
      <c r="E24" s="174">
        <f>Практики!Q374</f>
        <v>0</v>
      </c>
      <c r="F24" s="390"/>
      <c r="G24" s="390"/>
    </row>
    <row r="25" spans="1:7" x14ac:dyDescent="0.4">
      <c r="A25" s="390" t="s">
        <v>1327</v>
      </c>
      <c r="B25" s="590" t="s">
        <v>3705</v>
      </c>
      <c r="C25" s="174" t="str">
        <f>Практики!C97</f>
        <v>T-DEV-CICD-1-3</v>
      </c>
      <c r="D25" s="174" t="str">
        <f>Практики!F97</f>
        <v>Не заполнено</v>
      </c>
      <c r="E25" s="174">
        <f>Практики!Q97</f>
        <v>0</v>
      </c>
      <c r="F25" s="390">
        <v>0</v>
      </c>
      <c r="G25" s="390">
        <v>0</v>
      </c>
    </row>
    <row r="26" spans="1:7" x14ac:dyDescent="0.4">
      <c r="A26" s="390"/>
      <c r="B26" s="590"/>
      <c r="C26" s="174" t="str">
        <f>Практики!C124</f>
        <v>T-CODE-SST-2-3</v>
      </c>
      <c r="D26" s="174" t="str">
        <f>Практики!F124</f>
        <v>Не заполнено</v>
      </c>
      <c r="E26" s="174">
        <f>Практики!Q124</f>
        <v>0</v>
      </c>
      <c r="F26" s="390"/>
      <c r="G26" s="390"/>
    </row>
    <row r="27" spans="1:7" x14ac:dyDescent="0.4">
      <c r="A27" s="390"/>
      <c r="B27" s="590"/>
      <c r="C27" s="174" t="str">
        <f>Практики!C137</f>
        <v>T-CODE-SC-2-4</v>
      </c>
      <c r="D27" s="174" t="str">
        <f>Практики!F137</f>
        <v>Не заполнено</v>
      </c>
      <c r="E27" s="174">
        <f>Практики!Q137</f>
        <v>0</v>
      </c>
      <c r="F27" s="390"/>
      <c r="G27" s="390"/>
    </row>
    <row r="28" spans="1:7" x14ac:dyDescent="0.4">
      <c r="A28" s="390"/>
      <c r="B28" s="590"/>
      <c r="C28" s="174" t="str">
        <f>Практики!C148</f>
        <v>T-CODE-IMG-2-1</v>
      </c>
      <c r="D28" s="174" t="str">
        <f>Практики!F148</f>
        <v>Не заполнено</v>
      </c>
      <c r="E28" s="174">
        <f>Практики!Q148</f>
        <v>0</v>
      </c>
      <c r="F28" s="390"/>
      <c r="G28" s="390"/>
    </row>
    <row r="29" spans="1:7" x14ac:dyDescent="0.4">
      <c r="A29" s="390"/>
      <c r="B29" s="590"/>
      <c r="C29" s="174" t="str">
        <f>Практики!C353</f>
        <v>P-DEFECT-MNG-2-2</v>
      </c>
      <c r="D29" s="174" t="str">
        <f>Практики!F353</f>
        <v>Не заполнено</v>
      </c>
      <c r="E29" s="174">
        <f>Практики!Q353</f>
        <v>0</v>
      </c>
      <c r="F29" s="390"/>
      <c r="G29" s="390"/>
    </row>
    <row r="30" spans="1:7" x14ac:dyDescent="0.4">
      <c r="A30" s="174" t="s">
        <v>1328</v>
      </c>
      <c r="B30" s="215" t="s">
        <v>3706</v>
      </c>
      <c r="C30" s="174" t="str">
        <f>Практики!C130</f>
        <v>T-CODE-SC-0-1</v>
      </c>
      <c r="D30" s="174" t="str">
        <f>Практики!F130</f>
        <v>Не заполнено</v>
      </c>
      <c r="E30" s="174">
        <f>Практики!Q130</f>
        <v>0</v>
      </c>
      <c r="F30" s="174">
        <v>0</v>
      </c>
      <c r="G30" s="174">
        <v>0</v>
      </c>
    </row>
    <row r="31" spans="1:7" s="216" customFormat="1" ht="19.2" x14ac:dyDescent="0.4">
      <c r="A31" s="586" t="s">
        <v>3875</v>
      </c>
      <c r="B31" s="586"/>
      <c r="C31" s="586"/>
      <c r="D31" s="586"/>
      <c r="E31" s="586"/>
      <c r="F31" s="174"/>
      <c r="G31" s="174"/>
    </row>
    <row r="32" spans="1:7" x14ac:dyDescent="0.4">
      <c r="A32" s="174" t="s">
        <v>716</v>
      </c>
      <c r="B32" s="215" t="s">
        <v>3709</v>
      </c>
      <c r="C32" s="174"/>
      <c r="D32" s="174"/>
      <c r="E32" s="174"/>
      <c r="F32" s="174"/>
      <c r="G32" s="174">
        <v>0</v>
      </c>
    </row>
    <row r="33" spans="1:7" x14ac:dyDescent="0.4">
      <c r="A33" s="174" t="s">
        <v>717</v>
      </c>
      <c r="B33" s="215" t="s">
        <v>3710</v>
      </c>
      <c r="C33" s="174"/>
      <c r="D33" s="174"/>
      <c r="E33" s="174"/>
      <c r="F33" s="174"/>
      <c r="G33" s="174">
        <v>0</v>
      </c>
    </row>
    <row r="34" spans="1:7" x14ac:dyDescent="0.4">
      <c r="A34" s="174" t="s">
        <v>3707</v>
      </c>
      <c r="B34" s="215" t="s">
        <v>3711</v>
      </c>
      <c r="C34" s="174"/>
      <c r="D34" s="174"/>
      <c r="E34" s="174"/>
      <c r="F34" s="174"/>
      <c r="G34" s="174">
        <v>0</v>
      </c>
    </row>
    <row r="35" spans="1:7" x14ac:dyDescent="0.4">
      <c r="A35" s="174" t="s">
        <v>718</v>
      </c>
      <c r="B35" s="215" t="s">
        <v>3712</v>
      </c>
      <c r="C35" s="174"/>
      <c r="D35" s="174"/>
      <c r="E35" s="174"/>
      <c r="F35" s="174"/>
      <c r="G35" s="174">
        <v>0</v>
      </c>
    </row>
    <row r="36" spans="1:7" x14ac:dyDescent="0.4">
      <c r="A36" s="174" t="s">
        <v>3708</v>
      </c>
      <c r="B36" s="215" t="s">
        <v>3713</v>
      </c>
      <c r="C36" s="174"/>
      <c r="D36" s="174"/>
      <c r="E36" s="174"/>
      <c r="F36" s="174"/>
      <c r="G36" s="174">
        <v>0</v>
      </c>
    </row>
    <row r="37" spans="1:7" x14ac:dyDescent="0.4">
      <c r="A37" s="390" t="s">
        <v>1341</v>
      </c>
      <c r="B37" s="590" t="s">
        <v>3714</v>
      </c>
      <c r="C37" s="174" t="str">
        <f>Практики!C327</f>
        <v>P-REQ-CR-0-1</v>
      </c>
      <c r="D37" s="174" t="str">
        <f>Практики!F327</f>
        <v>Не заполнено</v>
      </c>
      <c r="E37" s="174">
        <f>Практики!Q327</f>
        <v>0</v>
      </c>
      <c r="F37" s="390">
        <v>0</v>
      </c>
      <c r="G37" s="390">
        <v>0</v>
      </c>
    </row>
    <row r="38" spans="1:7" x14ac:dyDescent="0.4">
      <c r="A38" s="390"/>
      <c r="B38" s="590"/>
      <c r="C38" s="174" t="str">
        <f>Практики!C328</f>
        <v>P-REQ-CR-1-1</v>
      </c>
      <c r="D38" s="174" t="str">
        <f>Практики!F328</f>
        <v>Не заполнено</v>
      </c>
      <c r="E38" s="174">
        <f>Практики!Q328</f>
        <v>0</v>
      </c>
      <c r="F38" s="390"/>
      <c r="G38" s="390"/>
    </row>
    <row r="39" spans="1:7" x14ac:dyDescent="0.4">
      <c r="A39" s="390"/>
      <c r="B39" s="590"/>
      <c r="C39" s="174" t="str">
        <f>Практики!C329</f>
        <v>P-REQ-CR-2-1</v>
      </c>
      <c r="D39" s="174" t="str">
        <f>Практики!F329</f>
        <v>Не заполнено</v>
      </c>
      <c r="E39" s="174">
        <f>Практики!Q329</f>
        <v>0</v>
      </c>
      <c r="F39" s="390"/>
      <c r="G39" s="390"/>
    </row>
    <row r="40" spans="1:7" x14ac:dyDescent="0.4">
      <c r="A40" s="174" t="s">
        <v>719</v>
      </c>
      <c r="B40" s="215" t="s">
        <v>3715</v>
      </c>
      <c r="C40" s="174"/>
      <c r="D40" s="174"/>
      <c r="E40" s="174"/>
      <c r="F40" s="174"/>
      <c r="G40" s="174">
        <v>0</v>
      </c>
    </row>
    <row r="41" spans="1:7" x14ac:dyDescent="0.4">
      <c r="A41" s="174" t="s">
        <v>720</v>
      </c>
      <c r="B41" s="215" t="s">
        <v>3716</v>
      </c>
      <c r="C41" s="174"/>
      <c r="D41" s="174"/>
      <c r="E41" s="174"/>
      <c r="F41" s="174"/>
      <c r="G41" s="174">
        <v>0</v>
      </c>
    </row>
    <row r="42" spans="1:7" x14ac:dyDescent="0.4">
      <c r="A42" s="174" t="s">
        <v>721</v>
      </c>
      <c r="B42" s="215" t="s">
        <v>3717</v>
      </c>
      <c r="C42" s="174"/>
      <c r="D42" s="174"/>
      <c r="E42" s="174"/>
      <c r="F42" s="174"/>
      <c r="G42" s="174">
        <v>0</v>
      </c>
    </row>
    <row r="43" spans="1:7" x14ac:dyDescent="0.4">
      <c r="A43" s="174" t="s">
        <v>722</v>
      </c>
      <c r="B43" s="215" t="s">
        <v>3719</v>
      </c>
      <c r="C43" s="174"/>
      <c r="D43" s="174"/>
      <c r="E43" s="174"/>
      <c r="F43" s="174"/>
      <c r="G43" s="174">
        <v>0</v>
      </c>
    </row>
    <row r="44" spans="1:7" x14ac:dyDescent="0.4">
      <c r="A44" s="174" t="s">
        <v>723</v>
      </c>
      <c r="B44" s="215" t="s">
        <v>3718</v>
      </c>
      <c r="C44" s="174" t="str">
        <f>Практики!C379</f>
        <v>P-MET-EX-4-1</v>
      </c>
      <c r="D44" s="174" t="str">
        <f>Практики!F379</f>
        <v>Не заполнено</v>
      </c>
      <c r="E44" s="174">
        <f>Практики!Q379</f>
        <v>0</v>
      </c>
      <c r="F44" s="174">
        <v>0</v>
      </c>
      <c r="G44" s="174">
        <v>0</v>
      </c>
    </row>
    <row r="45" spans="1:7" s="216" customFormat="1" ht="19.2" x14ac:dyDescent="0.4">
      <c r="A45" s="586" t="s">
        <v>3876</v>
      </c>
      <c r="B45" s="586"/>
      <c r="C45" s="586"/>
      <c r="D45" s="586"/>
      <c r="E45" s="586"/>
      <c r="F45" s="174"/>
      <c r="G45" s="174"/>
    </row>
    <row r="46" spans="1:7" x14ac:dyDescent="0.4">
      <c r="A46" s="174" t="s">
        <v>3720</v>
      </c>
      <c r="B46" s="215" t="s">
        <v>3729</v>
      </c>
      <c r="C46" s="174" t="str">
        <f>Практики!C288</f>
        <v>P-EDU-AWR-2-1</v>
      </c>
      <c r="D46" s="174" t="str">
        <f>Практики!F288</f>
        <v>Не заполнено</v>
      </c>
      <c r="E46" s="174">
        <f>Практики!Q288</f>
        <v>0</v>
      </c>
      <c r="F46" s="174">
        <v>0</v>
      </c>
      <c r="G46" s="174">
        <v>0</v>
      </c>
    </row>
    <row r="47" spans="1:7" x14ac:dyDescent="0.4">
      <c r="A47" s="174" t="s">
        <v>3721</v>
      </c>
      <c r="B47" s="215" t="s">
        <v>3730</v>
      </c>
      <c r="C47" s="174"/>
      <c r="D47" s="174"/>
      <c r="E47" s="174"/>
      <c r="F47" s="174"/>
      <c r="G47" s="174">
        <v>0</v>
      </c>
    </row>
    <row r="48" spans="1:7" x14ac:dyDescent="0.4">
      <c r="A48" s="174" t="s">
        <v>724</v>
      </c>
      <c r="B48" s="215" t="s">
        <v>3731</v>
      </c>
      <c r="C48" s="174" t="str">
        <f>Практики!C390</f>
        <v>P-ROLE-SC-4-1</v>
      </c>
      <c r="D48" s="174" t="str">
        <f>Практики!F390</f>
        <v>Не заполнено</v>
      </c>
      <c r="E48" s="174">
        <f>Практики!Q390</f>
        <v>0</v>
      </c>
      <c r="F48" s="174">
        <v>0</v>
      </c>
      <c r="G48" s="174">
        <v>0</v>
      </c>
    </row>
    <row r="49" spans="1:7" x14ac:dyDescent="0.4">
      <c r="A49" s="174" t="s">
        <v>3722</v>
      </c>
      <c r="B49" s="215" t="s">
        <v>3732</v>
      </c>
      <c r="C49" s="174" t="str">
        <f>Практики!C290</f>
        <v>P-EDU-AWR-2-3</v>
      </c>
      <c r="D49" s="174" t="str">
        <f>Практики!F290</f>
        <v>Не заполнено</v>
      </c>
      <c r="E49" s="174">
        <f>Практики!Q290</f>
        <v>0</v>
      </c>
      <c r="F49" s="174">
        <v>0</v>
      </c>
      <c r="G49" s="174">
        <v>0</v>
      </c>
    </row>
    <row r="50" spans="1:7" x14ac:dyDescent="0.4">
      <c r="A50" s="174" t="s">
        <v>3723</v>
      </c>
      <c r="B50" s="215" t="s">
        <v>3733</v>
      </c>
      <c r="C50" s="174"/>
      <c r="D50" s="174"/>
      <c r="E50" s="174"/>
      <c r="F50" s="174"/>
      <c r="G50" s="174">
        <v>0</v>
      </c>
    </row>
    <row r="51" spans="1:7" x14ac:dyDescent="0.4">
      <c r="A51" s="390" t="s">
        <v>3724</v>
      </c>
      <c r="B51" s="590" t="s">
        <v>3734</v>
      </c>
      <c r="C51" s="174" t="str">
        <f>Практики!C288</f>
        <v>P-EDU-AWR-2-1</v>
      </c>
      <c r="D51" s="174" t="str">
        <f>Практики!F288</f>
        <v>Не заполнено</v>
      </c>
      <c r="E51" s="174">
        <f>Практики!Q288</f>
        <v>0</v>
      </c>
      <c r="F51" s="390">
        <v>0</v>
      </c>
      <c r="G51" s="390">
        <v>0</v>
      </c>
    </row>
    <row r="52" spans="1:7" x14ac:dyDescent="0.4">
      <c r="A52" s="390"/>
      <c r="B52" s="590"/>
      <c r="C52" s="174" t="str">
        <f>Практики!C290</f>
        <v>P-EDU-AWR-2-3</v>
      </c>
      <c r="D52" s="174" t="str">
        <f>Практики!F290</f>
        <v>Не заполнено</v>
      </c>
      <c r="E52" s="174">
        <f>Практики!Q290</f>
        <v>0</v>
      </c>
      <c r="F52" s="390"/>
      <c r="G52" s="390"/>
    </row>
    <row r="53" spans="1:7" x14ac:dyDescent="0.4">
      <c r="A53" s="174" t="s">
        <v>3725</v>
      </c>
      <c r="B53" s="215" t="s">
        <v>3735</v>
      </c>
      <c r="C53" s="174"/>
      <c r="D53" s="174"/>
      <c r="E53" s="174"/>
      <c r="F53" s="174"/>
      <c r="G53" s="174">
        <v>0</v>
      </c>
    </row>
    <row r="54" spans="1:7" x14ac:dyDescent="0.4">
      <c r="A54" s="174" t="s">
        <v>3726</v>
      </c>
      <c r="B54" s="215" t="s">
        <v>3736</v>
      </c>
      <c r="C54" s="174"/>
      <c r="D54" s="174"/>
      <c r="E54" s="174"/>
      <c r="F54" s="174"/>
      <c r="G54" s="174">
        <v>0</v>
      </c>
    </row>
    <row r="55" spans="1:7" x14ac:dyDescent="0.4">
      <c r="A55" s="174" t="s">
        <v>1335</v>
      </c>
      <c r="B55" s="215" t="s">
        <v>3737</v>
      </c>
      <c r="C55" s="174" t="str">
        <f>Практики!C292</f>
        <v>P-EDU-AWR-3-1</v>
      </c>
      <c r="D55" s="174" t="str">
        <f>Практики!F292</f>
        <v>Не заполнено</v>
      </c>
      <c r="E55" s="174">
        <f>Практики!Q292</f>
        <v>0</v>
      </c>
      <c r="F55" s="174">
        <v>0</v>
      </c>
      <c r="G55" s="174">
        <v>0</v>
      </c>
    </row>
    <row r="56" spans="1:7" x14ac:dyDescent="0.4">
      <c r="A56" s="174" t="s">
        <v>512</v>
      </c>
      <c r="B56" s="215" t="s">
        <v>3738</v>
      </c>
      <c r="C56" s="174" t="str">
        <f>Практики!C293</f>
        <v>P-EDU-AWR-3-2</v>
      </c>
      <c r="D56" s="174" t="str">
        <f>Практики!F293</f>
        <v>Не заполнено</v>
      </c>
      <c r="E56" s="174">
        <f>Практики!Q293</f>
        <v>0</v>
      </c>
      <c r="F56" s="174">
        <v>0</v>
      </c>
      <c r="G56" s="174">
        <v>0</v>
      </c>
    </row>
    <row r="57" spans="1:7" x14ac:dyDescent="0.4">
      <c r="A57" s="174" t="s">
        <v>3727</v>
      </c>
      <c r="B57" s="215" t="s">
        <v>3739</v>
      </c>
      <c r="C57" s="174"/>
      <c r="D57" s="174"/>
      <c r="E57" s="174"/>
      <c r="F57" s="174"/>
      <c r="G57" s="174">
        <v>0</v>
      </c>
    </row>
    <row r="58" spans="1:7" x14ac:dyDescent="0.4">
      <c r="A58" s="174" t="s">
        <v>3728</v>
      </c>
      <c r="B58" s="215" t="s">
        <v>3740</v>
      </c>
      <c r="C58" s="174"/>
      <c r="D58" s="174"/>
      <c r="E58" s="174"/>
      <c r="F58" s="174"/>
      <c r="G58" s="174">
        <v>0</v>
      </c>
    </row>
    <row r="59" spans="1:7" s="216" customFormat="1" ht="20.399999999999999" x14ac:dyDescent="0.4">
      <c r="A59" s="587" t="s">
        <v>3877</v>
      </c>
      <c r="B59" s="587"/>
      <c r="C59" s="587"/>
      <c r="D59" s="587"/>
      <c r="E59" s="587"/>
      <c r="F59" s="174"/>
      <c r="G59" s="174"/>
    </row>
    <row r="60" spans="1:7" s="216" customFormat="1" ht="19.2" x14ac:dyDescent="0.4">
      <c r="A60" s="586" t="s">
        <v>3878</v>
      </c>
      <c r="B60" s="586"/>
      <c r="C60" s="586"/>
      <c r="D60" s="586"/>
      <c r="E60" s="586"/>
      <c r="F60" s="174"/>
      <c r="G60" s="174"/>
    </row>
    <row r="61" spans="1:7" x14ac:dyDescent="0.4">
      <c r="A61" s="174" t="s">
        <v>3741</v>
      </c>
      <c r="B61" s="215" t="s">
        <v>3751</v>
      </c>
      <c r="C61" s="174"/>
      <c r="D61" s="174"/>
      <c r="E61" s="174"/>
      <c r="F61" s="174"/>
      <c r="G61" s="174">
        <v>0</v>
      </c>
    </row>
    <row r="62" spans="1:7" x14ac:dyDescent="0.4">
      <c r="A62" s="174" t="s">
        <v>3742</v>
      </c>
      <c r="B62" s="215" t="s">
        <v>3752</v>
      </c>
      <c r="C62" s="174" t="str">
        <f>Практики!C314</f>
        <v>P-REQ-TM-3-2</v>
      </c>
      <c r="D62" s="174" t="str">
        <f>Практики!F314</f>
        <v>Не заполнено</v>
      </c>
      <c r="E62" s="174">
        <f>Практики!Q314</f>
        <v>0</v>
      </c>
      <c r="F62" s="174">
        <v>0</v>
      </c>
      <c r="G62" s="174">
        <v>0</v>
      </c>
    </row>
    <row r="63" spans="1:7" x14ac:dyDescent="0.4">
      <c r="A63" s="174" t="s">
        <v>3743</v>
      </c>
      <c r="B63" s="215" t="s">
        <v>3753</v>
      </c>
      <c r="C63" s="174"/>
      <c r="D63" s="174"/>
      <c r="E63" s="174"/>
      <c r="F63" s="174"/>
      <c r="G63" s="174">
        <v>0</v>
      </c>
    </row>
    <row r="64" spans="1:7" x14ac:dyDescent="0.4">
      <c r="A64" s="174" t="s">
        <v>1339</v>
      </c>
      <c r="B64" s="215" t="s">
        <v>3754</v>
      </c>
      <c r="C64" s="174" t="str">
        <f>Практики!C316</f>
        <v>P-REQ-TM-4-1</v>
      </c>
      <c r="D64" s="174" t="str">
        <f>Практики!F316</f>
        <v>Не заполнено</v>
      </c>
      <c r="E64" s="174">
        <f>Практики!Q316</f>
        <v>0</v>
      </c>
      <c r="F64" s="174">
        <v>0</v>
      </c>
      <c r="G64" s="174">
        <v>0</v>
      </c>
    </row>
    <row r="65" spans="1:7" x14ac:dyDescent="0.4">
      <c r="A65" s="174" t="s">
        <v>3744</v>
      </c>
      <c r="B65" s="215" t="s">
        <v>3755</v>
      </c>
      <c r="C65" s="174"/>
      <c r="D65" s="174"/>
      <c r="E65" s="174"/>
      <c r="F65" s="174"/>
      <c r="G65" s="174">
        <v>0</v>
      </c>
    </row>
    <row r="66" spans="1:7" x14ac:dyDescent="0.4">
      <c r="A66" s="174" t="s">
        <v>3745</v>
      </c>
      <c r="B66" s="215" t="s">
        <v>3756</v>
      </c>
      <c r="C66" s="174"/>
      <c r="D66" s="174"/>
      <c r="E66" s="174"/>
      <c r="F66" s="174"/>
      <c r="G66" s="174">
        <v>0</v>
      </c>
    </row>
    <row r="67" spans="1:7" x14ac:dyDescent="0.4">
      <c r="A67" s="174" t="s">
        <v>3746</v>
      </c>
      <c r="B67" s="215" t="s">
        <v>3757</v>
      </c>
      <c r="C67" s="174"/>
      <c r="D67" s="174"/>
      <c r="E67" s="174"/>
      <c r="F67" s="174"/>
      <c r="G67" s="174">
        <v>0</v>
      </c>
    </row>
    <row r="68" spans="1:7" x14ac:dyDescent="0.4">
      <c r="A68" s="390" t="s">
        <v>3747</v>
      </c>
      <c r="B68" s="590" t="s">
        <v>3758</v>
      </c>
      <c r="C68" s="174" t="str">
        <f>Практики!C201</f>
        <v>T-PREPROD-VULN-2-2</v>
      </c>
      <c r="D68" s="174" t="str">
        <f>Практики!F201</f>
        <v>Не заполнено</v>
      </c>
      <c r="E68" s="174">
        <f>Практики!Q201</f>
        <v>0</v>
      </c>
      <c r="F68" s="390">
        <v>0</v>
      </c>
      <c r="G68" s="390">
        <v>0</v>
      </c>
    </row>
    <row r="69" spans="1:7" x14ac:dyDescent="0.4">
      <c r="A69" s="390"/>
      <c r="B69" s="590"/>
      <c r="C69" s="174" t="str">
        <f>Практики!C272</f>
        <v>T-PROD-VULN-2-2</v>
      </c>
      <c r="D69" s="174" t="str">
        <f>Практики!F272</f>
        <v>Не заполнено</v>
      </c>
      <c r="E69" s="174">
        <f>Практики!Q272</f>
        <v>0</v>
      </c>
      <c r="F69" s="390"/>
      <c r="G69" s="390"/>
    </row>
    <row r="70" spans="1:7" x14ac:dyDescent="0.4">
      <c r="A70" s="174" t="s">
        <v>3748</v>
      </c>
      <c r="B70" s="215" t="s">
        <v>3759</v>
      </c>
      <c r="C70" s="174"/>
      <c r="D70" s="174"/>
      <c r="E70" s="174"/>
      <c r="F70" s="174"/>
      <c r="G70" s="174">
        <v>0</v>
      </c>
    </row>
    <row r="71" spans="1:7" x14ac:dyDescent="0.4">
      <c r="A71" s="174" t="s">
        <v>3749</v>
      </c>
      <c r="B71" s="215" t="s">
        <v>3760</v>
      </c>
      <c r="C71" s="174"/>
      <c r="D71" s="174"/>
      <c r="E71" s="174"/>
      <c r="F71" s="174"/>
      <c r="G71" s="174">
        <v>0</v>
      </c>
    </row>
    <row r="72" spans="1:7" x14ac:dyDescent="0.4">
      <c r="A72" s="174" t="s">
        <v>3750</v>
      </c>
      <c r="B72" s="215" t="s">
        <v>3761</v>
      </c>
      <c r="C72" s="174"/>
      <c r="D72" s="174"/>
      <c r="E72" s="174"/>
      <c r="F72" s="174"/>
      <c r="G72" s="174">
        <v>0</v>
      </c>
    </row>
    <row r="73" spans="1:7" s="216" customFormat="1" ht="19.2" x14ac:dyDescent="0.4">
      <c r="A73" s="586" t="s">
        <v>3879</v>
      </c>
      <c r="B73" s="586"/>
      <c r="C73" s="586"/>
      <c r="D73" s="586"/>
      <c r="E73" s="586"/>
      <c r="F73" s="174"/>
      <c r="G73" s="174"/>
    </row>
    <row r="74" spans="1:7" x14ac:dyDescent="0.4">
      <c r="A74" s="174" t="s">
        <v>3762</v>
      </c>
      <c r="B74" s="215" t="s">
        <v>3768</v>
      </c>
      <c r="C74" s="174"/>
      <c r="D74" s="174"/>
      <c r="E74" s="174"/>
      <c r="F74" s="174"/>
      <c r="G74" s="174">
        <v>0</v>
      </c>
    </row>
    <row r="75" spans="1:7" x14ac:dyDescent="0.4">
      <c r="A75" s="174" t="s">
        <v>1340</v>
      </c>
      <c r="B75" s="215" t="s">
        <v>3769</v>
      </c>
      <c r="C75" s="174" t="str">
        <f>Практики!C322</f>
        <v>P-REQ-RD-2-3</v>
      </c>
      <c r="D75" s="174" t="str">
        <f>Практики!F322</f>
        <v>Не заполнено</v>
      </c>
      <c r="E75" s="174">
        <f>Практики!Q322</f>
        <v>0</v>
      </c>
      <c r="F75" s="174">
        <v>0</v>
      </c>
      <c r="G75" s="174">
        <v>0</v>
      </c>
    </row>
    <row r="76" spans="1:7" x14ac:dyDescent="0.4">
      <c r="A76" s="174" t="s">
        <v>3763</v>
      </c>
      <c r="B76" s="215" t="s">
        <v>3770</v>
      </c>
      <c r="C76" s="174"/>
      <c r="D76" s="174"/>
      <c r="E76" s="174"/>
      <c r="F76" s="174"/>
      <c r="G76" s="174">
        <v>0</v>
      </c>
    </row>
    <row r="77" spans="1:7" x14ac:dyDescent="0.4">
      <c r="A77" s="174" t="s">
        <v>3764</v>
      </c>
      <c r="B77" s="215" t="s">
        <v>3771</v>
      </c>
      <c r="C77" s="174"/>
      <c r="D77" s="174"/>
      <c r="E77" s="174"/>
      <c r="F77" s="174"/>
      <c r="G77" s="174">
        <v>0</v>
      </c>
    </row>
    <row r="78" spans="1:7" x14ac:dyDescent="0.4">
      <c r="A78" s="174" t="s">
        <v>3765</v>
      </c>
      <c r="B78" s="215" t="s">
        <v>3772</v>
      </c>
      <c r="C78" s="174"/>
      <c r="D78" s="174"/>
      <c r="E78" s="174"/>
      <c r="F78" s="174"/>
      <c r="G78" s="174">
        <v>0</v>
      </c>
    </row>
    <row r="79" spans="1:7" x14ac:dyDescent="0.4">
      <c r="A79" s="174" t="s">
        <v>3766</v>
      </c>
      <c r="B79" s="215" t="s">
        <v>3773</v>
      </c>
      <c r="C79" s="174"/>
      <c r="D79" s="174"/>
      <c r="E79" s="174"/>
      <c r="F79" s="174"/>
      <c r="G79" s="174">
        <v>0</v>
      </c>
    </row>
    <row r="80" spans="1:7" x14ac:dyDescent="0.4">
      <c r="A80" s="174" t="s">
        <v>3767</v>
      </c>
      <c r="B80" s="215" t="s">
        <v>3774</v>
      </c>
      <c r="C80" s="174"/>
      <c r="D80" s="174"/>
      <c r="E80" s="174"/>
      <c r="F80" s="174"/>
      <c r="G80" s="174">
        <v>0</v>
      </c>
    </row>
    <row r="81" spans="1:12" s="216" customFormat="1" ht="19.2" x14ac:dyDescent="0.4">
      <c r="A81" s="586" t="s">
        <v>3880</v>
      </c>
      <c r="B81" s="586"/>
      <c r="C81" s="586"/>
      <c r="D81" s="586"/>
      <c r="E81" s="586"/>
      <c r="F81" s="174"/>
      <c r="G81" s="174"/>
    </row>
    <row r="82" spans="1:12" x14ac:dyDescent="0.4">
      <c r="A82" s="390" t="s">
        <v>3775</v>
      </c>
      <c r="B82" s="590" t="s">
        <v>3780</v>
      </c>
      <c r="C82" s="174" t="str">
        <f>Практики!C297</f>
        <v>P-EDU-KB-2-1</v>
      </c>
      <c r="D82" s="174" t="str">
        <f>Практики!F297</f>
        <v>Не заполнено</v>
      </c>
      <c r="E82" s="174">
        <f>Практики!Q297</f>
        <v>0</v>
      </c>
      <c r="F82" s="390">
        <v>0</v>
      </c>
      <c r="G82" s="390">
        <v>0</v>
      </c>
    </row>
    <row r="83" spans="1:12" x14ac:dyDescent="0.4">
      <c r="A83" s="390"/>
      <c r="B83" s="590"/>
      <c r="C83" s="174" t="str">
        <f>Практики!C298</f>
        <v>P-EDU-KB-2-3</v>
      </c>
      <c r="D83" s="174" t="str">
        <f>Практики!F298</f>
        <v>Не заполнено</v>
      </c>
      <c r="E83" s="174">
        <f>Практики!Q298</f>
        <v>0</v>
      </c>
      <c r="F83" s="390"/>
      <c r="G83" s="390"/>
    </row>
    <row r="84" spans="1:12" x14ac:dyDescent="0.4">
      <c r="A84" s="390" t="s">
        <v>3776</v>
      </c>
      <c r="B84" s="590" t="s">
        <v>3781</v>
      </c>
      <c r="C84" s="174" t="str">
        <f>Практики!C297</f>
        <v>P-EDU-KB-2-1</v>
      </c>
      <c r="D84" s="174" t="str">
        <f>Практики!F297</f>
        <v>Не заполнено</v>
      </c>
      <c r="E84" s="174">
        <f>Практики!Q297</f>
        <v>0</v>
      </c>
      <c r="F84" s="390">
        <v>0</v>
      </c>
      <c r="G84" s="390">
        <v>0</v>
      </c>
    </row>
    <row r="85" spans="1:12" x14ac:dyDescent="0.4">
      <c r="A85" s="390"/>
      <c r="B85" s="590"/>
      <c r="C85" s="174" t="str">
        <f>Практики!C298</f>
        <v>P-EDU-KB-2-3</v>
      </c>
      <c r="D85" s="174" t="str">
        <f>Практики!F298</f>
        <v>Не заполнено</v>
      </c>
      <c r="E85" s="174">
        <f>Практики!Q298</f>
        <v>0</v>
      </c>
      <c r="F85" s="390"/>
      <c r="G85" s="390"/>
    </row>
    <row r="86" spans="1:12" x14ac:dyDescent="0.4">
      <c r="A86" s="390"/>
      <c r="B86" s="590"/>
      <c r="C86" s="174" t="str">
        <f>Практики!C299</f>
        <v>P-EDU-KB-3-1</v>
      </c>
      <c r="D86" s="174" t="str">
        <f>Практики!F299</f>
        <v>Не заполнено</v>
      </c>
      <c r="E86" s="174">
        <f>Практики!Q299</f>
        <v>0</v>
      </c>
      <c r="F86" s="390"/>
      <c r="G86" s="390"/>
    </row>
    <row r="87" spans="1:12" x14ac:dyDescent="0.4">
      <c r="A87" s="390"/>
      <c r="B87" s="590"/>
      <c r="C87" s="174" t="str">
        <f>Практики!C300</f>
        <v>P-EDU-KB-3-2</v>
      </c>
      <c r="D87" s="174" t="str">
        <f>Практики!F300</f>
        <v>Не заполнено</v>
      </c>
      <c r="E87" s="174">
        <f>Практики!Q300</f>
        <v>0</v>
      </c>
      <c r="F87" s="390"/>
      <c r="G87" s="390"/>
    </row>
    <row r="88" spans="1:12" x14ac:dyDescent="0.4">
      <c r="A88" s="390" t="s">
        <v>1324</v>
      </c>
      <c r="B88" s="590" t="s">
        <v>3782</v>
      </c>
      <c r="C88" s="174" t="str">
        <f>Практики!C11</f>
        <v>T-ADI-DEP-3-1</v>
      </c>
      <c r="D88" s="174" t="str">
        <f>Практики!F11</f>
        <v>Не заполнено</v>
      </c>
      <c r="E88" s="174">
        <f>Практики!Q11</f>
        <v>0</v>
      </c>
      <c r="F88" s="390">
        <v>0</v>
      </c>
      <c r="G88" s="390">
        <v>0</v>
      </c>
      <c r="H88" s="216"/>
      <c r="I88" s="219"/>
      <c r="J88" s="193"/>
      <c r="K88" s="193"/>
      <c r="L88" s="193"/>
    </row>
    <row r="89" spans="1:12" x14ac:dyDescent="0.4">
      <c r="A89" s="390"/>
      <c r="B89" s="590"/>
      <c r="C89" s="174" t="str">
        <f>Практики!C24</f>
        <v>T-ADI-ART-3-1</v>
      </c>
      <c r="D89" s="174" t="str">
        <f>Практики!F24</f>
        <v>Не заполнено</v>
      </c>
      <c r="E89" s="174">
        <f>Практики!Q24</f>
        <v>0</v>
      </c>
      <c r="F89" s="390"/>
      <c r="G89" s="390"/>
      <c r="H89" s="216"/>
      <c r="I89" s="219"/>
      <c r="J89" s="193"/>
      <c r="K89" s="193"/>
      <c r="L89" s="193"/>
    </row>
    <row r="90" spans="1:12" x14ac:dyDescent="0.4">
      <c r="A90" s="390"/>
      <c r="B90" s="590"/>
      <c r="C90" s="174" t="str">
        <f>Практики!C133</f>
        <v>T-CODE-SC-1-3</v>
      </c>
      <c r="D90" s="174" t="str">
        <f>Практики!F133</f>
        <v>Не заполнено</v>
      </c>
      <c r="E90" s="174">
        <f>Практики!Q133</f>
        <v>0</v>
      </c>
      <c r="F90" s="390"/>
      <c r="G90" s="390"/>
      <c r="H90" s="216"/>
      <c r="I90" s="219"/>
      <c r="J90" s="193"/>
      <c r="K90" s="193"/>
      <c r="L90" s="193"/>
    </row>
    <row r="91" spans="1:12" x14ac:dyDescent="0.4">
      <c r="A91" s="174" t="s">
        <v>3777</v>
      </c>
      <c r="B91" s="215" t="s">
        <v>3783</v>
      </c>
      <c r="C91" s="174"/>
      <c r="D91" s="174"/>
      <c r="E91" s="174"/>
      <c r="F91" s="174"/>
      <c r="G91" s="174">
        <v>0</v>
      </c>
    </row>
    <row r="92" spans="1:12" x14ac:dyDescent="0.4">
      <c r="A92" s="174" t="s">
        <v>725</v>
      </c>
      <c r="B92" s="215" t="s">
        <v>3784</v>
      </c>
      <c r="C92" s="174" t="str">
        <f>Практики!C300</f>
        <v>P-EDU-KB-3-2</v>
      </c>
      <c r="D92" s="174" t="str">
        <f>Практики!F300</f>
        <v>Не заполнено</v>
      </c>
      <c r="E92" s="174">
        <f>Практики!Q300</f>
        <v>0</v>
      </c>
      <c r="F92" s="174">
        <v>0</v>
      </c>
      <c r="G92" s="174">
        <v>0</v>
      </c>
    </row>
    <row r="93" spans="1:12" x14ac:dyDescent="0.4">
      <c r="A93" s="174" t="s">
        <v>3778</v>
      </c>
      <c r="B93" s="215" t="s">
        <v>3785</v>
      </c>
      <c r="C93" s="174"/>
      <c r="D93" s="174"/>
      <c r="E93" s="174"/>
      <c r="F93" s="174"/>
      <c r="G93" s="174">
        <v>0</v>
      </c>
    </row>
    <row r="94" spans="1:12" x14ac:dyDescent="0.4">
      <c r="A94" s="390" t="s">
        <v>23</v>
      </c>
      <c r="B94" s="590" t="s">
        <v>3786</v>
      </c>
      <c r="C94" s="174" t="str">
        <f>Практики!C6</f>
        <v>T-ADI-DEP-1-3</v>
      </c>
      <c r="D94" s="174" t="str">
        <f>Практики!F6</f>
        <v>Не заполнено</v>
      </c>
      <c r="E94" s="174">
        <f>Практики!Q6</f>
        <v>0</v>
      </c>
      <c r="F94" s="390">
        <v>0</v>
      </c>
      <c r="G94" s="390">
        <v>0</v>
      </c>
    </row>
    <row r="95" spans="1:12" x14ac:dyDescent="0.4">
      <c r="A95" s="390"/>
      <c r="B95" s="590"/>
      <c r="C95" s="174" t="str">
        <f>Практики!C9</f>
        <v>T-ADI-DEP-2-1</v>
      </c>
      <c r="D95" s="174" t="str">
        <f>Практики!F9</f>
        <v>Не заполнено</v>
      </c>
      <c r="E95" s="174">
        <f>Практики!Q9</f>
        <v>0</v>
      </c>
      <c r="F95" s="390"/>
      <c r="G95" s="390"/>
    </row>
    <row r="96" spans="1:12" x14ac:dyDescent="0.4">
      <c r="A96" s="390"/>
      <c r="B96" s="590"/>
      <c r="C96" s="174" t="str">
        <f>Практики!C138</f>
        <v>T-CODE-SC-2-5</v>
      </c>
      <c r="D96" s="174" t="str">
        <f>Практики!F138</f>
        <v>Не заполнено</v>
      </c>
      <c r="E96" s="174">
        <f>Практики!Q138</f>
        <v>0</v>
      </c>
      <c r="F96" s="390"/>
      <c r="G96" s="390"/>
    </row>
    <row r="97" spans="1:7" x14ac:dyDescent="0.4">
      <c r="A97" s="174" t="s">
        <v>726</v>
      </c>
      <c r="B97" s="215" t="s">
        <v>3787</v>
      </c>
      <c r="C97" s="174"/>
      <c r="D97" s="174"/>
      <c r="E97" s="174"/>
      <c r="F97" s="174"/>
      <c r="G97" s="174">
        <v>0</v>
      </c>
    </row>
    <row r="98" spans="1:7" x14ac:dyDescent="0.4">
      <c r="A98" s="174" t="s">
        <v>3779</v>
      </c>
      <c r="B98" s="215" t="s">
        <v>3788</v>
      </c>
      <c r="C98" s="174" t="str">
        <f>Практики!C299</f>
        <v>P-EDU-KB-3-1</v>
      </c>
      <c r="D98" s="174" t="str">
        <f>Практики!F299</f>
        <v>Не заполнено</v>
      </c>
      <c r="E98" s="174">
        <f>Практики!Q299</f>
        <v>0</v>
      </c>
      <c r="F98" s="174">
        <v>0</v>
      </c>
      <c r="G98" s="174">
        <v>0</v>
      </c>
    </row>
    <row r="99" spans="1:7" x14ac:dyDescent="0.4">
      <c r="A99" s="390" t="s">
        <v>604</v>
      </c>
      <c r="B99" s="590" t="s">
        <v>3789</v>
      </c>
      <c r="C99" s="174" t="str">
        <f>Практики!C342</f>
        <v>P-REQ-STDR-Infr-2-1</v>
      </c>
      <c r="D99" s="174" t="str">
        <f>Практики!F342</f>
        <v>Не заполнено</v>
      </c>
      <c r="E99" s="174">
        <f>Практики!Q342</f>
        <v>0</v>
      </c>
      <c r="F99" s="390">
        <v>0</v>
      </c>
      <c r="G99" s="390">
        <v>0</v>
      </c>
    </row>
    <row r="100" spans="1:7" x14ac:dyDescent="0.4">
      <c r="A100" s="390"/>
      <c r="B100" s="590"/>
      <c r="C100" s="174" t="str">
        <f>Практики!C344</f>
        <v>P-REQ-STDR-Infr-3-1</v>
      </c>
      <c r="D100" s="174" t="str">
        <f>Практики!F344</f>
        <v>Не заполнено</v>
      </c>
      <c r="E100" s="174">
        <f>Практики!Q344</f>
        <v>0</v>
      </c>
      <c r="F100" s="390"/>
      <c r="G100" s="390"/>
    </row>
    <row r="101" spans="1:7" s="216" customFormat="1" ht="20.399999999999999" x14ac:dyDescent="0.4">
      <c r="A101" s="588" t="s">
        <v>3881</v>
      </c>
      <c r="B101" s="588"/>
      <c r="C101" s="588"/>
      <c r="D101" s="588"/>
      <c r="E101" s="588"/>
      <c r="F101" s="174"/>
      <c r="G101" s="174"/>
    </row>
    <row r="102" spans="1:7" s="216" customFormat="1" ht="19.2" x14ac:dyDescent="0.4">
      <c r="A102" s="586" t="s">
        <v>3882</v>
      </c>
      <c r="B102" s="586"/>
      <c r="C102" s="586"/>
      <c r="D102" s="586"/>
      <c r="E102" s="586"/>
      <c r="F102" s="174"/>
      <c r="G102" s="174"/>
    </row>
    <row r="103" spans="1:7" x14ac:dyDescent="0.4">
      <c r="A103" s="174" t="s">
        <v>1338</v>
      </c>
      <c r="B103" s="215" t="s">
        <v>3797</v>
      </c>
      <c r="C103" s="174" t="str">
        <f>Практики!C311</f>
        <v>P-REQ-TM-2-2</v>
      </c>
      <c r="D103" s="174" t="str">
        <f>Практики!F311</f>
        <v>Не заполнено</v>
      </c>
      <c r="E103" s="174">
        <f>Практики!Q311</f>
        <v>0</v>
      </c>
      <c r="F103" s="174">
        <v>0</v>
      </c>
      <c r="G103" s="174">
        <v>0</v>
      </c>
    </row>
    <row r="104" spans="1:7" x14ac:dyDescent="0.4">
      <c r="A104" s="174" t="s">
        <v>3790</v>
      </c>
      <c r="B104" s="215" t="s">
        <v>3798</v>
      </c>
      <c r="C104" s="174"/>
      <c r="D104" s="174"/>
      <c r="E104" s="174"/>
      <c r="F104" s="174"/>
      <c r="G104" s="174">
        <v>0</v>
      </c>
    </row>
    <row r="105" spans="1:7" x14ac:dyDescent="0.4">
      <c r="A105" s="390" t="s">
        <v>1337</v>
      </c>
      <c r="B105" s="590" t="s">
        <v>3799</v>
      </c>
      <c r="C105" s="174" t="str">
        <f>Практики!C308</f>
        <v>P-REQ-TM-1-2</v>
      </c>
      <c r="D105" s="174" t="str">
        <f>Практики!F308</f>
        <v>Не заполнено</v>
      </c>
      <c r="E105" s="174">
        <f>Практики!Q308</f>
        <v>0</v>
      </c>
      <c r="F105" s="390">
        <v>0</v>
      </c>
      <c r="G105" s="390">
        <v>0</v>
      </c>
    </row>
    <row r="106" spans="1:7" x14ac:dyDescent="0.4">
      <c r="A106" s="390"/>
      <c r="B106" s="590"/>
      <c r="C106" s="174" t="str">
        <f>Практики!C309</f>
        <v>P-REQ-TM-1-3</v>
      </c>
      <c r="D106" s="174" t="str">
        <f>Практики!F309</f>
        <v>Не заполнено</v>
      </c>
      <c r="E106" s="174">
        <f>Практики!Q309</f>
        <v>0</v>
      </c>
      <c r="F106" s="390"/>
      <c r="G106" s="390"/>
    </row>
    <row r="107" spans="1:7" x14ac:dyDescent="0.4">
      <c r="A107" s="390"/>
      <c r="B107" s="590"/>
      <c r="C107" s="174" t="str">
        <f>Практики!C312</f>
        <v>P-REQ-TM-2-3</v>
      </c>
      <c r="D107" s="174" t="str">
        <f>Практики!F312</f>
        <v>Не заполнено</v>
      </c>
      <c r="E107" s="174">
        <f>Практики!Q312</f>
        <v>0</v>
      </c>
      <c r="F107" s="390"/>
      <c r="G107" s="390"/>
    </row>
    <row r="108" spans="1:7" x14ac:dyDescent="0.4">
      <c r="A108" s="174" t="s">
        <v>3791</v>
      </c>
      <c r="B108" s="215" t="s">
        <v>3800</v>
      </c>
      <c r="C108" s="174" t="str">
        <f>Практики!C314</f>
        <v>P-REQ-TM-3-2</v>
      </c>
      <c r="D108" s="174" t="str">
        <f>Практики!F314</f>
        <v>Не заполнено</v>
      </c>
      <c r="E108" s="174">
        <f>Практики!Q314</f>
        <v>0</v>
      </c>
      <c r="F108" s="174">
        <v>0</v>
      </c>
      <c r="G108" s="174">
        <v>0</v>
      </c>
    </row>
    <row r="109" spans="1:7" x14ac:dyDescent="0.4">
      <c r="A109" s="174" t="s">
        <v>3792</v>
      </c>
      <c r="B109" s="215" t="s">
        <v>3801</v>
      </c>
      <c r="C109" s="174" t="str">
        <f>Практики!C314</f>
        <v>P-REQ-TM-3-2</v>
      </c>
      <c r="D109" s="174" t="str">
        <f>Практики!F314</f>
        <v>Не заполнено</v>
      </c>
      <c r="E109" s="174">
        <f>Практики!Q314</f>
        <v>0</v>
      </c>
      <c r="F109" s="174">
        <v>0</v>
      </c>
      <c r="G109" s="174">
        <v>0</v>
      </c>
    </row>
    <row r="110" spans="1:7" x14ac:dyDescent="0.4">
      <c r="A110" s="174" t="s">
        <v>3793</v>
      </c>
      <c r="B110" s="215" t="s">
        <v>3802</v>
      </c>
      <c r="C110" s="174"/>
      <c r="D110" s="174"/>
      <c r="E110" s="174"/>
      <c r="F110" s="174"/>
      <c r="G110" s="174">
        <v>0</v>
      </c>
    </row>
    <row r="111" spans="1:7" x14ac:dyDescent="0.4">
      <c r="A111" s="174" t="s">
        <v>3794</v>
      </c>
      <c r="B111" s="215" t="s">
        <v>3803</v>
      </c>
      <c r="C111" s="174"/>
      <c r="D111" s="174"/>
      <c r="E111" s="174"/>
      <c r="F111" s="174"/>
      <c r="G111" s="174">
        <v>0</v>
      </c>
    </row>
    <row r="112" spans="1:7" x14ac:dyDescent="0.4">
      <c r="A112" s="174" t="s">
        <v>3795</v>
      </c>
      <c r="B112" s="215" t="s">
        <v>3804</v>
      </c>
      <c r="C112" s="174"/>
      <c r="D112" s="174"/>
      <c r="E112" s="174"/>
      <c r="F112" s="174"/>
      <c r="G112" s="174">
        <v>0</v>
      </c>
    </row>
    <row r="113" spans="1:7" x14ac:dyDescent="0.4">
      <c r="A113" s="174" t="s">
        <v>3796</v>
      </c>
      <c r="B113" s="215" t="s">
        <v>3805</v>
      </c>
      <c r="C113" s="174"/>
      <c r="D113" s="174"/>
      <c r="E113" s="174"/>
      <c r="F113" s="174"/>
      <c r="G113" s="174">
        <v>0</v>
      </c>
    </row>
    <row r="114" spans="1:7" s="216" customFormat="1" ht="19.2" x14ac:dyDescent="0.4">
      <c r="A114" s="586" t="s">
        <v>3883</v>
      </c>
      <c r="B114" s="586"/>
      <c r="C114" s="586"/>
      <c r="D114" s="586"/>
      <c r="E114" s="586"/>
      <c r="F114" s="174"/>
      <c r="G114" s="174"/>
    </row>
    <row r="115" spans="1:7" x14ac:dyDescent="0.4">
      <c r="A115" s="174" t="s">
        <v>727</v>
      </c>
      <c r="B115" s="215" t="s">
        <v>3808</v>
      </c>
      <c r="C115" s="174" t="str">
        <f>Практики!C120</f>
        <v>T-CODE-SST-1-1</v>
      </c>
      <c r="D115" s="174" t="str">
        <f>Практики!F120</f>
        <v>Не заполнено</v>
      </c>
      <c r="E115" s="174">
        <f>Практики!Q120</f>
        <v>0</v>
      </c>
      <c r="F115" s="174">
        <v>0</v>
      </c>
      <c r="G115" s="174">
        <v>0</v>
      </c>
    </row>
    <row r="116" spans="1:7" x14ac:dyDescent="0.4">
      <c r="A116" s="390" t="s">
        <v>3806</v>
      </c>
      <c r="B116" s="590" t="s">
        <v>3809</v>
      </c>
      <c r="C116" s="174" t="str">
        <f>Практики!C124</f>
        <v>T-CODE-SST-2-3</v>
      </c>
      <c r="D116" s="174" t="str">
        <f>Практики!F124</f>
        <v>Не заполнено</v>
      </c>
      <c r="E116" s="174">
        <f>Практики!Q124</f>
        <v>0</v>
      </c>
      <c r="F116" s="390">
        <v>0</v>
      </c>
      <c r="G116" s="390">
        <v>0</v>
      </c>
    </row>
    <row r="117" spans="1:7" x14ac:dyDescent="0.4">
      <c r="A117" s="390"/>
      <c r="B117" s="590"/>
      <c r="C117" s="174" t="str">
        <f>Практики!C137</f>
        <v>T-CODE-SC-2-4</v>
      </c>
      <c r="D117" s="174" t="str">
        <f>Практики!F137</f>
        <v>Не заполнено</v>
      </c>
      <c r="E117" s="174">
        <f>Практики!Q137</f>
        <v>0</v>
      </c>
      <c r="F117" s="390"/>
      <c r="G117" s="390"/>
    </row>
    <row r="118" spans="1:7" x14ac:dyDescent="0.4">
      <c r="A118" s="390" t="s">
        <v>3807</v>
      </c>
      <c r="B118" s="590" t="s">
        <v>3810</v>
      </c>
      <c r="C118" s="174" t="str">
        <f>Практики!C124</f>
        <v>T-CODE-SST-2-3</v>
      </c>
      <c r="D118" s="174" t="str">
        <f>Практики!F124</f>
        <v>Не заполнено</v>
      </c>
      <c r="E118" s="174">
        <f>Практики!Q124</f>
        <v>0</v>
      </c>
      <c r="F118" s="390">
        <v>0</v>
      </c>
      <c r="G118" s="390">
        <v>0</v>
      </c>
    </row>
    <row r="119" spans="1:7" x14ac:dyDescent="0.4">
      <c r="A119" s="390"/>
      <c r="B119" s="590"/>
      <c r="C119" s="174" t="str">
        <f>Практики!C137</f>
        <v>T-CODE-SC-2-4</v>
      </c>
      <c r="D119" s="174" t="str">
        <f>Практики!F137</f>
        <v>Не заполнено</v>
      </c>
      <c r="E119" s="174">
        <f>Практики!Q137</f>
        <v>0</v>
      </c>
      <c r="F119" s="390"/>
      <c r="G119" s="390"/>
    </row>
    <row r="120" spans="1:7" x14ac:dyDescent="0.4">
      <c r="A120" s="174" t="s">
        <v>684</v>
      </c>
      <c r="B120" s="215" t="s">
        <v>3811</v>
      </c>
      <c r="C120" s="174" t="str">
        <f>Практики!C387</f>
        <v>P-ROLE-SC-3-2</v>
      </c>
      <c r="D120" s="174" t="str">
        <f>Практики!F387</f>
        <v>Не заполнено</v>
      </c>
      <c r="E120" s="174">
        <f>Практики!Q387</f>
        <v>0</v>
      </c>
      <c r="F120" s="174">
        <v>0</v>
      </c>
      <c r="G120" s="174">
        <v>0</v>
      </c>
    </row>
    <row r="121" spans="1:7" x14ac:dyDescent="0.4">
      <c r="A121" s="390" t="s">
        <v>214</v>
      </c>
      <c r="B121" s="590" t="s">
        <v>3812</v>
      </c>
      <c r="C121" s="174" t="str">
        <f>Практики!C127</f>
        <v>T-CODE-SST-3-2</v>
      </c>
      <c r="D121" s="174" t="str">
        <f>Практики!F127</f>
        <v>Не заполнено</v>
      </c>
      <c r="E121" s="174">
        <f>Практики!Q127</f>
        <v>0</v>
      </c>
      <c r="F121" s="390">
        <v>0</v>
      </c>
      <c r="G121" s="390">
        <v>0</v>
      </c>
    </row>
    <row r="122" spans="1:7" x14ac:dyDescent="0.4">
      <c r="A122" s="390"/>
      <c r="B122" s="590"/>
      <c r="C122" s="174" t="str">
        <f>Практики!C160</f>
        <v>T-CODE-SECDN-2-2</v>
      </c>
      <c r="D122" s="174" t="str">
        <f>Практики!F160</f>
        <v>Не заполнено</v>
      </c>
      <c r="E122" s="174">
        <f>Практики!Q160</f>
        <v>0</v>
      </c>
      <c r="F122" s="390"/>
      <c r="G122" s="390"/>
    </row>
    <row r="123" spans="1:7" x14ac:dyDescent="0.4">
      <c r="A123" s="174" t="s">
        <v>728</v>
      </c>
      <c r="B123" s="215" t="s">
        <v>3813</v>
      </c>
      <c r="C123" s="174"/>
      <c r="D123" s="174"/>
      <c r="E123" s="174"/>
      <c r="F123" s="174"/>
      <c r="G123" s="174">
        <v>0</v>
      </c>
    </row>
    <row r="124" spans="1:7" x14ac:dyDescent="0.4">
      <c r="A124" s="390" t="s">
        <v>631</v>
      </c>
      <c r="B124" s="590" t="s">
        <v>3814</v>
      </c>
      <c r="C124" s="174" t="str">
        <f>Практики!C359</f>
        <v>P-DEFECT-CNS-1-1</v>
      </c>
      <c r="D124" s="174" t="str">
        <f>Практики!F359</f>
        <v>Не заполнено</v>
      </c>
      <c r="E124" s="174">
        <f>Практики!Q359</f>
        <v>0</v>
      </c>
      <c r="F124" s="390">
        <v>0</v>
      </c>
      <c r="G124" s="390">
        <v>0</v>
      </c>
    </row>
    <row r="125" spans="1:7" x14ac:dyDescent="0.4">
      <c r="A125" s="390"/>
      <c r="B125" s="590"/>
      <c r="C125" s="174" t="str">
        <f>Практики!C361</f>
        <v>P-DEFECT-CNS-2-1</v>
      </c>
      <c r="D125" s="174" t="str">
        <f>Практики!F361</f>
        <v>Не заполнено</v>
      </c>
      <c r="E125" s="174">
        <f>Практики!Q361</f>
        <v>0</v>
      </c>
      <c r="F125" s="390"/>
      <c r="G125" s="390"/>
    </row>
    <row r="126" spans="1:7" x14ac:dyDescent="0.4">
      <c r="A126" s="390"/>
      <c r="B126" s="590"/>
      <c r="C126" s="174" t="str">
        <f>Практики!C363</f>
        <v>P-DEFECT-CNS-3-2</v>
      </c>
      <c r="D126" s="174" t="str">
        <f>Практики!F363</f>
        <v>Не заполнено</v>
      </c>
      <c r="E126" s="174">
        <f>Практики!Q363</f>
        <v>0</v>
      </c>
      <c r="F126" s="390"/>
      <c r="G126" s="390"/>
    </row>
    <row r="127" spans="1:7" x14ac:dyDescent="0.4">
      <c r="A127" s="390"/>
      <c r="B127" s="590"/>
      <c r="C127" s="174" t="str">
        <f>Практики!C364</f>
        <v>P-DEFECT-CNS-4-1</v>
      </c>
      <c r="D127" s="174" t="str">
        <f>Практики!F364</f>
        <v>Не заполнено</v>
      </c>
      <c r="E127" s="174">
        <f>Практики!Q364</f>
        <v>0</v>
      </c>
      <c r="F127" s="390"/>
      <c r="G127" s="390"/>
    </row>
    <row r="128" spans="1:7" x14ac:dyDescent="0.4">
      <c r="A128" s="174" t="s">
        <v>1329</v>
      </c>
      <c r="B128" s="215" t="s">
        <v>3815</v>
      </c>
      <c r="C128" s="174" t="str">
        <f>Практики!C140</f>
        <v>T-CODE-SC-3-2</v>
      </c>
      <c r="D128" s="174" t="str">
        <f>Практики!F140</f>
        <v>Не заполнено</v>
      </c>
      <c r="E128" s="174">
        <f>Практики!Q140</f>
        <v>0</v>
      </c>
      <c r="F128" s="174">
        <v>0</v>
      </c>
      <c r="G128" s="174">
        <v>0</v>
      </c>
    </row>
    <row r="129" spans="1:7" x14ac:dyDescent="0.4">
      <c r="A129" s="174" t="s">
        <v>729</v>
      </c>
      <c r="B129" s="215" t="s">
        <v>3816</v>
      </c>
      <c r="C129" s="174"/>
      <c r="D129" s="174"/>
      <c r="E129" s="174"/>
      <c r="F129" s="174"/>
      <c r="G129" s="174">
        <v>0</v>
      </c>
    </row>
    <row r="130" spans="1:7" x14ac:dyDescent="0.4">
      <c r="A130" s="174" t="s">
        <v>730</v>
      </c>
      <c r="B130" s="215" t="s">
        <v>3817</v>
      </c>
      <c r="C130" s="174"/>
      <c r="D130" s="174"/>
      <c r="E130" s="174"/>
      <c r="F130" s="174"/>
      <c r="G130" s="174">
        <v>0</v>
      </c>
    </row>
    <row r="131" spans="1:7" x14ac:dyDescent="0.4">
      <c r="A131" s="174" t="s">
        <v>731</v>
      </c>
      <c r="B131" s="215" t="s">
        <v>3818</v>
      </c>
      <c r="C131" s="174"/>
      <c r="D131" s="174"/>
      <c r="E131" s="174"/>
      <c r="F131" s="174"/>
      <c r="G131" s="174">
        <v>0</v>
      </c>
    </row>
    <row r="132" spans="1:7" s="216" customFormat="1" ht="19.2" x14ac:dyDescent="0.4">
      <c r="A132" s="586" t="s">
        <v>3884</v>
      </c>
      <c r="B132" s="586"/>
      <c r="C132" s="586"/>
      <c r="D132" s="586"/>
      <c r="E132" s="586"/>
      <c r="F132" s="174"/>
      <c r="G132" s="174"/>
    </row>
    <row r="133" spans="1:7" x14ac:dyDescent="0.4">
      <c r="A133" s="174" t="s">
        <v>732</v>
      </c>
      <c r="B133" s="215" t="s">
        <v>3820</v>
      </c>
      <c r="C133" s="174" t="str">
        <f>Практики!C194</f>
        <v>T-PREPROD-SECTEST-2-1</v>
      </c>
      <c r="D133" s="174" t="str">
        <f>Практики!F194</f>
        <v>Не заполнено</v>
      </c>
      <c r="E133" s="174">
        <f>Практики!Q194</f>
        <v>0</v>
      </c>
      <c r="F133" s="174">
        <v>0</v>
      </c>
      <c r="G133" s="174">
        <v>0</v>
      </c>
    </row>
    <row r="134" spans="1:7" x14ac:dyDescent="0.4">
      <c r="A134" s="174" t="s">
        <v>3819</v>
      </c>
      <c r="B134" s="215" t="s">
        <v>3821</v>
      </c>
      <c r="C134" s="174" t="str">
        <f>Практики!C329</f>
        <v>P-REQ-CR-2-1</v>
      </c>
      <c r="D134" s="174" t="str">
        <f>Практики!F329</f>
        <v>Не заполнено</v>
      </c>
      <c r="E134" s="174">
        <f>Практики!Q329</f>
        <v>0</v>
      </c>
      <c r="F134" s="174">
        <v>0</v>
      </c>
      <c r="G134" s="174">
        <v>0</v>
      </c>
    </row>
    <row r="135" spans="1:7" x14ac:dyDescent="0.4">
      <c r="A135" s="390" t="s">
        <v>306</v>
      </c>
      <c r="B135" s="590" t="s">
        <v>3822</v>
      </c>
      <c r="C135" s="174" t="str">
        <f>Практики!C176</f>
        <v>T-PREPROD-DAST-2-2</v>
      </c>
      <c r="D135" s="174" t="str">
        <f>Практики!F176</f>
        <v>Не заполнено</v>
      </c>
      <c r="E135" s="174">
        <f>Практики!Q176</f>
        <v>0</v>
      </c>
      <c r="F135" s="390">
        <v>0</v>
      </c>
      <c r="G135" s="390">
        <v>0</v>
      </c>
    </row>
    <row r="136" spans="1:7" x14ac:dyDescent="0.4">
      <c r="A136" s="390"/>
      <c r="B136" s="590"/>
      <c r="C136" s="174" t="str">
        <f>Практики!C177</f>
        <v>T-PREPROD-DAST-2-3</v>
      </c>
      <c r="D136" s="174" t="str">
        <f>Практики!F177</f>
        <v>Не заполнено</v>
      </c>
      <c r="E136" s="174">
        <f>Практики!Q177</f>
        <v>0</v>
      </c>
      <c r="F136" s="390"/>
      <c r="G136" s="390"/>
    </row>
    <row r="137" spans="1:7" x14ac:dyDescent="0.4">
      <c r="A137" s="174" t="s">
        <v>733</v>
      </c>
      <c r="B137" s="215" t="s">
        <v>3823</v>
      </c>
      <c r="C137" s="174"/>
      <c r="D137" s="174"/>
      <c r="E137" s="174"/>
      <c r="F137" s="174"/>
      <c r="G137" s="174">
        <v>0</v>
      </c>
    </row>
    <row r="138" spans="1:7" x14ac:dyDescent="0.4">
      <c r="A138" s="390" t="s">
        <v>734</v>
      </c>
      <c r="B138" s="590" t="s">
        <v>3824</v>
      </c>
      <c r="C138" s="174" t="str">
        <f>Практики!C195</f>
        <v>T-PREPROD-SECTEST-2-2</v>
      </c>
      <c r="D138" s="174" t="str">
        <f>Практики!F195</f>
        <v>Не заполнено</v>
      </c>
      <c r="E138" s="174">
        <f>Практики!Q195</f>
        <v>0</v>
      </c>
      <c r="F138" s="390">
        <v>0</v>
      </c>
      <c r="G138" s="390">
        <v>0</v>
      </c>
    </row>
    <row r="139" spans="1:7" x14ac:dyDescent="0.4">
      <c r="A139" s="390"/>
      <c r="B139" s="590"/>
      <c r="C139" s="174" t="str">
        <f>Практики!C196</f>
        <v>T-PREPROD-SECTEST-3-1</v>
      </c>
      <c r="D139" s="174" t="str">
        <f>Практики!F196</f>
        <v>Не заполнено</v>
      </c>
      <c r="E139" s="174">
        <f>Практики!Q196</f>
        <v>0</v>
      </c>
      <c r="F139" s="390"/>
      <c r="G139" s="390"/>
    </row>
    <row r="140" spans="1:7" x14ac:dyDescent="0.4">
      <c r="A140" s="390" t="s">
        <v>317</v>
      </c>
      <c r="B140" s="590" t="s">
        <v>3825</v>
      </c>
      <c r="C140" s="174" t="str">
        <f>Практики!C182</f>
        <v>T-PREPROD-DAST-3-4</v>
      </c>
      <c r="D140" s="174" t="str">
        <f>Практики!F182</f>
        <v>Не заполнено</v>
      </c>
      <c r="E140" s="174">
        <f>Практики!Q182</f>
        <v>0</v>
      </c>
      <c r="F140" s="390">
        <v>0</v>
      </c>
      <c r="G140" s="390">
        <v>0</v>
      </c>
    </row>
    <row r="141" spans="1:7" x14ac:dyDescent="0.4">
      <c r="A141" s="390"/>
      <c r="B141" s="590"/>
      <c r="C141" s="174" t="str">
        <f>Практики!C244</f>
        <v>T-PROD-DAST-3-4</v>
      </c>
      <c r="D141" s="174" t="str">
        <f>Практики!F244</f>
        <v>Не заполнено</v>
      </c>
      <c r="E141" s="174">
        <f>Практики!Q244</f>
        <v>0</v>
      </c>
      <c r="F141" s="390"/>
      <c r="G141" s="390"/>
    </row>
    <row r="142" spans="1:7" x14ac:dyDescent="0.4">
      <c r="A142" s="174" t="s">
        <v>735</v>
      </c>
      <c r="B142" s="215" t="s">
        <v>3826</v>
      </c>
      <c r="C142" s="174"/>
      <c r="D142" s="174"/>
      <c r="E142" s="174"/>
      <c r="F142" s="174"/>
      <c r="G142" s="174">
        <v>0</v>
      </c>
    </row>
    <row r="143" spans="1:7" x14ac:dyDescent="0.4">
      <c r="A143" s="174" t="s">
        <v>736</v>
      </c>
      <c r="B143" s="215" t="s">
        <v>3827</v>
      </c>
      <c r="C143" s="174"/>
      <c r="D143" s="174"/>
      <c r="E143" s="174"/>
      <c r="F143" s="174"/>
      <c r="G143" s="174">
        <v>0</v>
      </c>
    </row>
    <row r="144" spans="1:7" x14ac:dyDescent="0.4">
      <c r="A144" s="174" t="s">
        <v>737</v>
      </c>
      <c r="B144" s="215" t="s">
        <v>3828</v>
      </c>
      <c r="C144" s="174"/>
      <c r="D144" s="174"/>
      <c r="E144" s="174"/>
      <c r="F144" s="174"/>
      <c r="G144" s="174">
        <v>0</v>
      </c>
    </row>
    <row r="145" spans="1:7" x14ac:dyDescent="0.4">
      <c r="A145" s="174" t="s">
        <v>738</v>
      </c>
      <c r="B145" s="215" t="s">
        <v>3829</v>
      </c>
      <c r="C145" s="174" t="str">
        <f>Практики!C82</f>
        <v>T-DEV-SRC-2-2</v>
      </c>
      <c r="D145" s="174" t="str">
        <f>Практики!F82</f>
        <v>Не заполнено</v>
      </c>
      <c r="E145" s="174">
        <f>Практики!Q82</f>
        <v>0</v>
      </c>
      <c r="F145" s="174">
        <v>0</v>
      </c>
      <c r="G145" s="174">
        <v>0</v>
      </c>
    </row>
    <row r="146" spans="1:7" s="216" customFormat="1" ht="20.399999999999999" x14ac:dyDescent="0.4">
      <c r="A146" s="589" t="s">
        <v>3885</v>
      </c>
      <c r="B146" s="589"/>
      <c r="C146" s="589"/>
      <c r="D146" s="589"/>
      <c r="E146" s="589"/>
      <c r="F146" s="174"/>
      <c r="G146" s="174"/>
    </row>
    <row r="147" spans="1:7" s="216" customFormat="1" ht="19.2" x14ac:dyDescent="0.4">
      <c r="A147" s="586" t="s">
        <v>3886</v>
      </c>
      <c r="B147" s="586"/>
      <c r="C147" s="586"/>
      <c r="D147" s="586"/>
      <c r="E147" s="586"/>
      <c r="F147" s="174"/>
      <c r="G147" s="174"/>
    </row>
    <row r="148" spans="1:7" x14ac:dyDescent="0.4">
      <c r="A148" s="174" t="s">
        <v>328</v>
      </c>
      <c r="B148" s="215" t="s">
        <v>3832</v>
      </c>
      <c r="C148" s="174" t="str">
        <f>Практики!C227</f>
        <v>T-PROD-PENTEST-1-2</v>
      </c>
      <c r="D148" s="174" t="str">
        <f>Практики!F227</f>
        <v>Не заполнено</v>
      </c>
      <c r="E148" s="174">
        <f>Практики!Q227</f>
        <v>0</v>
      </c>
      <c r="F148" s="174">
        <v>0</v>
      </c>
      <c r="G148" s="174">
        <v>0</v>
      </c>
    </row>
    <row r="149" spans="1:7" x14ac:dyDescent="0.4">
      <c r="A149" s="174" t="s">
        <v>3830</v>
      </c>
      <c r="B149" s="215" t="s">
        <v>3833</v>
      </c>
      <c r="C149" s="174" t="str">
        <f>Практики!C354</f>
        <v>P-DEFECT-MNG-3-1</v>
      </c>
      <c r="D149" s="174" t="str">
        <f>Практики!F354</f>
        <v>Не заполнено</v>
      </c>
      <c r="E149" s="174">
        <f>Практики!Q354</f>
        <v>0</v>
      </c>
      <c r="F149" s="174">
        <v>0</v>
      </c>
      <c r="G149" s="174">
        <v>0</v>
      </c>
    </row>
    <row r="150" spans="1:7" x14ac:dyDescent="0.4">
      <c r="A150" s="174" t="s">
        <v>739</v>
      </c>
      <c r="B150" s="215" t="s">
        <v>3834</v>
      </c>
      <c r="C150" s="174"/>
      <c r="D150" s="174"/>
      <c r="E150" s="174"/>
      <c r="F150" s="174"/>
      <c r="G150" s="174">
        <v>0</v>
      </c>
    </row>
    <row r="151" spans="1:7" x14ac:dyDescent="0.4">
      <c r="A151" s="390" t="s">
        <v>740</v>
      </c>
      <c r="B151" s="590" t="s">
        <v>3835</v>
      </c>
      <c r="C151" s="174" t="str">
        <f>Практики!C189</f>
        <v>T-PREPROD-PENTEST-1-3</v>
      </c>
      <c r="D151" s="174" t="str">
        <f>Практики!F189</f>
        <v>Не заполнено</v>
      </c>
      <c r="E151" s="174">
        <f>Практики!Q189</f>
        <v>0</v>
      </c>
      <c r="F151" s="390">
        <v>0</v>
      </c>
      <c r="G151" s="390">
        <v>0</v>
      </c>
    </row>
    <row r="152" spans="1:7" x14ac:dyDescent="0.4">
      <c r="A152" s="390"/>
      <c r="B152" s="590"/>
      <c r="C152" s="174" t="str">
        <f>Практики!C228</f>
        <v>T-PROD-PENTEST-1-3</v>
      </c>
      <c r="D152" s="174" t="str">
        <f>Практики!F228</f>
        <v>Не заполнено</v>
      </c>
      <c r="E152" s="174">
        <f>Практики!Q228</f>
        <v>0</v>
      </c>
      <c r="F152" s="390"/>
      <c r="G152" s="390"/>
    </row>
    <row r="153" spans="1:7" x14ac:dyDescent="0.4">
      <c r="A153" s="174" t="s">
        <v>3831</v>
      </c>
      <c r="B153" s="215" t="s">
        <v>3836</v>
      </c>
      <c r="C153" s="174"/>
      <c r="D153" s="174"/>
      <c r="E153" s="174"/>
      <c r="F153" s="174"/>
      <c r="G153" s="174">
        <v>0</v>
      </c>
    </row>
    <row r="154" spans="1:7" x14ac:dyDescent="0.4">
      <c r="A154" s="174" t="s">
        <v>741</v>
      </c>
      <c r="B154" s="215" t="s">
        <v>3837</v>
      </c>
      <c r="C154" s="174" t="str">
        <f>Практики!C232</f>
        <v>T-PROD-PENTEST-4-2</v>
      </c>
      <c r="D154" s="174" t="str">
        <f>Практики!F232</f>
        <v>Не заполнено</v>
      </c>
      <c r="E154" s="174">
        <f>Практики!Q232</f>
        <v>0</v>
      </c>
      <c r="F154" s="174">
        <v>0</v>
      </c>
      <c r="G154" s="174">
        <v>0</v>
      </c>
    </row>
    <row r="155" spans="1:7" x14ac:dyDescent="0.4">
      <c r="A155" s="174" t="s">
        <v>742</v>
      </c>
      <c r="B155" s="215" t="s">
        <v>3838</v>
      </c>
      <c r="C155" s="174"/>
      <c r="D155" s="174"/>
      <c r="E155" s="174"/>
      <c r="F155" s="174"/>
      <c r="G155" s="174">
        <v>0</v>
      </c>
    </row>
    <row r="156" spans="1:7" s="216" customFormat="1" ht="19.2" x14ac:dyDescent="0.4">
      <c r="A156" s="586" t="s">
        <v>3887</v>
      </c>
      <c r="B156" s="586"/>
      <c r="C156" s="586"/>
      <c r="D156" s="586"/>
      <c r="E156" s="586"/>
      <c r="F156" s="174"/>
      <c r="G156" s="174"/>
    </row>
    <row r="157" spans="1:7" x14ac:dyDescent="0.4">
      <c r="A157" s="174" t="s">
        <v>97</v>
      </c>
      <c r="B157" s="215" t="s">
        <v>3842</v>
      </c>
      <c r="C157" s="174"/>
      <c r="D157" s="174"/>
      <c r="E157" s="174"/>
      <c r="F157" s="174"/>
      <c r="G157" s="174">
        <v>0</v>
      </c>
    </row>
    <row r="158" spans="1:7" x14ac:dyDescent="0.4">
      <c r="A158" s="174" t="s">
        <v>448</v>
      </c>
      <c r="B158" s="215" t="s">
        <v>3843</v>
      </c>
      <c r="C158" s="174" t="str">
        <f>Практики!C259</f>
        <v>T-PROD-NETWORK-1-1</v>
      </c>
      <c r="D158" s="174" t="str">
        <f>Практики!F259</f>
        <v>Не заполнено</v>
      </c>
      <c r="E158" s="174">
        <f>Практики!Q259</f>
        <v>0</v>
      </c>
      <c r="F158" s="174">
        <v>0</v>
      </c>
      <c r="G158" s="174">
        <v>0</v>
      </c>
    </row>
    <row r="159" spans="1:7" x14ac:dyDescent="0.4">
      <c r="A159" s="174" t="s">
        <v>743</v>
      </c>
      <c r="B159" s="215" t="s">
        <v>3844</v>
      </c>
      <c r="C159" s="174" t="str">
        <f>Практики!C262</f>
        <v>T-PROD-NETWORK-2-2</v>
      </c>
      <c r="D159" s="174" t="str">
        <f>Практики!F262</f>
        <v>Не заполнено</v>
      </c>
      <c r="E159" s="174">
        <f>Практики!Q262</f>
        <v>0</v>
      </c>
      <c r="F159" s="174">
        <v>0</v>
      </c>
      <c r="G159" s="174">
        <v>0</v>
      </c>
    </row>
    <row r="160" spans="1:7" x14ac:dyDescent="0.4">
      <c r="A160" s="174" t="s">
        <v>372</v>
      </c>
      <c r="B160" s="215" t="s">
        <v>3845</v>
      </c>
      <c r="C160" s="174" t="str">
        <f>Практики!C211</f>
        <v>T-PREPROD-MANSEC-2-1</v>
      </c>
      <c r="D160" s="174" t="str">
        <f>Практики!F211</f>
        <v>Не заполнено</v>
      </c>
      <c r="E160" s="174">
        <f>Практики!Q211</f>
        <v>0</v>
      </c>
      <c r="F160" s="174">
        <v>0</v>
      </c>
      <c r="G160" s="174">
        <v>0</v>
      </c>
    </row>
    <row r="161" spans="1:7" x14ac:dyDescent="0.4">
      <c r="A161" s="390" t="s">
        <v>59</v>
      </c>
      <c r="B161" s="590" t="s">
        <v>3846</v>
      </c>
      <c r="C161" s="174" t="str">
        <f>Практики!C26</f>
        <v>T-ADI-ART-4-1</v>
      </c>
      <c r="D161" s="174" t="str">
        <f>Практики!F26</f>
        <v>Не заполнено</v>
      </c>
      <c r="E161" s="174">
        <f>Практики!Q26</f>
        <v>0</v>
      </c>
      <c r="F161" s="390">
        <v>0</v>
      </c>
      <c r="G161" s="390">
        <v>0</v>
      </c>
    </row>
    <row r="162" spans="1:7" x14ac:dyDescent="0.4">
      <c r="A162" s="390"/>
      <c r="B162" s="590"/>
      <c r="C162" s="174" t="str">
        <f>Практики!C28</f>
        <v>T-ADI-ART-4-3</v>
      </c>
      <c r="D162" s="174" t="str">
        <f>Практики!F28</f>
        <v>Не заполнено</v>
      </c>
      <c r="E162" s="174">
        <f>Практики!Q28</f>
        <v>0</v>
      </c>
      <c r="F162" s="390"/>
      <c r="G162" s="390"/>
    </row>
    <row r="163" spans="1:7" x14ac:dyDescent="0.4">
      <c r="A163" s="390"/>
      <c r="B163" s="590"/>
      <c r="C163" s="174" t="str">
        <f>Практики!C89</f>
        <v>T-DEV-SRC-3-3</v>
      </c>
      <c r="D163" s="174" t="str">
        <f>Практики!F89</f>
        <v>Не заполнено</v>
      </c>
      <c r="E163" s="174">
        <f>Практики!Q89</f>
        <v>0</v>
      </c>
      <c r="F163" s="390"/>
      <c r="G163" s="390"/>
    </row>
    <row r="164" spans="1:7" x14ac:dyDescent="0.4">
      <c r="A164" s="390"/>
      <c r="B164" s="590"/>
      <c r="C164" s="174" t="str">
        <f>Практики!C136</f>
        <v>T-CODE-SC-2-3</v>
      </c>
      <c r="D164" s="174" t="str">
        <f>Практики!F136</f>
        <v>Не заполнено</v>
      </c>
      <c r="E164" s="174">
        <f>Практики!Q136</f>
        <v>0</v>
      </c>
      <c r="F164" s="390"/>
      <c r="G164" s="390"/>
    </row>
    <row r="165" spans="1:7" x14ac:dyDescent="0.4">
      <c r="A165" s="390"/>
      <c r="B165" s="590"/>
      <c r="C165" s="174" t="str">
        <f>Практики!C151</f>
        <v>T-CODE-IMG-3-1</v>
      </c>
      <c r="D165" s="174" t="str">
        <f>Практики!F151</f>
        <v>Не заполнено</v>
      </c>
      <c r="E165" s="174">
        <f>Практики!Q151</f>
        <v>0</v>
      </c>
      <c r="F165" s="390"/>
      <c r="G165" s="390"/>
    </row>
    <row r="166" spans="1:7" x14ac:dyDescent="0.4">
      <c r="A166" s="174" t="s">
        <v>3839</v>
      </c>
      <c r="B166" s="215" t="s">
        <v>3847</v>
      </c>
      <c r="C166" s="174"/>
      <c r="D166" s="174"/>
      <c r="E166" s="174"/>
      <c r="F166" s="174"/>
      <c r="G166" s="174">
        <v>0</v>
      </c>
    </row>
    <row r="167" spans="1:7" x14ac:dyDescent="0.4">
      <c r="A167" s="174" t="s">
        <v>744</v>
      </c>
      <c r="B167" s="215" t="s">
        <v>3848</v>
      </c>
      <c r="C167" s="174"/>
      <c r="D167" s="174"/>
      <c r="E167" s="174"/>
      <c r="F167" s="174"/>
      <c r="G167" s="174">
        <v>0</v>
      </c>
    </row>
    <row r="168" spans="1:7" x14ac:dyDescent="0.4">
      <c r="A168" s="174" t="s">
        <v>745</v>
      </c>
      <c r="B168" s="215" t="s">
        <v>3849</v>
      </c>
      <c r="C168" s="174"/>
      <c r="D168" s="174"/>
      <c r="E168" s="174"/>
      <c r="F168" s="174"/>
      <c r="G168" s="174">
        <v>0</v>
      </c>
    </row>
    <row r="169" spans="1:7" x14ac:dyDescent="0.4">
      <c r="A169" s="390" t="s">
        <v>746</v>
      </c>
      <c r="B169" s="590" t="s">
        <v>3850</v>
      </c>
      <c r="C169" s="174" t="str">
        <f>Практики!C267</f>
        <v>T-PROD-RUN-3-1</v>
      </c>
      <c r="D169" s="174" t="str">
        <f>Практики!F267</f>
        <v>Не заполнено</v>
      </c>
      <c r="E169" s="174">
        <f>Практики!Q267</f>
        <v>0</v>
      </c>
      <c r="F169" s="390">
        <v>0</v>
      </c>
      <c r="G169" s="390">
        <v>0</v>
      </c>
    </row>
    <row r="170" spans="1:7" x14ac:dyDescent="0.4">
      <c r="A170" s="390"/>
      <c r="B170" s="590"/>
      <c r="C170" s="174" t="str">
        <f>Практики!C282</f>
        <v>T-PROD-EVENTS-3-1</v>
      </c>
      <c r="D170" s="174" t="str">
        <f>Практики!F282</f>
        <v>Не заполнено</v>
      </c>
      <c r="E170" s="174">
        <f>Практики!Q282</f>
        <v>0</v>
      </c>
      <c r="F170" s="390"/>
      <c r="G170" s="390"/>
    </row>
    <row r="171" spans="1:7" x14ac:dyDescent="0.4">
      <c r="A171" s="174" t="s">
        <v>3840</v>
      </c>
      <c r="B171" s="215" t="s">
        <v>3851</v>
      </c>
      <c r="C171" s="174" t="str">
        <f>Практики!C24</f>
        <v>T-ADI-ART-3-1</v>
      </c>
      <c r="D171" s="174" t="str">
        <f>Практики!F24</f>
        <v>Не заполнено</v>
      </c>
      <c r="E171" s="174">
        <f>Практики!Q24</f>
        <v>0</v>
      </c>
      <c r="F171" s="174">
        <v>0</v>
      </c>
      <c r="G171" s="174">
        <v>0</v>
      </c>
    </row>
    <row r="172" spans="1:7" x14ac:dyDescent="0.4">
      <c r="A172" s="174" t="s">
        <v>223</v>
      </c>
      <c r="B172" s="215" t="s">
        <v>3852</v>
      </c>
      <c r="C172" s="174" t="str">
        <f>Практики!C131</f>
        <v>T-CODE-SC-1-1</v>
      </c>
      <c r="D172" s="174" t="str">
        <f>Практики!F131</f>
        <v>Не заполнено</v>
      </c>
      <c r="E172" s="174">
        <f>Практики!Q131</f>
        <v>0</v>
      </c>
      <c r="F172" s="174">
        <v>0</v>
      </c>
      <c r="G172" s="174">
        <v>0</v>
      </c>
    </row>
    <row r="173" spans="1:7" x14ac:dyDescent="0.4">
      <c r="A173" s="174" t="s">
        <v>3841</v>
      </c>
      <c r="B173" s="215" t="s">
        <v>3853</v>
      </c>
      <c r="C173" s="174"/>
      <c r="D173" s="174"/>
      <c r="E173" s="174"/>
      <c r="F173" s="174"/>
      <c r="G173" s="174">
        <v>0</v>
      </c>
    </row>
    <row r="174" spans="1:7" s="216" customFormat="1" ht="15.75" customHeight="1" x14ac:dyDescent="0.4">
      <c r="A174" s="586" t="s">
        <v>3888</v>
      </c>
      <c r="B174" s="586"/>
      <c r="C174" s="586"/>
      <c r="D174" s="586"/>
      <c r="E174" s="586"/>
      <c r="F174" s="174"/>
      <c r="G174" s="174"/>
    </row>
    <row r="175" spans="1:7" x14ac:dyDescent="0.4">
      <c r="A175" s="390" t="s">
        <v>1326</v>
      </c>
      <c r="B175" s="590" t="s">
        <v>3860</v>
      </c>
      <c r="C175" s="174" t="str">
        <f>Практики!C38</f>
        <v>T-DEV-SM-1-2</v>
      </c>
      <c r="D175" s="174" t="str">
        <f>Практики!F38</f>
        <v>Не заполнено</v>
      </c>
      <c r="E175" s="174">
        <f>Практики!Q38</f>
        <v>0</v>
      </c>
      <c r="F175" s="390">
        <v>0</v>
      </c>
      <c r="G175" s="390">
        <v>0</v>
      </c>
    </row>
    <row r="176" spans="1:7" x14ac:dyDescent="0.4">
      <c r="A176" s="390"/>
      <c r="B176" s="590"/>
      <c r="C176" s="174" t="str">
        <f>Практики!C49</f>
        <v>T-DEV-BLD-2-1</v>
      </c>
      <c r="D176" s="174" t="str">
        <f>Практики!F49</f>
        <v>Не заполнено</v>
      </c>
      <c r="E176" s="174">
        <f>Практики!Q49</f>
        <v>0</v>
      </c>
      <c r="F176" s="390"/>
      <c r="G176" s="390"/>
    </row>
    <row r="177" spans="1:7" x14ac:dyDescent="0.4">
      <c r="A177" s="390"/>
      <c r="B177" s="590"/>
      <c r="C177" s="174" t="str">
        <f>Практики!C158</f>
        <v>T-CODE-SECDN-1-4</v>
      </c>
      <c r="D177" s="174" t="str">
        <f>Практики!F158</f>
        <v>Не заполнено</v>
      </c>
      <c r="E177" s="174">
        <f>Практики!Q158</f>
        <v>0</v>
      </c>
      <c r="F177" s="390"/>
      <c r="G177" s="390"/>
    </row>
    <row r="178" spans="1:7" x14ac:dyDescent="0.4">
      <c r="A178" s="390"/>
      <c r="B178" s="590"/>
      <c r="C178" s="174" t="str">
        <f>Практики!C216</f>
        <v>T-PROD-SM-1-2</v>
      </c>
      <c r="D178" s="174" t="str">
        <f>Практики!F216</f>
        <v>Не заполнено</v>
      </c>
      <c r="E178" s="174">
        <f>Практики!Q216</f>
        <v>0</v>
      </c>
      <c r="F178" s="390"/>
      <c r="G178" s="390"/>
    </row>
    <row r="179" spans="1:7" x14ac:dyDescent="0.4">
      <c r="A179" s="390"/>
      <c r="B179" s="590"/>
      <c r="C179" s="174" t="str">
        <f>Практики!C282</f>
        <v>T-PROD-EVENTS-3-1</v>
      </c>
      <c r="D179" s="174" t="str">
        <f>Практики!F282</f>
        <v>Не заполнено</v>
      </c>
      <c r="E179" s="174">
        <f>Практики!Q282</f>
        <v>0</v>
      </c>
      <c r="F179" s="390"/>
      <c r="G179" s="390"/>
    </row>
    <row r="180" spans="1:7" x14ac:dyDescent="0.4">
      <c r="A180" s="174" t="s">
        <v>3854</v>
      </c>
      <c r="B180" s="215" t="s">
        <v>3861</v>
      </c>
      <c r="C180" s="174"/>
      <c r="D180" s="174"/>
      <c r="E180" s="174"/>
      <c r="F180" s="174"/>
      <c r="G180" s="174">
        <v>0</v>
      </c>
    </row>
    <row r="181" spans="1:7" x14ac:dyDescent="0.4">
      <c r="A181" s="174" t="s">
        <v>3855</v>
      </c>
      <c r="B181" s="215" t="s">
        <v>3862</v>
      </c>
      <c r="C181" s="174" t="str">
        <f>Практики!C354</f>
        <v>P-DEFECT-MNG-3-1</v>
      </c>
      <c r="D181" s="174" t="str">
        <f>Практики!F354</f>
        <v>Не заполнено</v>
      </c>
      <c r="E181" s="174">
        <f>Практики!Q354</f>
        <v>0</v>
      </c>
      <c r="F181" s="174">
        <v>0</v>
      </c>
      <c r="G181" s="174">
        <v>0</v>
      </c>
    </row>
    <row r="182" spans="1:7" x14ac:dyDescent="0.4">
      <c r="A182" s="174" t="s">
        <v>747</v>
      </c>
      <c r="B182" s="215" t="s">
        <v>3863</v>
      </c>
      <c r="C182" s="174"/>
      <c r="D182" s="174"/>
      <c r="E182" s="174"/>
      <c r="F182" s="174"/>
      <c r="G182" s="174">
        <v>0</v>
      </c>
    </row>
    <row r="183" spans="1:7" x14ac:dyDescent="0.4">
      <c r="A183" s="174" t="s">
        <v>748</v>
      </c>
      <c r="B183" s="215" t="s">
        <v>3864</v>
      </c>
      <c r="C183" s="174" t="str">
        <f>Практики!C272</f>
        <v>T-PROD-VULN-2-2</v>
      </c>
      <c r="D183" s="174" t="str">
        <f>Практики!F272</f>
        <v>Не заполнено</v>
      </c>
      <c r="E183" s="174">
        <f>Практики!Q272</f>
        <v>0</v>
      </c>
      <c r="F183" s="174">
        <v>0</v>
      </c>
      <c r="G183" s="174">
        <v>0</v>
      </c>
    </row>
    <row r="184" spans="1:7" x14ac:dyDescent="0.4">
      <c r="A184" s="174" t="s">
        <v>749</v>
      </c>
      <c r="B184" s="215" t="s">
        <v>3865</v>
      </c>
      <c r="C184" s="174" t="str">
        <f>Практики!C354</f>
        <v>P-DEFECT-MNG-3-1</v>
      </c>
      <c r="D184" s="174" t="str">
        <f>Практики!F354</f>
        <v>Не заполнено</v>
      </c>
      <c r="E184" s="174">
        <f>Практики!Q354</f>
        <v>0</v>
      </c>
      <c r="F184" s="174">
        <v>0</v>
      </c>
      <c r="G184" s="174">
        <v>0</v>
      </c>
    </row>
    <row r="185" spans="1:7" x14ac:dyDescent="0.4">
      <c r="A185" s="174" t="s">
        <v>750</v>
      </c>
      <c r="B185" s="215" t="s">
        <v>3866</v>
      </c>
      <c r="C185" s="174"/>
      <c r="D185" s="174"/>
      <c r="E185" s="174"/>
      <c r="F185" s="174"/>
      <c r="G185" s="174">
        <v>0</v>
      </c>
    </row>
    <row r="186" spans="1:7" x14ac:dyDescent="0.4">
      <c r="A186" s="174" t="s">
        <v>3856</v>
      </c>
      <c r="B186" s="215" t="s">
        <v>3868</v>
      </c>
      <c r="C186" s="174" t="str">
        <f>Практики!C232</f>
        <v>T-PROD-PENTEST-4-2</v>
      </c>
      <c r="D186" s="174" t="str">
        <f>Практики!F232</f>
        <v>Не заполнено</v>
      </c>
      <c r="E186" s="174">
        <f>Практики!Q232</f>
        <v>0</v>
      </c>
      <c r="F186" s="174">
        <v>0</v>
      </c>
      <c r="G186" s="174">
        <v>0</v>
      </c>
    </row>
    <row r="187" spans="1:7" x14ac:dyDescent="0.4">
      <c r="A187" s="174" t="s">
        <v>1330</v>
      </c>
      <c r="B187" s="215" t="s">
        <v>3867</v>
      </c>
      <c r="C187" s="174"/>
      <c r="D187" s="174"/>
      <c r="E187" s="174"/>
      <c r="F187" s="174"/>
      <c r="G187" s="174">
        <v>0</v>
      </c>
    </row>
    <row r="188" spans="1:7" x14ac:dyDescent="0.4">
      <c r="A188" s="390" t="s">
        <v>1332</v>
      </c>
      <c r="B188" s="590" t="s">
        <v>3869</v>
      </c>
      <c r="C188" s="174" t="str">
        <f>Практики!C274</f>
        <v>T-PROD-VULN-3-1</v>
      </c>
      <c r="D188" s="174" t="str">
        <f>Практики!F274</f>
        <v>Не заполнено</v>
      </c>
      <c r="E188" s="174">
        <f>Практики!Q274</f>
        <v>0</v>
      </c>
      <c r="F188" s="390">
        <v>0</v>
      </c>
      <c r="G188" s="390">
        <v>0</v>
      </c>
    </row>
    <row r="189" spans="1:7" x14ac:dyDescent="0.4">
      <c r="A189" s="390"/>
      <c r="B189" s="590"/>
      <c r="C189" s="174" t="str">
        <f>Практики!C275</f>
        <v>T-PROD-VULN-3-2</v>
      </c>
      <c r="D189" s="174" t="str">
        <f>Практики!F275</f>
        <v>Не заполнено</v>
      </c>
      <c r="E189" s="174">
        <f>Практики!Q275</f>
        <v>0</v>
      </c>
      <c r="F189" s="390"/>
      <c r="G189" s="390"/>
    </row>
    <row r="190" spans="1:7" x14ac:dyDescent="0.4">
      <c r="A190" s="390"/>
      <c r="B190" s="590"/>
      <c r="C190" s="174" t="str">
        <f>Практики!C276</f>
        <v>T-PROD-VULN-3-3</v>
      </c>
      <c r="D190" s="174" t="str">
        <f>Практики!F276</f>
        <v>Не заполнено</v>
      </c>
      <c r="E190" s="174">
        <f>Практики!Q276</f>
        <v>0</v>
      </c>
      <c r="F190" s="390"/>
      <c r="G190" s="390"/>
    </row>
    <row r="191" spans="1:7" x14ac:dyDescent="0.4">
      <c r="A191" s="390"/>
      <c r="B191" s="590"/>
      <c r="C191" s="174" t="str">
        <f>Практики!C278</f>
        <v>T-PROD-VULN-4-1</v>
      </c>
      <c r="D191" s="174" t="str">
        <f>Практики!F278</f>
        <v>Не заполнено</v>
      </c>
      <c r="E191" s="174">
        <f>Практики!Q278</f>
        <v>0</v>
      </c>
      <c r="F191" s="390"/>
      <c r="G191" s="390"/>
    </row>
    <row r="192" spans="1:7" x14ac:dyDescent="0.4">
      <c r="A192" s="174" t="s">
        <v>3857</v>
      </c>
      <c r="B192" s="215" t="s">
        <v>3870</v>
      </c>
      <c r="C192" s="174"/>
      <c r="D192" s="174"/>
      <c r="E192" s="174"/>
      <c r="F192" s="174"/>
      <c r="G192" s="174">
        <v>0</v>
      </c>
    </row>
    <row r="193" spans="1:7" x14ac:dyDescent="0.4">
      <c r="A193" s="174" t="s">
        <v>3858</v>
      </c>
      <c r="B193" s="215" t="s">
        <v>3871</v>
      </c>
      <c r="C193" s="174"/>
      <c r="D193" s="174"/>
      <c r="E193" s="174"/>
      <c r="F193" s="174"/>
      <c r="G193" s="174">
        <v>0</v>
      </c>
    </row>
    <row r="194" spans="1:7" x14ac:dyDescent="0.4">
      <c r="A194" s="174" t="s">
        <v>3859</v>
      </c>
      <c r="B194" s="215" t="s">
        <v>3872</v>
      </c>
      <c r="C194" s="174"/>
      <c r="D194" s="174"/>
      <c r="E194" s="174"/>
      <c r="F194" s="174"/>
      <c r="G194" s="174">
        <v>0</v>
      </c>
    </row>
  </sheetData>
  <mergeCells count="120">
    <mergeCell ref="G151:G152"/>
    <mergeCell ref="G161:G165"/>
    <mergeCell ref="G169:G170"/>
    <mergeCell ref="G175:G179"/>
    <mergeCell ref="G188:G191"/>
    <mergeCell ref="G118:G119"/>
    <mergeCell ref="G121:G122"/>
    <mergeCell ref="G124:G127"/>
    <mergeCell ref="G135:G136"/>
    <mergeCell ref="G138:G139"/>
    <mergeCell ref="G140:G141"/>
    <mergeCell ref="G84:G87"/>
    <mergeCell ref="G88:G90"/>
    <mergeCell ref="G94:G96"/>
    <mergeCell ref="G99:G100"/>
    <mergeCell ref="G105:G107"/>
    <mergeCell ref="G116:G117"/>
    <mergeCell ref="F188:F191"/>
    <mergeCell ref="G6:G9"/>
    <mergeCell ref="G11:G12"/>
    <mergeCell ref="G16:G20"/>
    <mergeCell ref="G22:G24"/>
    <mergeCell ref="G25:G29"/>
    <mergeCell ref="G37:G39"/>
    <mergeCell ref="G51:G52"/>
    <mergeCell ref="G68:G69"/>
    <mergeCell ref="G82:G83"/>
    <mergeCell ref="F138:F139"/>
    <mergeCell ref="F140:F141"/>
    <mergeCell ref="F151:F152"/>
    <mergeCell ref="F161:F165"/>
    <mergeCell ref="F169:F170"/>
    <mergeCell ref="F175:F179"/>
    <mergeCell ref="F105:F107"/>
    <mergeCell ref="F116:F117"/>
    <mergeCell ref="F118:F119"/>
    <mergeCell ref="F121:F122"/>
    <mergeCell ref="F124:F127"/>
    <mergeCell ref="F135:F136"/>
    <mergeCell ref="F68:F69"/>
    <mergeCell ref="F82:F83"/>
    <mergeCell ref="F84:F87"/>
    <mergeCell ref="F88:F90"/>
    <mergeCell ref="F94:F96"/>
    <mergeCell ref="F99:F100"/>
    <mergeCell ref="A88:A90"/>
    <mergeCell ref="B88:B90"/>
    <mergeCell ref="F6:F9"/>
    <mergeCell ref="F11:F12"/>
    <mergeCell ref="F16:F20"/>
    <mergeCell ref="F22:F24"/>
    <mergeCell ref="F25:F29"/>
    <mergeCell ref="F37:F39"/>
    <mergeCell ref="F51:F52"/>
    <mergeCell ref="A82:A83"/>
    <mergeCell ref="A84:A87"/>
    <mergeCell ref="A16:A20"/>
    <mergeCell ref="A22:A24"/>
    <mergeCell ref="A25:A29"/>
    <mergeCell ref="B25:B29"/>
    <mergeCell ref="B22:B24"/>
    <mergeCell ref="B16:B20"/>
    <mergeCell ref="A6:A9"/>
    <mergeCell ref="B6:B9"/>
    <mergeCell ref="A11:A12"/>
    <mergeCell ref="B11:B12"/>
    <mergeCell ref="A175:A179"/>
    <mergeCell ref="B175:B179"/>
    <mergeCell ref="A188:A191"/>
    <mergeCell ref="B188:B191"/>
    <mergeCell ref="A151:A152"/>
    <mergeCell ref="B151:B152"/>
    <mergeCell ref="A161:A165"/>
    <mergeCell ref="B161:B165"/>
    <mergeCell ref="A169:A170"/>
    <mergeCell ref="B169:B170"/>
    <mergeCell ref="B140:B141"/>
    <mergeCell ref="A105:A107"/>
    <mergeCell ref="B105:B107"/>
    <mergeCell ref="A116:A117"/>
    <mergeCell ref="A118:A119"/>
    <mergeCell ref="A121:A122"/>
    <mergeCell ref="A124:A127"/>
    <mergeCell ref="B124:B127"/>
    <mergeCell ref="B121:B122"/>
    <mergeCell ref="B118:B119"/>
    <mergeCell ref="B116:B117"/>
    <mergeCell ref="A2:E2"/>
    <mergeCell ref="A3:E3"/>
    <mergeCell ref="A31:E31"/>
    <mergeCell ref="A45:E45"/>
    <mergeCell ref="A60:E60"/>
    <mergeCell ref="A37:A39"/>
    <mergeCell ref="B37:B39"/>
    <mergeCell ref="A51:A52"/>
    <mergeCell ref="B51:B52"/>
    <mergeCell ref="A102:E102"/>
    <mergeCell ref="A114:E114"/>
    <mergeCell ref="A132:E132"/>
    <mergeCell ref="A147:E147"/>
    <mergeCell ref="A156:E156"/>
    <mergeCell ref="A174:E174"/>
    <mergeCell ref="A59:E59"/>
    <mergeCell ref="A101:E101"/>
    <mergeCell ref="A146:E146"/>
    <mergeCell ref="A73:E73"/>
    <mergeCell ref="A94:A96"/>
    <mergeCell ref="A99:A100"/>
    <mergeCell ref="B82:B83"/>
    <mergeCell ref="B84:B87"/>
    <mergeCell ref="B94:B96"/>
    <mergeCell ref="B99:B100"/>
    <mergeCell ref="A68:A69"/>
    <mergeCell ref="B68:B69"/>
    <mergeCell ref="A81:E81"/>
    <mergeCell ref="A135:A136"/>
    <mergeCell ref="A138:A139"/>
    <mergeCell ref="A140:A141"/>
    <mergeCell ref="B135:B136"/>
    <mergeCell ref="B138:B13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Документ" ma:contentTypeID="0x0101006CA2C0ADBEC7BE46B0822C2DAA5A03E5" ma:contentTypeVersion="3" ma:contentTypeDescription="Создание документа." ma:contentTypeScope="" ma:versionID="2c0b967ad34bbc7280160eedba1ebf65">
  <xsd:schema xmlns:xsd="http://www.w3.org/2001/XMLSchema" xmlns:xs="http://www.w3.org/2001/XMLSchema" xmlns:p="http://schemas.microsoft.com/office/2006/metadata/properties" xmlns:ns2="761b51ea-73c7-430a-8a38-0ce42770504b" xmlns:ns3="7aa221e3-2679-4b7f-8501-9ead081fcbbd" targetNamespace="http://schemas.microsoft.com/office/2006/metadata/properties" ma:root="true" ma:fieldsID="31711765d5ae13ef6aa18ca09936d202" ns2:_="" ns3:_="">
    <xsd:import namespace="761b51ea-73c7-430a-8a38-0ce42770504b"/>
    <xsd:import namespace="7aa221e3-2679-4b7f-8501-9ead081fcbbd"/>
    <xsd:element name="properties">
      <xsd:complexType>
        <xsd:sequence>
          <xsd:element name="documentManagement">
            <xsd:complexType>
              <xsd:all>
                <xsd:element ref="ns2:SharedWithUsers" minOccurs="0"/>
                <xsd:element ref="ns2:SharedWithDetails" minOccurs="0"/>
                <xsd:element ref="ns3:meta_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b51ea-73c7-430a-8a38-0ce42770504b"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a221e3-2679-4b7f-8501-9ead081fcbbd" elementFormDefault="qualified">
    <xsd:import namespace="http://schemas.microsoft.com/office/2006/documentManagement/types"/>
    <xsd:import namespace="http://schemas.microsoft.com/office/infopath/2007/PartnerControls"/>
    <xsd:element name="meta_data" ma:index="10" nillable="true" ma:displayName="meta_data" ma:internalName="meta_data">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meta_data xmlns="7aa221e3-2679-4b7f-8501-9ead081fcbbd" xsi:nil="true"/>
  </documentManagement>
</p:properties>
</file>

<file path=customXml/itemProps1.xml><?xml version="1.0" encoding="utf-8"?>
<ds:datastoreItem xmlns:ds="http://schemas.openxmlformats.org/officeDocument/2006/customXml" ds:itemID="{178CD57D-0057-4D40-9288-B058CE626555}">
  <ds:schemaRefs>
    <ds:schemaRef ds:uri="http://schemas.microsoft.com/DataMashup"/>
  </ds:schemaRefs>
</ds:datastoreItem>
</file>

<file path=customXml/itemProps2.xml><?xml version="1.0" encoding="utf-8"?>
<ds:datastoreItem xmlns:ds="http://schemas.openxmlformats.org/officeDocument/2006/customXml" ds:itemID="{932BED66-2CF8-4804-BEE6-3342BDE9BD3D}"/>
</file>

<file path=customXml/itemProps3.xml><?xml version="1.0" encoding="utf-8"?>
<ds:datastoreItem xmlns:ds="http://schemas.openxmlformats.org/officeDocument/2006/customXml" ds:itemID="{97BA2D4B-A35E-4EA4-899A-E4B177275A66}"/>
</file>

<file path=customXml/itemProps4.xml><?xml version="1.0" encoding="utf-8"?>
<ds:datastoreItem xmlns:ds="http://schemas.openxmlformats.org/officeDocument/2006/customXml" ds:itemID="{8DD1E5E0-C49A-4C35-AE0D-CB04FCBD90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Общее, домены, поддомены</vt:lpstr>
      <vt:lpstr>Результаты аудита</vt:lpstr>
      <vt:lpstr>Практики</vt:lpstr>
      <vt:lpstr>Кирилламида</vt:lpstr>
      <vt:lpstr>miniRoadmap</vt:lpstr>
      <vt:lpstr>Документы для процессов DSO</vt:lpstr>
      <vt:lpstr>FTE AppSec</vt:lpstr>
      <vt:lpstr>Расчет FTE DSO</vt:lpstr>
      <vt:lpstr>PT TableTop_mapping</vt:lpstr>
      <vt:lpstr>SAMM_mapping</vt:lpstr>
      <vt:lpstr>DSOMM_mapping</vt:lpstr>
      <vt:lpstr>ГОСТ56939_mapping</vt:lpstr>
      <vt:lpstr>BSIMM14_mapping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2025-12-25T16:29:46Z</dcterms:created>
  <dcterms:modified xsi:type="dcterms:W3CDTF">2025-12-25T16:34:04Z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0x0101006CA2C0ADBEC7BE46B0822C2DAA5A03E5</vt:lpwstr>
  </property>
</Properties>
</file>